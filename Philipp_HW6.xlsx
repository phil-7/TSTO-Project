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ippe/Library/Mobile Documents/com~apple~CloudDocs/ASTE-574/HW6/"/>
    </mc:Choice>
  </mc:AlternateContent>
  <xr:revisionPtr revIDLastSave="0" documentId="13_ncr:1_{8BC6EA7A-E8E1-FA42-8FC1-8FA91717427C}" xr6:coauthVersionLast="47" xr6:coauthVersionMax="47" xr10:uidLastSave="{00000000-0000-0000-0000-000000000000}"/>
  <bookViews>
    <workbookView xWindow="35340" yWindow="500" windowWidth="28800" windowHeight="15620" activeTab="1" xr2:uid="{4F131825-A111-E541-8A75-081AE7E05800}"/>
  </bookViews>
  <sheets>
    <sheet name="Problem 1" sheetId="1" r:id="rId1"/>
    <sheet name="Problem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4" i="2" l="1"/>
  <c r="L14" i="2" l="1"/>
  <c r="Y14" i="2"/>
  <c r="Y13" i="2"/>
  <c r="Z13" i="2"/>
  <c r="Z14" i="2"/>
  <c r="L13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239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25" i="2"/>
  <c r="E30" i="2" l="1"/>
  <c r="E31" i="2"/>
  <c r="E32" i="2"/>
  <c r="E33" i="2"/>
  <c r="E34" i="2"/>
  <c r="E35" i="2"/>
  <c r="E36" i="2"/>
  <c r="J13" i="2"/>
  <c r="B9" i="2"/>
  <c r="B5" i="2"/>
  <c r="O16" i="2" s="1"/>
  <c r="R13" i="2"/>
  <c r="S13" i="2"/>
  <c r="T19" i="2"/>
  <c r="O13" i="1"/>
  <c r="N15" i="1"/>
  <c r="N16" i="1"/>
  <c r="N20" i="1"/>
  <c r="N21" i="1"/>
  <c r="N23" i="1"/>
  <c r="E22" i="1"/>
  <c r="N22" i="1" s="1"/>
  <c r="E23" i="1"/>
  <c r="E16" i="1"/>
  <c r="E17" i="1"/>
  <c r="N17" i="1" s="1"/>
  <c r="E18" i="1"/>
  <c r="N18" i="1" s="1"/>
  <c r="E19" i="1"/>
  <c r="N19" i="1" s="1"/>
  <c r="E20" i="1"/>
  <c r="E21" i="1"/>
  <c r="E15" i="1"/>
  <c r="E16" i="2"/>
  <c r="T16" i="2" s="1"/>
  <c r="E17" i="2"/>
  <c r="T17" i="2" s="1"/>
  <c r="E18" i="2"/>
  <c r="T18" i="2" s="1"/>
  <c r="E19" i="2"/>
  <c r="E20" i="2"/>
  <c r="T20" i="2" s="1"/>
  <c r="E21" i="2"/>
  <c r="T21" i="2" s="1"/>
  <c r="E22" i="2"/>
  <c r="T22" i="2" s="1"/>
  <c r="E23" i="2"/>
  <c r="T23" i="2" s="1"/>
  <c r="E24" i="2"/>
  <c r="T24" i="2" s="1"/>
  <c r="E25" i="2"/>
  <c r="T25" i="2" s="1"/>
  <c r="E26" i="2"/>
  <c r="T26" i="2" s="1"/>
  <c r="E27" i="2"/>
  <c r="T27" i="2" s="1"/>
  <c r="E28" i="2"/>
  <c r="T28" i="2" s="1"/>
  <c r="E29" i="2"/>
  <c r="T29" i="2" s="1"/>
  <c r="E15" i="2"/>
  <c r="T15" i="2" s="1"/>
  <c r="J13" i="1"/>
  <c r="E14" i="2"/>
  <c r="T14" i="2" s="1"/>
  <c r="E13" i="2"/>
  <c r="G2" i="2"/>
  <c r="E37" i="2" s="1"/>
  <c r="G2" i="1"/>
  <c r="E24" i="1" s="1"/>
  <c r="N24" i="1" s="1"/>
  <c r="E14" i="1"/>
  <c r="N14" i="1" s="1"/>
  <c r="K44" i="1"/>
  <c r="K52" i="1"/>
  <c r="K60" i="1"/>
  <c r="K76" i="1"/>
  <c r="K84" i="1"/>
  <c r="K100" i="1"/>
  <c r="K124" i="1"/>
  <c r="K132" i="1"/>
  <c r="K148" i="1"/>
  <c r="K164" i="1"/>
  <c r="K172" i="1"/>
  <c r="K180" i="1"/>
  <c r="K204" i="1"/>
  <c r="K228" i="1"/>
  <c r="K236" i="1"/>
  <c r="K244" i="1"/>
  <c r="K252" i="1"/>
  <c r="K260" i="1"/>
  <c r="K300" i="1"/>
  <c r="K307" i="1"/>
  <c r="K308" i="1"/>
  <c r="K315" i="1"/>
  <c r="K316" i="1"/>
  <c r="K323" i="1"/>
  <c r="K340" i="1"/>
  <c r="K347" i="1"/>
  <c r="K348" i="1"/>
  <c r="K355" i="1"/>
  <c r="K363" i="1"/>
  <c r="K364" i="1"/>
  <c r="K380" i="1"/>
  <c r="K387" i="1"/>
  <c r="K395" i="1"/>
  <c r="K396" i="1"/>
  <c r="K402" i="1"/>
  <c r="K404" i="1"/>
  <c r="K412" i="1"/>
  <c r="K418" i="1"/>
  <c r="K419" i="1"/>
  <c r="K420" i="1"/>
  <c r="K427" i="1"/>
  <c r="K428" i="1"/>
  <c r="K436" i="1"/>
  <c r="K442" i="1"/>
  <c r="K443" i="1"/>
  <c r="K450" i="1"/>
  <c r="K452" i="1"/>
  <c r="K456" i="1"/>
  <c r="K460" i="1"/>
  <c r="K466" i="1"/>
  <c r="K474" i="1"/>
  <c r="K475" i="1"/>
  <c r="K476" i="1"/>
  <c r="E13" i="1"/>
  <c r="N13" i="1" s="1"/>
  <c r="B9" i="1"/>
  <c r="B7" i="1"/>
  <c r="B3" i="1"/>
  <c r="K13" i="2" l="1"/>
  <c r="N13" i="2"/>
  <c r="T13" i="2"/>
  <c r="T30" i="2"/>
  <c r="O223" i="2"/>
  <c r="O157" i="2"/>
  <c r="O94" i="2"/>
  <c r="O47" i="2"/>
  <c r="B2" i="2"/>
  <c r="O207" i="2"/>
  <c r="O192" i="2"/>
  <c r="O176" i="2"/>
  <c r="O159" i="2"/>
  <c r="O144" i="2"/>
  <c r="O129" i="2"/>
  <c r="O111" i="2"/>
  <c r="O97" i="2"/>
  <c r="O81" i="2"/>
  <c r="O63" i="2"/>
  <c r="O48" i="2"/>
  <c r="O34" i="2"/>
  <c r="O20" i="2"/>
  <c r="O28" i="2"/>
  <c r="O36" i="2"/>
  <c r="O44" i="2"/>
  <c r="O52" i="2"/>
  <c r="O60" i="2"/>
  <c r="O68" i="2"/>
  <c r="O76" i="2"/>
  <c r="O84" i="2"/>
  <c r="O92" i="2"/>
  <c r="O100" i="2"/>
  <c r="O108" i="2"/>
  <c r="O116" i="2"/>
  <c r="O124" i="2"/>
  <c r="O132" i="2"/>
  <c r="O140" i="2"/>
  <c r="O148" i="2"/>
  <c r="O156" i="2"/>
  <c r="O164" i="2"/>
  <c r="O172" i="2"/>
  <c r="O180" i="2"/>
  <c r="O188" i="2"/>
  <c r="O196" i="2"/>
  <c r="O204" i="2"/>
  <c r="O212" i="2"/>
  <c r="O220" i="2"/>
  <c r="O14" i="2"/>
  <c r="O23" i="2"/>
  <c r="O32" i="2"/>
  <c r="O41" i="2"/>
  <c r="O50" i="2"/>
  <c r="O59" i="2"/>
  <c r="O69" i="2"/>
  <c r="O78" i="2"/>
  <c r="O87" i="2"/>
  <c r="O96" i="2"/>
  <c r="O105" i="2"/>
  <c r="O114" i="2"/>
  <c r="O123" i="2"/>
  <c r="O133" i="2"/>
  <c r="O142" i="2"/>
  <c r="O151" i="2"/>
  <c r="O160" i="2"/>
  <c r="O169" i="2"/>
  <c r="O178" i="2"/>
  <c r="O187" i="2"/>
  <c r="O197" i="2"/>
  <c r="O206" i="2"/>
  <c r="O215" i="2"/>
  <c r="O224" i="2"/>
  <c r="O22" i="2"/>
  <c r="O33" i="2"/>
  <c r="O43" i="2"/>
  <c r="O54" i="2"/>
  <c r="O64" i="2"/>
  <c r="O74" i="2"/>
  <c r="O85" i="2"/>
  <c r="O95" i="2"/>
  <c r="O106" i="2"/>
  <c r="O117" i="2"/>
  <c r="O127" i="2"/>
  <c r="O137" i="2"/>
  <c r="O147" i="2"/>
  <c r="O158" i="2"/>
  <c r="O168" i="2"/>
  <c r="O179" i="2"/>
  <c r="O190" i="2"/>
  <c r="O200" i="2"/>
  <c r="O210" i="2"/>
  <c r="O221" i="2"/>
  <c r="O17" i="2"/>
  <c r="O29" i="2"/>
  <c r="O40" i="2"/>
  <c r="O53" i="2"/>
  <c r="O65" i="2"/>
  <c r="O77" i="2"/>
  <c r="O89" i="2"/>
  <c r="O101" i="2"/>
  <c r="O112" i="2"/>
  <c r="O125" i="2"/>
  <c r="O136" i="2"/>
  <c r="O149" i="2"/>
  <c r="O161" i="2"/>
  <c r="O173" i="2"/>
  <c r="O184" i="2"/>
  <c r="O195" i="2"/>
  <c r="O208" i="2"/>
  <c r="O219" i="2"/>
  <c r="O18" i="2"/>
  <c r="O30" i="2"/>
  <c r="O42" i="2"/>
  <c r="O55" i="2"/>
  <c r="O66" i="2"/>
  <c r="O79" i="2"/>
  <c r="O90" i="2"/>
  <c r="O102" i="2"/>
  <c r="O113" i="2"/>
  <c r="O126" i="2"/>
  <c r="O138" i="2"/>
  <c r="O150" i="2"/>
  <c r="O162" i="2"/>
  <c r="O185" i="2"/>
  <c r="O198" i="2"/>
  <c r="O209" i="2"/>
  <c r="O222" i="2"/>
  <c r="O13" i="2"/>
  <c r="O174" i="2"/>
  <c r="O205" i="2"/>
  <c r="O143" i="2"/>
  <c r="O80" i="2"/>
  <c r="O15" i="2"/>
  <c r="O203" i="2"/>
  <c r="O155" i="2"/>
  <c r="O61" i="2"/>
  <c r="O175" i="2"/>
  <c r="O128" i="2"/>
  <c r="O62" i="2"/>
  <c r="B7" i="2"/>
  <c r="M29" i="2" s="1"/>
  <c r="O218" i="2"/>
  <c r="O171" i="2"/>
  <c r="O122" i="2"/>
  <c r="O93" i="2"/>
  <c r="O27" i="2"/>
  <c r="O191" i="2"/>
  <c r="O110" i="2"/>
  <c r="O31" i="2"/>
  <c r="O189" i="2"/>
  <c r="O141" i="2"/>
  <c r="O109" i="2"/>
  <c r="O75" i="2"/>
  <c r="O46" i="2"/>
  <c r="O217" i="2"/>
  <c r="O202" i="2"/>
  <c r="O186" i="2"/>
  <c r="O170" i="2"/>
  <c r="O154" i="2"/>
  <c r="O139" i="2"/>
  <c r="O121" i="2"/>
  <c r="O107" i="2"/>
  <c r="O91" i="2"/>
  <c r="O73" i="2"/>
  <c r="O58" i="2"/>
  <c r="O45" i="2"/>
  <c r="O26" i="2"/>
  <c r="O216" i="2"/>
  <c r="O201" i="2"/>
  <c r="O183" i="2"/>
  <c r="O167" i="2"/>
  <c r="O153" i="2"/>
  <c r="O135" i="2"/>
  <c r="O120" i="2"/>
  <c r="O104" i="2"/>
  <c r="O88" i="2"/>
  <c r="O72" i="2"/>
  <c r="O57" i="2"/>
  <c r="O39" i="2"/>
  <c r="O25" i="2"/>
  <c r="O214" i="2"/>
  <c r="O199" i="2"/>
  <c r="O182" i="2"/>
  <c r="O166" i="2"/>
  <c r="O152" i="2"/>
  <c r="O134" i="2"/>
  <c r="O119" i="2"/>
  <c r="O103" i="2"/>
  <c r="O86" i="2"/>
  <c r="O71" i="2"/>
  <c r="O56" i="2"/>
  <c r="O38" i="2"/>
  <c r="O24" i="2"/>
  <c r="O213" i="2"/>
  <c r="O194" i="2"/>
  <c r="O181" i="2"/>
  <c r="O165" i="2"/>
  <c r="O146" i="2"/>
  <c r="O131" i="2"/>
  <c r="O118" i="2"/>
  <c r="O99" i="2"/>
  <c r="O83" i="2"/>
  <c r="O70" i="2"/>
  <c r="O51" i="2"/>
  <c r="O37" i="2"/>
  <c r="O21" i="2"/>
  <c r="O211" i="2"/>
  <c r="O193" i="2"/>
  <c r="O177" i="2"/>
  <c r="O163" i="2"/>
  <c r="O145" i="2"/>
  <c r="O130" i="2"/>
  <c r="O115" i="2"/>
  <c r="O98" i="2"/>
  <c r="O82" i="2"/>
  <c r="O67" i="2"/>
  <c r="O49" i="2"/>
  <c r="O35" i="2"/>
  <c r="O19" i="2"/>
  <c r="K21" i="1"/>
  <c r="K28" i="1"/>
  <c r="K92" i="1"/>
  <c r="K156" i="1"/>
  <c r="K220" i="1"/>
  <c r="K284" i="1"/>
  <c r="K324" i="1"/>
  <c r="K356" i="1"/>
  <c r="K388" i="1"/>
  <c r="K411" i="1"/>
  <c r="K432" i="1"/>
  <c r="K451" i="1"/>
  <c r="K468" i="1"/>
  <c r="K68" i="1"/>
  <c r="K140" i="1"/>
  <c r="K212" i="1"/>
  <c r="K292" i="1"/>
  <c r="K332" i="1"/>
  <c r="K371" i="1"/>
  <c r="K403" i="1"/>
  <c r="K426" i="1"/>
  <c r="K444" i="1"/>
  <c r="K467" i="1"/>
  <c r="K459" i="1"/>
  <c r="K435" i="1"/>
  <c r="K410" i="1"/>
  <c r="K379" i="1"/>
  <c r="K339" i="1"/>
  <c r="K276" i="1"/>
  <c r="K196" i="1"/>
  <c r="K116" i="1"/>
  <c r="K36" i="1"/>
  <c r="K458" i="1"/>
  <c r="K434" i="1"/>
  <c r="K408" i="1"/>
  <c r="K372" i="1"/>
  <c r="K331" i="1"/>
  <c r="K268" i="1"/>
  <c r="K188" i="1"/>
  <c r="K108" i="1"/>
  <c r="K20" i="1"/>
  <c r="M114" i="2"/>
  <c r="M181" i="2"/>
  <c r="M26" i="2"/>
  <c r="M172" i="2"/>
  <c r="M175" i="2"/>
  <c r="M111" i="2"/>
  <c r="M222" i="2"/>
  <c r="M158" i="2"/>
  <c r="K299" i="1"/>
  <c r="K291" i="1"/>
  <c r="K283" i="1"/>
  <c r="K275" i="1"/>
  <c r="K267" i="1"/>
  <c r="K259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9" i="1"/>
  <c r="K394" i="1"/>
  <c r="K386" i="1"/>
  <c r="K378" i="1"/>
  <c r="K370" i="1"/>
  <c r="K362" i="1"/>
  <c r="K354" i="1"/>
  <c r="K346" i="1"/>
  <c r="K338" i="1"/>
  <c r="K330" i="1"/>
  <c r="K322" i="1"/>
  <c r="K314" i="1"/>
  <c r="K306" i="1"/>
  <c r="K298" i="1"/>
  <c r="K290" i="1"/>
  <c r="K282" i="1"/>
  <c r="K274" i="1"/>
  <c r="K266" i="1"/>
  <c r="K258" i="1"/>
  <c r="K250" i="1"/>
  <c r="K242" i="1"/>
  <c r="K234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473" i="1"/>
  <c r="K465" i="1"/>
  <c r="K457" i="1"/>
  <c r="K449" i="1"/>
  <c r="K441" i="1"/>
  <c r="K433" i="1"/>
  <c r="K425" i="1"/>
  <c r="K417" i="1"/>
  <c r="K409" i="1"/>
  <c r="K401" i="1"/>
  <c r="K393" i="1"/>
  <c r="K385" i="1"/>
  <c r="K377" i="1"/>
  <c r="K369" i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265" i="1"/>
  <c r="K257" i="1"/>
  <c r="K249" i="1"/>
  <c r="K241" i="1"/>
  <c r="K233" i="1"/>
  <c r="K225" i="1"/>
  <c r="K217" i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472" i="1"/>
  <c r="K464" i="1"/>
  <c r="K448" i="1"/>
  <c r="K440" i="1"/>
  <c r="K424" i="1"/>
  <c r="K416" i="1"/>
  <c r="K400" i="1"/>
  <c r="K392" i="1"/>
  <c r="K384" i="1"/>
  <c r="K368" i="1"/>
  <c r="K352" i="1"/>
  <c r="K336" i="1"/>
  <c r="K312" i="1"/>
  <c r="K280" i="1"/>
  <c r="K272" i="1"/>
  <c r="K248" i="1"/>
  <c r="K232" i="1"/>
  <c r="K208" i="1"/>
  <c r="K200" i="1"/>
  <c r="K176" i="1"/>
  <c r="K160" i="1"/>
  <c r="K128" i="1"/>
  <c r="K112" i="1"/>
  <c r="K104" i="1"/>
  <c r="K88" i="1"/>
  <c r="K64" i="1"/>
  <c r="K56" i="1"/>
  <c r="K48" i="1"/>
  <c r="K40" i="1"/>
  <c r="K32" i="1"/>
  <c r="K24" i="1"/>
  <c r="K16" i="1"/>
  <c r="K344" i="1"/>
  <c r="K304" i="1"/>
  <c r="K264" i="1"/>
  <c r="K224" i="1"/>
  <c r="K192" i="1"/>
  <c r="K152" i="1"/>
  <c r="K120" i="1"/>
  <c r="K96" i="1"/>
  <c r="K463" i="1"/>
  <c r="K455" i="1"/>
  <c r="K447" i="1"/>
  <c r="K439" i="1"/>
  <c r="K431" i="1"/>
  <c r="K423" i="1"/>
  <c r="K415" i="1"/>
  <c r="K407" i="1"/>
  <c r="K399" i="1"/>
  <c r="K391" i="1"/>
  <c r="K383" i="1"/>
  <c r="K375" i="1"/>
  <c r="K367" i="1"/>
  <c r="K359" i="1"/>
  <c r="K351" i="1"/>
  <c r="K343" i="1"/>
  <c r="K335" i="1"/>
  <c r="K327" i="1"/>
  <c r="K319" i="1"/>
  <c r="K311" i="1"/>
  <c r="K303" i="1"/>
  <c r="K295" i="1"/>
  <c r="K287" i="1"/>
  <c r="K279" i="1"/>
  <c r="K271" i="1"/>
  <c r="K263" i="1"/>
  <c r="K255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376" i="1"/>
  <c r="K328" i="1"/>
  <c r="K288" i="1"/>
  <c r="K240" i="1"/>
  <c r="K184" i="1"/>
  <c r="K144" i="1"/>
  <c r="K72" i="1"/>
  <c r="K13" i="1"/>
  <c r="B13" i="1" s="1"/>
  <c r="D14" i="1" s="1"/>
  <c r="K462" i="1"/>
  <c r="K446" i="1"/>
  <c r="K430" i="1"/>
  <c r="K414" i="1"/>
  <c r="K398" i="1"/>
  <c r="K382" i="1"/>
  <c r="K366" i="1"/>
  <c r="K358" i="1"/>
  <c r="K342" i="1"/>
  <c r="K334" i="1"/>
  <c r="K326" i="1"/>
  <c r="K318" i="1"/>
  <c r="K310" i="1"/>
  <c r="K302" i="1"/>
  <c r="K294" i="1"/>
  <c r="K286" i="1"/>
  <c r="K278" i="1"/>
  <c r="K270" i="1"/>
  <c r="K262" i="1"/>
  <c r="K254" i="1"/>
  <c r="K246" i="1"/>
  <c r="K238" i="1"/>
  <c r="K230" i="1"/>
  <c r="K222" i="1"/>
  <c r="K214" i="1"/>
  <c r="K206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360" i="1"/>
  <c r="K320" i="1"/>
  <c r="K296" i="1"/>
  <c r="K256" i="1"/>
  <c r="K216" i="1"/>
  <c r="K168" i="1"/>
  <c r="K136" i="1"/>
  <c r="K80" i="1"/>
  <c r="K471" i="1"/>
  <c r="K470" i="1"/>
  <c r="K454" i="1"/>
  <c r="K438" i="1"/>
  <c r="K422" i="1"/>
  <c r="K406" i="1"/>
  <c r="K390" i="1"/>
  <c r="K374" i="1"/>
  <c r="K350" i="1"/>
  <c r="K477" i="1"/>
  <c r="K469" i="1"/>
  <c r="K461" i="1"/>
  <c r="K453" i="1"/>
  <c r="K445" i="1"/>
  <c r="K437" i="1"/>
  <c r="K429" i="1"/>
  <c r="K421" i="1"/>
  <c r="K413" i="1"/>
  <c r="K405" i="1"/>
  <c r="K397" i="1"/>
  <c r="K389" i="1"/>
  <c r="K381" i="1"/>
  <c r="K373" i="1"/>
  <c r="K365" i="1"/>
  <c r="K357" i="1"/>
  <c r="K349" i="1"/>
  <c r="K341" i="1"/>
  <c r="K333" i="1"/>
  <c r="K325" i="1"/>
  <c r="K317" i="1"/>
  <c r="K309" i="1"/>
  <c r="K301" i="1"/>
  <c r="K293" i="1"/>
  <c r="K285" i="1"/>
  <c r="K277" i="1"/>
  <c r="K269" i="1"/>
  <c r="K261" i="1"/>
  <c r="K253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B8" i="1"/>
  <c r="M94" i="2" l="1"/>
  <c r="M194" i="2"/>
  <c r="M144" i="2"/>
  <c r="M208" i="2"/>
  <c r="M171" i="2"/>
  <c r="M30" i="2"/>
  <c r="M47" i="2"/>
  <c r="M80" i="2"/>
  <c r="M140" i="2"/>
  <c r="M130" i="2"/>
  <c r="M137" i="2"/>
  <c r="M81" i="2"/>
  <c r="M13" i="2"/>
  <c r="B13" i="2" s="1"/>
  <c r="M35" i="2"/>
  <c r="M83" i="2"/>
  <c r="M16" i="2"/>
  <c r="M76" i="2"/>
  <c r="M189" i="2"/>
  <c r="M38" i="2"/>
  <c r="M102" i="2"/>
  <c r="M166" i="2"/>
  <c r="M105" i="2"/>
  <c r="M55" i="2"/>
  <c r="M119" i="2"/>
  <c r="M183" i="2"/>
  <c r="M57" i="2"/>
  <c r="M24" i="2"/>
  <c r="M88" i="2"/>
  <c r="M152" i="2"/>
  <c r="M216" i="2"/>
  <c r="M161" i="2"/>
  <c r="M20" i="2"/>
  <c r="M84" i="2"/>
  <c r="B8" i="2"/>
  <c r="M187" i="2"/>
  <c r="M34" i="2"/>
  <c r="M188" i="2"/>
  <c r="M58" i="2"/>
  <c r="M205" i="2"/>
  <c r="M45" i="2"/>
  <c r="M197" i="2"/>
  <c r="M133" i="2"/>
  <c r="M163" i="2"/>
  <c r="M85" i="2"/>
  <c r="M19" i="2"/>
  <c r="M43" i="2"/>
  <c r="M66" i="2"/>
  <c r="M42" i="2"/>
  <c r="M46" i="2"/>
  <c r="M110" i="2"/>
  <c r="M174" i="2"/>
  <c r="M129" i="2"/>
  <c r="M63" i="2"/>
  <c r="M127" i="2"/>
  <c r="M191" i="2"/>
  <c r="M97" i="2"/>
  <c r="M32" i="2"/>
  <c r="M96" i="2"/>
  <c r="M160" i="2"/>
  <c r="M224" i="2"/>
  <c r="M185" i="2"/>
  <c r="M28" i="2"/>
  <c r="M92" i="2"/>
  <c r="M51" i="2"/>
  <c r="M203" i="2"/>
  <c r="M53" i="2"/>
  <c r="M204" i="2"/>
  <c r="M77" i="2"/>
  <c r="M221" i="2"/>
  <c r="M67" i="2"/>
  <c r="M213" i="2"/>
  <c r="M154" i="2"/>
  <c r="M164" i="2"/>
  <c r="M106" i="2"/>
  <c r="M148" i="2"/>
  <c r="M125" i="2"/>
  <c r="M54" i="2"/>
  <c r="M71" i="2"/>
  <c r="M135" i="2"/>
  <c r="M199" i="2"/>
  <c r="M121" i="2"/>
  <c r="M40" i="2"/>
  <c r="M104" i="2"/>
  <c r="M168" i="2"/>
  <c r="M209" i="2"/>
  <c r="M36" i="2"/>
  <c r="M100" i="2"/>
  <c r="M74" i="2"/>
  <c r="M219" i="2"/>
  <c r="M75" i="2"/>
  <c r="M220" i="2"/>
  <c r="M99" i="2"/>
  <c r="M90" i="2"/>
  <c r="M170" i="2"/>
  <c r="M179" i="2"/>
  <c r="M61" i="2"/>
  <c r="M212" i="2"/>
  <c r="M195" i="2"/>
  <c r="M143" i="2"/>
  <c r="M108" i="2"/>
  <c r="M98" i="2"/>
  <c r="M122" i="2"/>
  <c r="M18" i="2"/>
  <c r="M109" i="2"/>
  <c r="M27" i="2"/>
  <c r="M186" i="2"/>
  <c r="M147" i="2"/>
  <c r="M182" i="2"/>
  <c r="M190" i="2"/>
  <c r="M25" i="2"/>
  <c r="M15" i="2"/>
  <c r="M145" i="2"/>
  <c r="M112" i="2"/>
  <c r="M93" i="2"/>
  <c r="M70" i="2"/>
  <c r="M134" i="2"/>
  <c r="M198" i="2"/>
  <c r="M33" i="2"/>
  <c r="M201" i="2"/>
  <c r="M23" i="2"/>
  <c r="M87" i="2"/>
  <c r="M151" i="2"/>
  <c r="M215" i="2"/>
  <c r="M169" i="2"/>
  <c r="M56" i="2"/>
  <c r="M120" i="2"/>
  <c r="M184" i="2"/>
  <c r="M73" i="2"/>
  <c r="M52" i="2"/>
  <c r="M116" i="2"/>
  <c r="M115" i="2"/>
  <c r="M37" i="2"/>
  <c r="M117" i="2"/>
  <c r="M59" i="2"/>
  <c r="M141" i="2"/>
  <c r="M101" i="2"/>
  <c r="M131" i="2"/>
  <c r="M50" i="2"/>
  <c r="M202" i="2"/>
  <c r="M211" i="2"/>
  <c r="M17" i="2"/>
  <c r="M62" i="2"/>
  <c r="M177" i="2"/>
  <c r="M207" i="2"/>
  <c r="M176" i="2"/>
  <c r="M44" i="2"/>
  <c r="M14" i="2"/>
  <c r="M78" i="2"/>
  <c r="M142" i="2"/>
  <c r="M206" i="2"/>
  <c r="M41" i="2"/>
  <c r="M31" i="2"/>
  <c r="M95" i="2"/>
  <c r="M159" i="2"/>
  <c r="M223" i="2"/>
  <c r="M193" i="2"/>
  <c r="M64" i="2"/>
  <c r="M128" i="2"/>
  <c r="M192" i="2"/>
  <c r="M89" i="2"/>
  <c r="M60" i="2"/>
  <c r="M124" i="2"/>
  <c r="M138" i="2"/>
  <c r="M82" i="2"/>
  <c r="M139" i="2"/>
  <c r="M123" i="2"/>
  <c r="M157" i="2"/>
  <c r="M162" i="2"/>
  <c r="M149" i="2"/>
  <c r="M69" i="2"/>
  <c r="M218" i="2"/>
  <c r="M107" i="2"/>
  <c r="M118" i="2"/>
  <c r="M153" i="2"/>
  <c r="M126" i="2"/>
  <c r="M79" i="2"/>
  <c r="M48" i="2"/>
  <c r="M49" i="2"/>
  <c r="M22" i="2"/>
  <c r="M86" i="2"/>
  <c r="M150" i="2"/>
  <c r="M214" i="2"/>
  <c r="M65" i="2"/>
  <c r="M39" i="2"/>
  <c r="M103" i="2"/>
  <c r="M167" i="2"/>
  <c r="M217" i="2"/>
  <c r="M72" i="2"/>
  <c r="M136" i="2"/>
  <c r="M200" i="2"/>
  <c r="M113" i="2"/>
  <c r="M68" i="2"/>
  <c r="M132" i="2"/>
  <c r="M155" i="2"/>
  <c r="M146" i="2"/>
  <c r="M156" i="2"/>
  <c r="M178" i="2"/>
  <c r="M173" i="2"/>
  <c r="M210" i="2"/>
  <c r="M165" i="2"/>
  <c r="M91" i="2"/>
  <c r="M180" i="2"/>
  <c r="M21" i="2"/>
  <c r="M196" i="2"/>
  <c r="H14" i="1"/>
  <c r="D13" i="1"/>
  <c r="F13" i="1" l="1"/>
  <c r="G13" i="1" s="1"/>
  <c r="M13" i="1" s="1"/>
  <c r="H13" i="1"/>
  <c r="I14" i="1" l="1"/>
  <c r="F14" i="1" l="1"/>
  <c r="O14" i="1"/>
  <c r="J14" i="1"/>
  <c r="G14" i="1"/>
  <c r="M14" i="1" s="1"/>
  <c r="C14" i="1" l="1"/>
  <c r="B14" i="1"/>
  <c r="D15" i="1" s="1"/>
  <c r="D14" i="2"/>
  <c r="H14" i="2" s="1"/>
  <c r="I14" i="2" l="1"/>
  <c r="V14" i="2"/>
  <c r="S14" i="2"/>
  <c r="J14" i="2"/>
  <c r="F14" i="2"/>
  <c r="G14" i="2" s="1"/>
  <c r="R14" i="2" s="1"/>
  <c r="C14" i="2"/>
  <c r="N14" i="2" l="1"/>
  <c r="B14" i="2"/>
  <c r="D15" i="2" s="1"/>
  <c r="H15" i="2" l="1"/>
  <c r="I15" i="2" l="1"/>
  <c r="Z15" i="2" s="1"/>
  <c r="V15" i="2"/>
  <c r="S15" i="2"/>
  <c r="J15" i="2"/>
  <c r="F15" i="2"/>
  <c r="G15" i="2" s="1"/>
  <c r="L15" i="2"/>
  <c r="C15" i="2" s="1"/>
  <c r="R15" i="2" l="1"/>
  <c r="Y15" i="2"/>
  <c r="N15" i="2"/>
  <c r="K15" i="2"/>
  <c r="B15" i="2"/>
  <c r="D16" i="2" s="1"/>
  <c r="H16" i="2" s="1"/>
  <c r="I16" i="2" l="1"/>
  <c r="Z16" i="2" s="1"/>
  <c r="V16" i="2"/>
  <c r="S16" i="2"/>
  <c r="J16" i="2"/>
  <c r="L16" i="2"/>
  <c r="C16" i="2" s="1"/>
  <c r="F16" i="2"/>
  <c r="G16" i="2" s="1"/>
  <c r="R16" i="2" l="1"/>
  <c r="Y16" i="2"/>
  <c r="K16" i="2"/>
  <c r="N16" i="2"/>
  <c r="B16" i="2"/>
  <c r="D17" i="2" s="1"/>
  <c r="H17" i="2" l="1"/>
  <c r="I17" i="2" l="1"/>
  <c r="V17" i="2"/>
  <c r="S17" i="2"/>
  <c r="L17" i="2"/>
  <c r="C17" i="2" s="1"/>
  <c r="F17" i="2"/>
  <c r="G17" i="2" s="1"/>
  <c r="R17" i="2" l="1"/>
  <c r="Y17" i="2"/>
  <c r="J17" i="2"/>
  <c r="Z17" i="2"/>
  <c r="K17" i="2" l="1"/>
  <c r="B17" i="2" s="1"/>
  <c r="D18" i="2" s="1"/>
  <c r="H18" i="2" s="1"/>
  <c r="N17" i="2"/>
  <c r="I18" i="2"/>
  <c r="Z18" i="2" s="1"/>
  <c r="V18" i="2"/>
  <c r="S18" i="2"/>
  <c r="J18" i="2"/>
  <c r="F18" i="2"/>
  <c r="G18" i="2" s="1"/>
  <c r="L18" i="2"/>
  <c r="C18" i="2" s="1"/>
  <c r="R18" i="2" l="1"/>
  <c r="Y18" i="2"/>
  <c r="K18" i="2"/>
  <c r="N18" i="2"/>
  <c r="B18" i="2"/>
  <c r="D19" i="2" s="1"/>
  <c r="H19" i="2" l="1"/>
  <c r="I19" i="2" l="1"/>
  <c r="Z19" i="2" s="1"/>
  <c r="V19" i="2"/>
  <c r="S19" i="2"/>
  <c r="J19" i="2"/>
  <c r="L19" i="2"/>
  <c r="C19" i="2" s="1"/>
  <c r="F19" i="2"/>
  <c r="G19" i="2" s="1"/>
  <c r="R19" i="2" l="1"/>
  <c r="Y19" i="2"/>
  <c r="K19" i="2"/>
  <c r="B19" i="2" s="1"/>
  <c r="D20" i="2" s="1"/>
  <c r="N19" i="2"/>
  <c r="H20" i="2" l="1"/>
  <c r="I20" i="2" l="1"/>
  <c r="V20" i="2"/>
  <c r="F20" i="2"/>
  <c r="G20" i="2" s="1"/>
  <c r="S20" i="2"/>
  <c r="L20" i="2"/>
  <c r="C20" i="2" s="1"/>
  <c r="R20" i="2" l="1"/>
  <c r="Y20" i="2"/>
  <c r="J20" i="2"/>
  <c r="Z20" i="2"/>
  <c r="K20" i="2" l="1"/>
  <c r="B20" i="2" s="1"/>
  <c r="D21" i="2" s="1"/>
  <c r="H21" i="2" s="1"/>
  <c r="N20" i="2"/>
  <c r="I21" i="2"/>
  <c r="V21" i="2"/>
  <c r="F21" i="2"/>
  <c r="G21" i="2" s="1"/>
  <c r="S21" i="2"/>
  <c r="R21" i="2" l="1"/>
  <c r="Y21" i="2"/>
  <c r="J21" i="2"/>
  <c r="Z21" i="2"/>
  <c r="L21" i="2"/>
  <c r="C21" i="2" s="1"/>
  <c r="K21" i="2" l="1"/>
  <c r="B21" i="2" s="1"/>
  <c r="D22" i="2" s="1"/>
  <c r="H22" i="2" s="1"/>
  <c r="N21" i="2"/>
  <c r="I22" i="2"/>
  <c r="V22" i="2"/>
  <c r="L22" i="2"/>
  <c r="C22" i="2" s="1"/>
  <c r="S22" i="2"/>
  <c r="J22" i="2" l="1"/>
  <c r="Z22" i="2"/>
  <c r="F22" i="2"/>
  <c r="G22" i="2" s="1"/>
  <c r="R22" i="2" l="1"/>
  <c r="Y22" i="2"/>
  <c r="K22" i="2"/>
  <c r="B22" i="2" s="1"/>
  <c r="D23" i="2" s="1"/>
  <c r="H23" i="2" s="1"/>
  <c r="N22" i="2"/>
  <c r="I23" i="2"/>
  <c r="F23" i="2" s="1"/>
  <c r="G23" i="2" s="1"/>
  <c r="V23" i="2"/>
  <c r="R23" i="2" l="1"/>
  <c r="Y23" i="2"/>
  <c r="J23" i="2"/>
  <c r="Z23" i="2"/>
  <c r="S23" i="2"/>
  <c r="L23" i="2"/>
  <c r="C23" i="2" s="1"/>
  <c r="K23" i="2" l="1"/>
  <c r="B23" i="2" s="1"/>
  <c r="D24" i="2" s="1"/>
  <c r="H24" i="2" s="1"/>
  <c r="N23" i="2"/>
  <c r="I24" i="2"/>
  <c r="V24" i="2"/>
  <c r="L24" i="2"/>
  <c r="C24" i="2" s="1"/>
  <c r="S24" i="2"/>
  <c r="J24" i="2" l="1"/>
  <c r="Z24" i="2"/>
  <c r="F24" i="2"/>
  <c r="G24" i="2" s="1"/>
  <c r="R24" i="2" l="1"/>
  <c r="Y24" i="2"/>
  <c r="K24" i="2"/>
  <c r="B24" i="2" s="1"/>
  <c r="D25" i="2" s="1"/>
  <c r="H25" i="2" s="1"/>
  <c r="N24" i="2"/>
  <c r="I25" i="2"/>
  <c r="F25" i="2" s="1"/>
  <c r="G25" i="2" s="1"/>
  <c r="V25" i="2"/>
  <c r="R25" i="2" l="1"/>
  <c r="Y25" i="2"/>
  <c r="J25" i="2"/>
  <c r="Z25" i="2"/>
  <c r="L25" i="2"/>
  <c r="C25" i="2" s="1"/>
  <c r="S25" i="2"/>
  <c r="N25" i="2" l="1"/>
  <c r="K25" i="2"/>
  <c r="B25" i="2" s="1"/>
  <c r="D26" i="2" s="1"/>
  <c r="H26" i="2" s="1"/>
  <c r="I26" i="2"/>
  <c r="V26" i="2"/>
  <c r="S26" i="2"/>
  <c r="F26" i="2"/>
  <c r="G26" i="2" s="1"/>
  <c r="J26" i="2" l="1"/>
  <c r="Z26" i="2"/>
  <c r="R26" i="2"/>
  <c r="Y26" i="2"/>
  <c r="L26" i="2"/>
  <c r="C26" i="2" s="1"/>
  <c r="K26" i="2" l="1"/>
  <c r="B26" i="2" s="1"/>
  <c r="D27" i="2" s="1"/>
  <c r="H27" i="2" s="1"/>
  <c r="N26" i="2"/>
  <c r="I27" i="2"/>
  <c r="Z27" i="2" s="1"/>
  <c r="V27" i="2"/>
  <c r="S27" i="2"/>
  <c r="J27" i="2"/>
  <c r="L27" i="2"/>
  <c r="C27" i="2" s="1"/>
  <c r="F27" i="2"/>
  <c r="G27" i="2" s="1"/>
  <c r="R27" i="2" l="1"/>
  <c r="Y27" i="2"/>
  <c r="K27" i="2"/>
  <c r="N27" i="2"/>
  <c r="B27" i="2"/>
  <c r="D28" i="2" s="1"/>
  <c r="H28" i="2" s="1"/>
  <c r="I28" i="2" l="1"/>
  <c r="V28" i="2"/>
  <c r="L28" i="2"/>
  <c r="C28" i="2" s="1"/>
  <c r="S28" i="2"/>
  <c r="F28" i="2"/>
  <c r="G28" i="2" s="1"/>
  <c r="R28" i="2" l="1"/>
  <c r="Y28" i="2"/>
  <c r="J28" i="2"/>
  <c r="Z28" i="2"/>
  <c r="K28" i="2" l="1"/>
  <c r="B28" i="2" s="1"/>
  <c r="D29" i="2" s="1"/>
  <c r="H29" i="2" s="1"/>
  <c r="N28" i="2"/>
  <c r="I29" i="2"/>
  <c r="V29" i="2"/>
  <c r="L29" i="2"/>
  <c r="C29" i="2" s="1"/>
  <c r="S29" i="2"/>
  <c r="J29" i="2" l="1"/>
  <c r="Z29" i="2"/>
  <c r="F29" i="2"/>
  <c r="G29" i="2" s="1"/>
  <c r="R29" i="2" l="1"/>
  <c r="Y29" i="2"/>
  <c r="K29" i="2"/>
  <c r="B29" i="2" s="1"/>
  <c r="D30" i="2" s="1"/>
  <c r="H30" i="2" s="1"/>
  <c r="N29" i="2"/>
  <c r="I30" i="2"/>
  <c r="Z30" i="2" s="1"/>
  <c r="V30" i="2"/>
  <c r="S30" i="2"/>
  <c r="J30" i="2"/>
  <c r="F30" i="2" l="1"/>
  <c r="G30" i="2" s="1"/>
  <c r="L30" i="2"/>
  <c r="C30" i="2" s="1"/>
  <c r="T31" i="2" s="1"/>
  <c r="K30" i="2"/>
  <c r="N30" i="2"/>
  <c r="B30" i="2"/>
  <c r="D31" i="2" s="1"/>
  <c r="R30" i="2" l="1"/>
  <c r="Y30" i="2"/>
  <c r="H31" i="2"/>
  <c r="I31" i="2" l="1"/>
  <c r="V31" i="2"/>
  <c r="F31" i="2"/>
  <c r="G31" i="2" s="1"/>
  <c r="S31" i="2"/>
  <c r="L31" i="2"/>
  <c r="C31" i="2" s="1"/>
  <c r="R31" i="2" l="1"/>
  <c r="Y31" i="2"/>
  <c r="J31" i="2"/>
  <c r="Z31" i="2"/>
  <c r="T32" i="2"/>
  <c r="K31" i="2" l="1"/>
  <c r="B31" i="2" s="1"/>
  <c r="D32" i="2" s="1"/>
  <c r="H32" i="2" s="1"/>
  <c r="N31" i="2"/>
  <c r="I32" i="2"/>
  <c r="Z32" i="2" s="1"/>
  <c r="V32" i="2"/>
  <c r="S32" i="2"/>
  <c r="J32" i="2"/>
  <c r="F32" i="2"/>
  <c r="G32" i="2" s="1"/>
  <c r="L32" i="2"/>
  <c r="C32" i="2" s="1"/>
  <c r="R32" i="2" l="1"/>
  <c r="Y32" i="2"/>
  <c r="K32" i="2"/>
  <c r="N32" i="2"/>
  <c r="T33" i="2"/>
  <c r="B32" i="2"/>
  <c r="D33" i="2" s="1"/>
  <c r="H33" i="2" s="1"/>
  <c r="I33" i="2" l="1"/>
  <c r="V33" i="2"/>
  <c r="L33" i="2"/>
  <c r="C33" i="2" s="1"/>
  <c r="S33" i="2"/>
  <c r="F33" i="2"/>
  <c r="G33" i="2" s="1"/>
  <c r="R33" i="2" l="1"/>
  <c r="Y33" i="2"/>
  <c r="J33" i="2"/>
  <c r="Z33" i="2"/>
  <c r="T34" i="2"/>
  <c r="K33" i="2" l="1"/>
  <c r="B33" i="2" s="1"/>
  <c r="D34" i="2" s="1"/>
  <c r="H34" i="2" s="1"/>
  <c r="N33" i="2"/>
  <c r="I34" i="2"/>
  <c r="V34" i="2"/>
  <c r="F34" i="2"/>
  <c r="G34" i="2" s="1"/>
  <c r="S34" i="2"/>
  <c r="R34" i="2" l="1"/>
  <c r="Y34" i="2"/>
  <c r="J34" i="2"/>
  <c r="Z34" i="2"/>
  <c r="L34" i="2"/>
  <c r="C34" i="2" s="1"/>
  <c r="T35" i="2"/>
  <c r="K34" i="2" l="1"/>
  <c r="B34" i="2" s="1"/>
  <c r="D35" i="2" s="1"/>
  <c r="H35" i="2" s="1"/>
  <c r="N34" i="2"/>
  <c r="I35" i="2"/>
  <c r="Z35" i="2" s="1"/>
  <c r="V35" i="2"/>
  <c r="S35" i="2"/>
  <c r="J35" i="2"/>
  <c r="L35" i="2"/>
  <c r="C35" i="2" s="1"/>
  <c r="F35" i="2"/>
  <c r="G35" i="2" s="1"/>
  <c r="R35" i="2" l="1"/>
  <c r="Y35" i="2"/>
  <c r="K35" i="2"/>
  <c r="N35" i="2"/>
  <c r="T36" i="2"/>
  <c r="B35" i="2"/>
  <c r="D36" i="2" s="1"/>
  <c r="H36" i="2" l="1"/>
  <c r="I36" i="2" l="1"/>
  <c r="V36" i="2"/>
  <c r="L36" i="2"/>
  <c r="C36" i="2" s="1"/>
  <c r="T37" i="2" s="1"/>
  <c r="S36" i="2"/>
  <c r="F36" i="2"/>
  <c r="G36" i="2" s="1"/>
  <c r="R36" i="2" l="1"/>
  <c r="Y36" i="2"/>
  <c r="J36" i="2"/>
  <c r="Z36" i="2"/>
  <c r="K36" i="2" l="1"/>
  <c r="B36" i="2" s="1"/>
  <c r="D37" i="2" s="1"/>
  <c r="H37" i="2" s="1"/>
  <c r="N36" i="2"/>
  <c r="I37" i="2"/>
  <c r="Z37" i="2" s="1"/>
  <c r="V37" i="2"/>
  <c r="L37" i="2"/>
  <c r="C37" i="2" s="1"/>
  <c r="J37" i="2"/>
  <c r="S37" i="2"/>
  <c r="F37" i="2"/>
  <c r="G37" i="2" s="1"/>
  <c r="R37" i="2" l="1"/>
  <c r="Y37" i="2"/>
  <c r="K37" i="2"/>
  <c r="B37" i="2" s="1"/>
  <c r="D38" i="2" s="1"/>
  <c r="N37" i="2"/>
  <c r="E38" i="2"/>
  <c r="T38" i="2" s="1"/>
  <c r="H38" i="2" l="1"/>
  <c r="I38" i="2" l="1"/>
  <c r="V38" i="2"/>
  <c r="L38" i="2"/>
  <c r="C38" i="2" s="1"/>
  <c r="E39" i="2" s="1"/>
  <c r="T39" i="2" s="1"/>
  <c r="J38" i="2"/>
  <c r="F38" i="2"/>
  <c r="G38" i="2" s="1"/>
  <c r="R38" i="2" l="1"/>
  <c r="Y38" i="2"/>
  <c r="S38" i="2"/>
  <c r="Z38" i="2"/>
  <c r="K38" i="2"/>
  <c r="B38" i="2" s="1"/>
  <c r="D39" i="2" s="1"/>
  <c r="H39" i="2" s="1"/>
  <c r="N38" i="2"/>
  <c r="I39" i="2" l="1"/>
  <c r="Z39" i="2" s="1"/>
  <c r="V39" i="2"/>
  <c r="S39" i="2"/>
  <c r="J39" i="2"/>
  <c r="F39" i="2"/>
  <c r="G39" i="2" s="1"/>
  <c r="L39" i="2"/>
  <c r="C39" i="2" s="1"/>
  <c r="E40" i="2" s="1"/>
  <c r="R39" i="2" l="1"/>
  <c r="Y39" i="2"/>
  <c r="K39" i="2"/>
  <c r="B39" i="2" s="1"/>
  <c r="D40" i="2" s="1"/>
  <c r="N39" i="2"/>
  <c r="T40" i="2"/>
  <c r="H40" i="2" l="1"/>
  <c r="I40" i="2" l="1"/>
  <c r="V40" i="2"/>
  <c r="S40" i="2"/>
  <c r="L40" i="2"/>
  <c r="C40" i="2" s="1"/>
  <c r="E41" i="2" s="1"/>
  <c r="F40" i="2"/>
  <c r="G40" i="2" s="1"/>
  <c r="R40" i="2" l="1"/>
  <c r="Y40" i="2"/>
  <c r="J40" i="2"/>
  <c r="Z40" i="2"/>
  <c r="T41" i="2"/>
  <c r="K40" i="2" l="1"/>
  <c r="B40" i="2" s="1"/>
  <c r="D41" i="2" s="1"/>
  <c r="H41" i="2" s="1"/>
  <c r="N40" i="2"/>
  <c r="I41" i="2"/>
  <c r="Z41" i="2" s="1"/>
  <c r="V41" i="2"/>
  <c r="S41" i="2"/>
  <c r="J41" i="2"/>
  <c r="F41" i="2"/>
  <c r="G41" i="2" s="1"/>
  <c r="L41" i="2"/>
  <c r="C41" i="2" s="1"/>
  <c r="E42" i="2" s="1"/>
  <c r="R41" i="2" l="1"/>
  <c r="Y41" i="2"/>
  <c r="K41" i="2"/>
  <c r="B41" i="2" s="1"/>
  <c r="D42" i="2" s="1"/>
  <c r="H42" i="2" s="1"/>
  <c r="N41" i="2"/>
  <c r="T42" i="2"/>
  <c r="I42" i="2" l="1"/>
  <c r="Z42" i="2" s="1"/>
  <c r="V42" i="2"/>
  <c r="S42" i="2"/>
  <c r="J42" i="2"/>
  <c r="L42" i="2"/>
  <c r="C42" i="2" s="1"/>
  <c r="E43" i="2" s="1"/>
  <c r="F42" i="2"/>
  <c r="G42" i="2" s="1"/>
  <c r="R42" i="2" l="1"/>
  <c r="Y42" i="2"/>
  <c r="K42" i="2"/>
  <c r="B42" i="2" s="1"/>
  <c r="D43" i="2" s="1"/>
  <c r="N42" i="2"/>
  <c r="T43" i="2"/>
  <c r="H43" i="2" l="1"/>
  <c r="I43" i="2" l="1"/>
  <c r="V43" i="2"/>
  <c r="F43" i="2"/>
  <c r="G43" i="2" s="1"/>
  <c r="S43" i="2"/>
  <c r="L43" i="2"/>
  <c r="C43" i="2" s="1"/>
  <c r="E44" i="2" s="1"/>
  <c r="R43" i="2" l="1"/>
  <c r="Y43" i="2"/>
  <c r="J43" i="2"/>
  <c r="Z43" i="2"/>
  <c r="T44" i="2"/>
  <c r="K43" i="2" l="1"/>
  <c r="B43" i="2" s="1"/>
  <c r="D44" i="2" s="1"/>
  <c r="H44" i="2" s="1"/>
  <c r="N43" i="2"/>
  <c r="I44" i="2"/>
  <c r="V44" i="2"/>
  <c r="F44" i="2"/>
  <c r="G44" i="2" s="1"/>
  <c r="S44" i="2"/>
  <c r="R44" i="2" l="1"/>
  <c r="Y44" i="2"/>
  <c r="J44" i="2"/>
  <c r="Z44" i="2"/>
  <c r="L44" i="2"/>
  <c r="C44" i="2" s="1"/>
  <c r="E45" i="2" s="1"/>
  <c r="T45" i="2"/>
  <c r="N44" i="2" l="1"/>
  <c r="K44" i="2"/>
  <c r="B44" i="2" s="1"/>
  <c r="D45" i="2" s="1"/>
  <c r="H45" i="2" s="1"/>
  <c r="I45" i="2"/>
  <c r="Z45" i="2" s="1"/>
  <c r="V45" i="2"/>
  <c r="S45" i="2"/>
  <c r="J45" i="2"/>
  <c r="L45" i="2"/>
  <c r="C45" i="2" s="1"/>
  <c r="E46" i="2" s="1"/>
  <c r="F45" i="2"/>
  <c r="G45" i="2" s="1"/>
  <c r="R45" i="2" l="1"/>
  <c r="Y45" i="2"/>
  <c r="K45" i="2"/>
  <c r="B45" i="2" s="1"/>
  <c r="D46" i="2" s="1"/>
  <c r="N45" i="2"/>
  <c r="T46" i="2"/>
  <c r="H46" i="2" l="1"/>
  <c r="I46" i="2" l="1"/>
  <c r="Z46" i="2" s="1"/>
  <c r="V46" i="2"/>
  <c r="S46" i="2"/>
  <c r="J46" i="2"/>
  <c r="F46" i="2"/>
  <c r="G46" i="2" s="1"/>
  <c r="L46" i="2"/>
  <c r="C46" i="2" s="1"/>
  <c r="E47" i="2" s="1"/>
  <c r="R46" i="2" l="1"/>
  <c r="Y46" i="2"/>
  <c r="K46" i="2"/>
  <c r="B46" i="2" s="1"/>
  <c r="D47" i="2" s="1"/>
  <c r="H47" i="2" s="1"/>
  <c r="N46" i="2"/>
  <c r="T47" i="2"/>
  <c r="I47" i="2" l="1"/>
  <c r="V47" i="2"/>
  <c r="F47" i="2"/>
  <c r="G47" i="2" s="1"/>
  <c r="S47" i="2"/>
  <c r="L47" i="2"/>
  <c r="C47" i="2" s="1"/>
  <c r="E48" i="2" s="1"/>
  <c r="R47" i="2" l="1"/>
  <c r="Y47" i="2"/>
  <c r="J47" i="2"/>
  <c r="Z47" i="2"/>
  <c r="T48" i="2"/>
  <c r="K47" i="2" l="1"/>
  <c r="B47" i="2" s="1"/>
  <c r="D48" i="2" s="1"/>
  <c r="H48" i="2" s="1"/>
  <c r="N47" i="2"/>
  <c r="I48" i="2"/>
  <c r="V48" i="2"/>
  <c r="L48" i="2"/>
  <c r="C48" i="2" s="1"/>
  <c r="E49" i="2" s="1"/>
  <c r="T49" i="2" s="1"/>
  <c r="S48" i="2"/>
  <c r="J48" i="2" l="1"/>
  <c r="Z48" i="2"/>
  <c r="F48" i="2"/>
  <c r="G48" i="2" s="1"/>
  <c r="R48" i="2" l="1"/>
  <c r="Y48" i="2"/>
  <c r="N48" i="2"/>
  <c r="K48" i="2"/>
  <c r="B48" i="2" s="1"/>
  <c r="D49" i="2" s="1"/>
  <c r="H49" i="2" s="1"/>
  <c r="I49" i="2" s="1"/>
  <c r="J49" i="2" l="1"/>
  <c r="Z49" i="2"/>
  <c r="L49" i="2"/>
  <c r="C49" i="2" s="1"/>
  <c r="E50" i="2" s="1"/>
  <c r="T50" i="2" s="1"/>
  <c r="S49" i="2"/>
  <c r="F49" i="2"/>
  <c r="G49" i="2" s="1"/>
  <c r="V49" i="2"/>
  <c r="R49" i="2" l="1"/>
  <c r="Y49" i="2"/>
  <c r="K49" i="2"/>
  <c r="B49" i="2" s="1"/>
  <c r="D50" i="2" s="1"/>
  <c r="H50" i="2" s="1"/>
  <c r="N49" i="2"/>
  <c r="I50" i="2"/>
  <c r="V50" i="2"/>
  <c r="J50" i="2" l="1"/>
  <c r="Z50" i="2"/>
  <c r="F50" i="2"/>
  <c r="G50" i="2" s="1"/>
  <c r="S50" i="2"/>
  <c r="L50" i="2"/>
  <c r="C50" i="2" s="1"/>
  <c r="E51" i="2" s="1"/>
  <c r="T51" i="2" s="1"/>
  <c r="R50" i="2" l="1"/>
  <c r="Y50" i="2"/>
  <c r="N50" i="2"/>
  <c r="K50" i="2"/>
  <c r="B50" i="2" s="1"/>
  <c r="D51" i="2" s="1"/>
  <c r="H51" i="2" s="1"/>
  <c r="I51" i="2"/>
  <c r="Z51" i="2" s="1"/>
  <c r="V51" i="2"/>
  <c r="S51" i="2"/>
  <c r="J51" i="2"/>
  <c r="F51" i="2" l="1"/>
  <c r="G51" i="2" s="1"/>
  <c r="L51" i="2"/>
  <c r="C51" i="2" s="1"/>
  <c r="E52" i="2" s="1"/>
  <c r="T52" i="2" s="1"/>
  <c r="K51" i="2"/>
  <c r="B51" i="2" s="1"/>
  <c r="D52" i="2" s="1"/>
  <c r="H52" i="2" s="1"/>
  <c r="N51" i="2"/>
  <c r="R51" i="2" l="1"/>
  <c r="Y51" i="2"/>
  <c r="I52" i="2"/>
  <c r="V52" i="2"/>
  <c r="F52" i="2"/>
  <c r="G52" i="2" s="1"/>
  <c r="S52" i="2"/>
  <c r="R52" i="2" l="1"/>
  <c r="Y52" i="2"/>
  <c r="J52" i="2"/>
  <c r="Z52" i="2"/>
  <c r="L52" i="2"/>
  <c r="C52" i="2" s="1"/>
  <c r="E53" i="2" s="1"/>
  <c r="T53" i="2" s="1"/>
  <c r="K52" i="2" l="1"/>
  <c r="B52" i="2" s="1"/>
  <c r="D53" i="2" s="1"/>
  <c r="H53" i="2" s="1"/>
  <c r="N52" i="2"/>
  <c r="I53" i="2"/>
  <c r="Z53" i="2" s="1"/>
  <c r="V53" i="2"/>
  <c r="S53" i="2"/>
  <c r="J53" i="2"/>
  <c r="L53" i="2"/>
  <c r="C53" i="2" s="1"/>
  <c r="E54" i="2" s="1"/>
  <c r="T54" i="2" s="1"/>
  <c r="F53" i="2"/>
  <c r="G53" i="2" s="1"/>
  <c r="R53" i="2" l="1"/>
  <c r="Y53" i="2"/>
  <c r="K53" i="2"/>
  <c r="B53" i="2" s="1"/>
  <c r="D54" i="2" s="1"/>
  <c r="H54" i="2" s="1"/>
  <c r="N53" i="2"/>
  <c r="I54" i="2" l="1"/>
  <c r="V54" i="2"/>
  <c r="F54" i="2"/>
  <c r="G54" i="2" s="1"/>
  <c r="S54" i="2"/>
  <c r="L54" i="2"/>
  <c r="C54" i="2" s="1"/>
  <c r="E55" i="2" s="1"/>
  <c r="T55" i="2" s="1"/>
  <c r="R54" i="2" l="1"/>
  <c r="Y54" i="2"/>
  <c r="J54" i="2"/>
  <c r="Z54" i="2"/>
  <c r="K54" i="2" l="1"/>
  <c r="B54" i="2" s="1"/>
  <c r="D55" i="2" s="1"/>
  <c r="H55" i="2" s="1"/>
  <c r="N54" i="2"/>
  <c r="I55" i="2"/>
  <c r="Z55" i="2" s="1"/>
  <c r="V55" i="2"/>
  <c r="S55" i="2"/>
  <c r="J55" i="2"/>
  <c r="F55" i="2"/>
  <c r="G55" i="2" s="1"/>
  <c r="L55" i="2"/>
  <c r="C55" i="2" s="1"/>
  <c r="E56" i="2" s="1"/>
  <c r="T56" i="2" s="1"/>
  <c r="R55" i="2" l="1"/>
  <c r="Y55" i="2"/>
  <c r="K55" i="2"/>
  <c r="B55" i="2" s="1"/>
  <c r="D56" i="2" s="1"/>
  <c r="N55" i="2"/>
  <c r="H56" i="2" l="1"/>
  <c r="I56" i="2" l="1"/>
  <c r="Z56" i="2" s="1"/>
  <c r="V56" i="2"/>
  <c r="S56" i="2"/>
  <c r="J56" i="2"/>
  <c r="F56" i="2"/>
  <c r="G56" i="2" s="1"/>
  <c r="L56" i="2"/>
  <c r="C56" i="2" s="1"/>
  <c r="E57" i="2" s="1"/>
  <c r="T57" i="2" s="1"/>
  <c r="R56" i="2" l="1"/>
  <c r="Y56" i="2"/>
  <c r="K56" i="2"/>
  <c r="B56" i="2" s="1"/>
  <c r="D57" i="2" s="1"/>
  <c r="N56" i="2"/>
  <c r="H57" i="2" l="1"/>
  <c r="I57" i="2" l="1"/>
  <c r="V57" i="2"/>
  <c r="S57" i="2"/>
  <c r="F57" i="2"/>
  <c r="G57" i="2" s="1"/>
  <c r="L57" i="2"/>
  <c r="C57" i="2" s="1"/>
  <c r="E58" i="2" s="1"/>
  <c r="T58" i="2" s="1"/>
  <c r="R57" i="2" l="1"/>
  <c r="Y57" i="2"/>
  <c r="J57" i="2"/>
  <c r="Z57" i="2"/>
  <c r="K57" i="2" l="1"/>
  <c r="B57" i="2" s="1"/>
  <c r="D58" i="2" s="1"/>
  <c r="H58" i="2" s="1"/>
  <c r="N57" i="2"/>
  <c r="I58" i="2"/>
  <c r="Z58" i="2" s="1"/>
  <c r="V58" i="2"/>
  <c r="S58" i="2"/>
  <c r="J58" i="2"/>
  <c r="L58" i="2"/>
  <c r="C58" i="2" s="1"/>
  <c r="E59" i="2" s="1"/>
  <c r="T59" i="2" s="1"/>
  <c r="F58" i="2"/>
  <c r="G58" i="2" s="1"/>
  <c r="R58" i="2" l="1"/>
  <c r="Y58" i="2"/>
  <c r="K58" i="2"/>
  <c r="B58" i="2" s="1"/>
  <c r="D59" i="2" s="1"/>
  <c r="N58" i="2"/>
  <c r="H59" i="2" l="1"/>
  <c r="I59" i="2" l="1"/>
  <c r="V59" i="2"/>
  <c r="S59" i="2"/>
  <c r="L59" i="2"/>
  <c r="C59" i="2" s="1"/>
  <c r="E60" i="2" s="1"/>
  <c r="T60" i="2" s="1"/>
  <c r="F59" i="2"/>
  <c r="G59" i="2" s="1"/>
  <c r="R59" i="2" l="1"/>
  <c r="Y59" i="2"/>
  <c r="J59" i="2"/>
  <c r="Z59" i="2"/>
  <c r="K59" i="2" l="1"/>
  <c r="B59" i="2" s="1"/>
  <c r="D60" i="2" s="1"/>
  <c r="H60" i="2" s="1"/>
  <c r="N59" i="2"/>
  <c r="I60" i="2"/>
  <c r="Z60" i="2" s="1"/>
  <c r="V60" i="2"/>
  <c r="S60" i="2"/>
  <c r="J60" i="2"/>
  <c r="F60" i="2"/>
  <c r="G60" i="2" s="1"/>
  <c r="L60" i="2"/>
  <c r="C60" i="2" s="1"/>
  <c r="E61" i="2" s="1"/>
  <c r="T61" i="2" s="1"/>
  <c r="R60" i="2" l="1"/>
  <c r="Y60" i="2"/>
  <c r="K60" i="2"/>
  <c r="B60" i="2" s="1"/>
  <c r="D61" i="2" s="1"/>
  <c r="N60" i="2"/>
  <c r="H61" i="2" l="1"/>
  <c r="I61" i="2" l="1"/>
  <c r="Z61" i="2" s="1"/>
  <c r="V61" i="2"/>
  <c r="S61" i="2"/>
  <c r="J61" i="2"/>
  <c r="F61" i="2"/>
  <c r="G61" i="2" s="1"/>
  <c r="L61" i="2"/>
  <c r="C61" i="2" s="1"/>
  <c r="E62" i="2" s="1"/>
  <c r="T62" i="2" s="1"/>
  <c r="R61" i="2" l="1"/>
  <c r="Y61" i="2"/>
  <c r="K61" i="2"/>
  <c r="B61" i="2" s="1"/>
  <c r="D62" i="2" s="1"/>
  <c r="N61" i="2"/>
  <c r="H62" i="2" l="1"/>
  <c r="I62" i="2" l="1"/>
  <c r="V62" i="2"/>
  <c r="S62" i="2"/>
  <c r="L62" i="2"/>
  <c r="C62" i="2" s="1"/>
  <c r="E63" i="2" s="1"/>
  <c r="T63" i="2" s="1"/>
  <c r="F62" i="2"/>
  <c r="G62" i="2" s="1"/>
  <c r="R62" i="2" l="1"/>
  <c r="Y62" i="2"/>
  <c r="J62" i="2"/>
  <c r="Z62" i="2"/>
  <c r="K62" i="2" l="1"/>
  <c r="B62" i="2" s="1"/>
  <c r="D63" i="2" s="1"/>
  <c r="H63" i="2" s="1"/>
  <c r="N62" i="2"/>
  <c r="I63" i="2"/>
  <c r="Z63" i="2" s="1"/>
  <c r="V63" i="2"/>
  <c r="S63" i="2"/>
  <c r="J63" i="2"/>
  <c r="F63" i="2"/>
  <c r="G63" i="2" s="1"/>
  <c r="L63" i="2"/>
  <c r="C63" i="2" s="1"/>
  <c r="E64" i="2" s="1"/>
  <c r="T64" i="2" s="1"/>
  <c r="R63" i="2" l="1"/>
  <c r="Y63" i="2"/>
  <c r="K63" i="2"/>
  <c r="B63" i="2" s="1"/>
  <c r="D64" i="2" s="1"/>
  <c r="N63" i="2"/>
  <c r="H64" i="2" l="1"/>
  <c r="I64" i="2" l="1"/>
  <c r="Z64" i="2" s="1"/>
  <c r="V64" i="2"/>
  <c r="S64" i="2"/>
  <c r="J64" i="2"/>
  <c r="F64" i="2"/>
  <c r="G64" i="2" s="1"/>
  <c r="L64" i="2"/>
  <c r="C64" i="2" s="1"/>
  <c r="E65" i="2" s="1"/>
  <c r="T65" i="2" s="1"/>
  <c r="R64" i="2" l="1"/>
  <c r="Y64" i="2"/>
  <c r="K64" i="2"/>
  <c r="B64" i="2" s="1"/>
  <c r="D65" i="2" s="1"/>
  <c r="N64" i="2"/>
  <c r="H65" i="2" l="1"/>
  <c r="I65" i="2" l="1"/>
  <c r="Z65" i="2" s="1"/>
  <c r="V65" i="2"/>
  <c r="S65" i="2"/>
  <c r="J65" i="2"/>
  <c r="L65" i="2"/>
  <c r="C65" i="2" s="1"/>
  <c r="E66" i="2" s="1"/>
  <c r="T66" i="2" s="1"/>
  <c r="F65" i="2"/>
  <c r="G65" i="2" s="1"/>
  <c r="R65" i="2" l="1"/>
  <c r="Y65" i="2"/>
  <c r="K65" i="2"/>
  <c r="B65" i="2" s="1"/>
  <c r="D66" i="2" s="1"/>
  <c r="N65" i="2"/>
  <c r="H66" i="2" l="1"/>
  <c r="I66" i="2" l="1"/>
  <c r="V66" i="2"/>
  <c r="F66" i="2"/>
  <c r="G66" i="2" s="1"/>
  <c r="S66" i="2"/>
  <c r="L66" i="2"/>
  <c r="C66" i="2" s="1"/>
  <c r="E67" i="2" s="1"/>
  <c r="T67" i="2" s="1"/>
  <c r="R66" i="2" l="1"/>
  <c r="Y66" i="2"/>
  <c r="J66" i="2"/>
  <c r="Z66" i="2"/>
  <c r="K66" i="2" l="1"/>
  <c r="B66" i="2" s="1"/>
  <c r="D67" i="2" s="1"/>
  <c r="N66" i="2"/>
  <c r="H67" i="2"/>
  <c r="I67" i="2" l="1"/>
  <c r="Z67" i="2" s="1"/>
  <c r="V67" i="2"/>
  <c r="S67" i="2"/>
  <c r="J67" i="2"/>
  <c r="L67" i="2"/>
  <c r="C67" i="2" s="1"/>
  <c r="E68" i="2" s="1"/>
  <c r="T68" i="2" s="1"/>
  <c r="F67" i="2"/>
  <c r="G67" i="2" s="1"/>
  <c r="R67" i="2" l="1"/>
  <c r="Y67" i="2"/>
  <c r="K67" i="2"/>
  <c r="B67" i="2" s="1"/>
  <c r="D68" i="2" s="1"/>
  <c r="N67" i="2"/>
  <c r="H68" i="2" l="1"/>
  <c r="I68" i="2" l="1"/>
  <c r="Z68" i="2" s="1"/>
  <c r="V68" i="2"/>
  <c r="S68" i="2"/>
  <c r="J68" i="2"/>
  <c r="L68" i="2"/>
  <c r="C68" i="2" s="1"/>
  <c r="E69" i="2" s="1"/>
  <c r="T69" i="2" s="1"/>
  <c r="F68" i="2"/>
  <c r="G68" i="2" s="1"/>
  <c r="R68" i="2" l="1"/>
  <c r="Y68" i="2"/>
  <c r="K68" i="2"/>
  <c r="B68" i="2" s="1"/>
  <c r="D69" i="2" s="1"/>
  <c r="N68" i="2"/>
  <c r="H69" i="2" l="1"/>
  <c r="I69" i="2" l="1"/>
  <c r="Z69" i="2" s="1"/>
  <c r="V69" i="2"/>
  <c r="S69" i="2"/>
  <c r="J69" i="2"/>
  <c r="F69" i="2"/>
  <c r="G69" i="2" s="1"/>
  <c r="L69" i="2"/>
  <c r="C69" i="2" s="1"/>
  <c r="E70" i="2" s="1"/>
  <c r="T70" i="2" s="1"/>
  <c r="R69" i="2" l="1"/>
  <c r="Y69" i="2"/>
  <c r="K69" i="2"/>
  <c r="B69" i="2" s="1"/>
  <c r="D70" i="2" s="1"/>
  <c r="N69" i="2"/>
  <c r="H70" i="2" l="1"/>
  <c r="I70" i="2" l="1"/>
  <c r="Z70" i="2" s="1"/>
  <c r="V70" i="2"/>
  <c r="S70" i="2"/>
  <c r="J70" i="2"/>
  <c r="F70" i="2"/>
  <c r="G70" i="2" s="1"/>
  <c r="L70" i="2"/>
  <c r="C70" i="2" s="1"/>
  <c r="E71" i="2" s="1"/>
  <c r="T71" i="2" s="1"/>
  <c r="R70" i="2" l="1"/>
  <c r="Y70" i="2"/>
  <c r="K70" i="2"/>
  <c r="B70" i="2" s="1"/>
  <c r="D71" i="2" s="1"/>
  <c r="N70" i="2"/>
  <c r="H71" i="2" l="1"/>
  <c r="I71" i="2" l="1"/>
  <c r="Z71" i="2" s="1"/>
  <c r="V71" i="2"/>
  <c r="S71" i="2"/>
  <c r="J71" i="2"/>
  <c r="L71" i="2"/>
  <c r="C71" i="2" s="1"/>
  <c r="E72" i="2" s="1"/>
  <c r="T72" i="2" s="1"/>
  <c r="F71" i="2"/>
  <c r="G71" i="2" s="1"/>
  <c r="R71" i="2" l="1"/>
  <c r="Y71" i="2"/>
  <c r="K71" i="2"/>
  <c r="B71" i="2" s="1"/>
  <c r="D72" i="2" s="1"/>
  <c r="H72" i="2" s="1"/>
  <c r="N71" i="2"/>
  <c r="I72" i="2" l="1"/>
  <c r="V72" i="2"/>
  <c r="F72" i="2"/>
  <c r="G72" i="2" s="1"/>
  <c r="S72" i="2"/>
  <c r="L72" i="2"/>
  <c r="C72" i="2" s="1"/>
  <c r="E73" i="2" s="1"/>
  <c r="T73" i="2" s="1"/>
  <c r="R72" i="2" l="1"/>
  <c r="Y72" i="2"/>
  <c r="J72" i="2"/>
  <c r="Z72" i="2"/>
  <c r="K72" i="2" l="1"/>
  <c r="B72" i="2" s="1"/>
  <c r="D73" i="2" s="1"/>
  <c r="H73" i="2" s="1"/>
  <c r="N72" i="2"/>
  <c r="I73" i="2"/>
  <c r="Z73" i="2" s="1"/>
  <c r="V73" i="2"/>
  <c r="S73" i="2"/>
  <c r="J73" i="2"/>
  <c r="F73" i="2"/>
  <c r="G73" i="2" s="1"/>
  <c r="L73" i="2"/>
  <c r="C73" i="2" s="1"/>
  <c r="E74" i="2" s="1"/>
  <c r="T74" i="2" s="1"/>
  <c r="R73" i="2" l="1"/>
  <c r="Y73" i="2"/>
  <c r="K73" i="2"/>
  <c r="B73" i="2" s="1"/>
  <c r="D74" i="2" s="1"/>
  <c r="H74" i="2" s="1"/>
  <c r="N73" i="2"/>
  <c r="I74" i="2" l="1"/>
  <c r="V74" i="2"/>
  <c r="S74" i="2"/>
  <c r="F74" i="2"/>
  <c r="G74" i="2" s="1"/>
  <c r="L74" i="2"/>
  <c r="C74" i="2" s="1"/>
  <c r="E75" i="2" s="1"/>
  <c r="T75" i="2" s="1"/>
  <c r="R74" i="2" l="1"/>
  <c r="Y74" i="2"/>
  <c r="J74" i="2"/>
  <c r="Z74" i="2"/>
  <c r="K74" i="2" l="1"/>
  <c r="B74" i="2" s="1"/>
  <c r="D75" i="2" s="1"/>
  <c r="H75" i="2" s="1"/>
  <c r="N74" i="2"/>
  <c r="I75" i="2"/>
  <c r="Z75" i="2" s="1"/>
  <c r="V75" i="2"/>
  <c r="S75" i="2"/>
  <c r="J75" i="2"/>
  <c r="L75" i="2"/>
  <c r="C75" i="2" s="1"/>
  <c r="E76" i="2" s="1"/>
  <c r="T76" i="2" s="1"/>
  <c r="F75" i="2"/>
  <c r="G75" i="2" s="1"/>
  <c r="R75" i="2" l="1"/>
  <c r="Y75" i="2"/>
  <c r="K75" i="2"/>
  <c r="B75" i="2" s="1"/>
  <c r="D76" i="2" s="1"/>
  <c r="N75" i="2"/>
  <c r="H76" i="2" l="1"/>
  <c r="I76" i="2" l="1"/>
  <c r="Z76" i="2" s="1"/>
  <c r="V76" i="2"/>
  <c r="S76" i="2"/>
  <c r="J76" i="2"/>
  <c r="L76" i="2"/>
  <c r="C76" i="2" s="1"/>
  <c r="E77" i="2" s="1"/>
  <c r="T77" i="2" s="1"/>
  <c r="F76" i="2"/>
  <c r="G76" i="2" s="1"/>
  <c r="R76" i="2" l="1"/>
  <c r="Y76" i="2"/>
  <c r="K76" i="2"/>
  <c r="B76" i="2" s="1"/>
  <c r="D77" i="2" s="1"/>
  <c r="N76" i="2"/>
  <c r="H77" i="2" l="1"/>
  <c r="I77" i="2" l="1"/>
  <c r="Z77" i="2" s="1"/>
  <c r="V77" i="2"/>
  <c r="S77" i="2"/>
  <c r="J77" i="2"/>
  <c r="L77" i="2"/>
  <c r="C77" i="2" s="1"/>
  <c r="E78" i="2" s="1"/>
  <c r="T78" i="2" s="1"/>
  <c r="F77" i="2"/>
  <c r="G77" i="2" s="1"/>
  <c r="R77" i="2" l="1"/>
  <c r="Y77" i="2"/>
  <c r="K77" i="2"/>
  <c r="B77" i="2" s="1"/>
  <c r="D78" i="2" s="1"/>
  <c r="N77" i="2"/>
  <c r="H78" i="2" l="1"/>
  <c r="I78" i="2" l="1"/>
  <c r="V78" i="2"/>
  <c r="S78" i="2"/>
  <c r="L78" i="2"/>
  <c r="C78" i="2" s="1"/>
  <c r="E79" i="2" s="1"/>
  <c r="T79" i="2" s="1"/>
  <c r="F78" i="2"/>
  <c r="G78" i="2" s="1"/>
  <c r="R78" i="2" l="1"/>
  <c r="Y78" i="2"/>
  <c r="J78" i="2"/>
  <c r="Z78" i="2"/>
  <c r="K78" i="2" l="1"/>
  <c r="B78" i="2" s="1"/>
  <c r="D79" i="2" s="1"/>
  <c r="H79" i="2" s="1"/>
  <c r="N78" i="2"/>
  <c r="I79" i="2"/>
  <c r="Z79" i="2" s="1"/>
  <c r="V79" i="2"/>
  <c r="S79" i="2"/>
  <c r="J79" i="2"/>
  <c r="L79" i="2"/>
  <c r="C79" i="2" s="1"/>
  <c r="E80" i="2" s="1"/>
  <c r="T80" i="2" s="1"/>
  <c r="F79" i="2"/>
  <c r="G79" i="2" s="1"/>
  <c r="R79" i="2" l="1"/>
  <c r="Y79" i="2"/>
  <c r="K79" i="2"/>
  <c r="B79" i="2" s="1"/>
  <c r="D80" i="2" s="1"/>
  <c r="N79" i="2"/>
  <c r="H80" i="2" l="1"/>
  <c r="I80" i="2" l="1"/>
  <c r="V80" i="2"/>
  <c r="S80" i="2"/>
  <c r="F80" i="2"/>
  <c r="G80" i="2" s="1"/>
  <c r="L80" i="2"/>
  <c r="C80" i="2" s="1"/>
  <c r="E81" i="2" s="1"/>
  <c r="T81" i="2" s="1"/>
  <c r="R80" i="2" l="1"/>
  <c r="Y80" i="2"/>
  <c r="J80" i="2"/>
  <c r="Z80" i="2"/>
  <c r="K80" i="2" l="1"/>
  <c r="B80" i="2" s="1"/>
  <c r="D81" i="2" s="1"/>
  <c r="H81" i="2" s="1"/>
  <c r="N80" i="2"/>
  <c r="I81" i="2"/>
  <c r="Z81" i="2" s="1"/>
  <c r="V81" i="2"/>
  <c r="S81" i="2"/>
  <c r="J81" i="2"/>
  <c r="F81" i="2"/>
  <c r="G81" i="2" s="1"/>
  <c r="L81" i="2"/>
  <c r="C81" i="2" s="1"/>
  <c r="E82" i="2" s="1"/>
  <c r="T82" i="2" s="1"/>
  <c r="R81" i="2" l="1"/>
  <c r="Y81" i="2"/>
  <c r="K81" i="2"/>
  <c r="B81" i="2" s="1"/>
  <c r="D82" i="2" s="1"/>
  <c r="N81" i="2"/>
  <c r="H82" i="2" l="1"/>
  <c r="I82" i="2" l="1"/>
  <c r="Z82" i="2" s="1"/>
  <c r="V82" i="2"/>
  <c r="S82" i="2"/>
  <c r="J82" i="2"/>
  <c r="L82" i="2"/>
  <c r="C82" i="2" s="1"/>
  <c r="E83" i="2" s="1"/>
  <c r="T83" i="2" s="1"/>
  <c r="F82" i="2"/>
  <c r="G82" i="2" s="1"/>
  <c r="R82" i="2" l="1"/>
  <c r="Y82" i="2"/>
  <c r="K82" i="2"/>
  <c r="B82" i="2" s="1"/>
  <c r="D83" i="2" s="1"/>
  <c r="N82" i="2"/>
  <c r="H83" i="2" l="1"/>
  <c r="I83" i="2" l="1"/>
  <c r="Z83" i="2" s="1"/>
  <c r="V83" i="2"/>
  <c r="S83" i="2"/>
  <c r="J83" i="2"/>
  <c r="L83" i="2"/>
  <c r="C83" i="2" s="1"/>
  <c r="E84" i="2" s="1"/>
  <c r="T84" i="2" s="1"/>
  <c r="F83" i="2"/>
  <c r="G83" i="2" s="1"/>
  <c r="R83" i="2" l="1"/>
  <c r="Y83" i="2"/>
  <c r="K83" i="2"/>
  <c r="B83" i="2" s="1"/>
  <c r="D84" i="2" s="1"/>
  <c r="N83" i="2"/>
  <c r="H84" i="2" l="1"/>
  <c r="I84" i="2" l="1"/>
  <c r="Z84" i="2" s="1"/>
  <c r="V84" i="2"/>
  <c r="S84" i="2"/>
  <c r="J84" i="2"/>
  <c r="L84" i="2"/>
  <c r="C84" i="2" s="1"/>
  <c r="E85" i="2" s="1"/>
  <c r="T85" i="2" s="1"/>
  <c r="F84" i="2"/>
  <c r="G84" i="2" s="1"/>
  <c r="R84" i="2" l="1"/>
  <c r="Y84" i="2"/>
  <c r="K84" i="2"/>
  <c r="B84" i="2" s="1"/>
  <c r="D85" i="2" s="1"/>
  <c r="N84" i="2"/>
  <c r="H85" i="2" l="1"/>
  <c r="I85" i="2" l="1"/>
  <c r="Z85" i="2" s="1"/>
  <c r="V85" i="2"/>
  <c r="S85" i="2"/>
  <c r="J85" i="2"/>
  <c r="L85" i="2"/>
  <c r="C85" i="2" s="1"/>
  <c r="E86" i="2" s="1"/>
  <c r="T86" i="2" s="1"/>
  <c r="F85" i="2"/>
  <c r="G85" i="2" s="1"/>
  <c r="R85" i="2" l="1"/>
  <c r="Y85" i="2"/>
  <c r="K85" i="2"/>
  <c r="B85" i="2" s="1"/>
  <c r="D86" i="2" s="1"/>
  <c r="N85" i="2"/>
  <c r="H86" i="2" l="1"/>
  <c r="I86" i="2" l="1"/>
  <c r="V86" i="2"/>
  <c r="S86" i="2"/>
  <c r="L86" i="2"/>
  <c r="C86" i="2" s="1"/>
  <c r="E87" i="2" s="1"/>
  <c r="T87" i="2" s="1"/>
  <c r="F86" i="2"/>
  <c r="G86" i="2" s="1"/>
  <c r="R86" i="2" l="1"/>
  <c r="Y86" i="2"/>
  <c r="J86" i="2"/>
  <c r="Z86" i="2"/>
  <c r="K86" i="2" l="1"/>
  <c r="B86" i="2" s="1"/>
  <c r="D87" i="2" s="1"/>
  <c r="H87" i="2" s="1"/>
  <c r="N86" i="2"/>
  <c r="I87" i="2"/>
  <c r="Z87" i="2" s="1"/>
  <c r="V87" i="2"/>
  <c r="S87" i="2"/>
  <c r="J87" i="2"/>
  <c r="L87" i="2"/>
  <c r="C87" i="2" s="1"/>
  <c r="E88" i="2" s="1"/>
  <c r="T88" i="2" s="1"/>
  <c r="F87" i="2"/>
  <c r="G87" i="2" s="1"/>
  <c r="R87" i="2" l="1"/>
  <c r="Y87" i="2"/>
  <c r="K87" i="2"/>
  <c r="B87" i="2" s="1"/>
  <c r="D88" i="2" s="1"/>
  <c r="N87" i="2"/>
  <c r="H88" i="2" l="1"/>
  <c r="I88" i="2" l="1"/>
  <c r="V88" i="2"/>
  <c r="F88" i="2"/>
  <c r="G88" i="2" s="1"/>
  <c r="S88" i="2"/>
  <c r="L88" i="2"/>
  <c r="C88" i="2" s="1"/>
  <c r="E89" i="2" s="1"/>
  <c r="T89" i="2" s="1"/>
  <c r="R88" i="2" l="1"/>
  <c r="Y88" i="2"/>
  <c r="J88" i="2"/>
  <c r="Z88" i="2"/>
  <c r="K88" i="2" l="1"/>
  <c r="B88" i="2" s="1"/>
  <c r="D89" i="2" s="1"/>
  <c r="H89" i="2" s="1"/>
  <c r="N88" i="2"/>
  <c r="I89" i="2"/>
  <c r="Z89" i="2" s="1"/>
  <c r="V89" i="2"/>
  <c r="S89" i="2"/>
  <c r="J89" i="2"/>
  <c r="L89" i="2"/>
  <c r="C89" i="2" s="1"/>
  <c r="E90" i="2" s="1"/>
  <c r="T90" i="2" s="1"/>
  <c r="F89" i="2"/>
  <c r="G89" i="2" s="1"/>
  <c r="R89" i="2" l="1"/>
  <c r="Y89" i="2"/>
  <c r="K89" i="2"/>
  <c r="B89" i="2" s="1"/>
  <c r="D90" i="2" s="1"/>
  <c r="H90" i="2" s="1"/>
  <c r="N89" i="2"/>
  <c r="I90" i="2" l="1"/>
  <c r="Z90" i="2" s="1"/>
  <c r="V90" i="2"/>
  <c r="S90" i="2"/>
  <c r="J90" i="2"/>
  <c r="F90" i="2"/>
  <c r="G90" i="2" s="1"/>
  <c r="L90" i="2"/>
  <c r="C90" i="2" s="1"/>
  <c r="E91" i="2" s="1"/>
  <c r="T91" i="2" s="1"/>
  <c r="R90" i="2" l="1"/>
  <c r="Y90" i="2"/>
  <c r="K90" i="2"/>
  <c r="B90" i="2" s="1"/>
  <c r="D91" i="2" s="1"/>
  <c r="N90" i="2"/>
  <c r="H91" i="2" l="1"/>
  <c r="I91" i="2" l="1"/>
  <c r="V91" i="2"/>
  <c r="S91" i="2"/>
  <c r="F91" i="2"/>
  <c r="G91" i="2" s="1"/>
  <c r="L91" i="2"/>
  <c r="C91" i="2" s="1"/>
  <c r="E92" i="2" s="1"/>
  <c r="T92" i="2" s="1"/>
  <c r="R91" i="2" l="1"/>
  <c r="Y91" i="2"/>
  <c r="J91" i="2"/>
  <c r="Z91" i="2"/>
  <c r="K91" i="2" l="1"/>
  <c r="B91" i="2" s="1"/>
  <c r="D92" i="2" s="1"/>
  <c r="H92" i="2" s="1"/>
  <c r="N91" i="2"/>
  <c r="I92" i="2"/>
  <c r="Z92" i="2" s="1"/>
  <c r="V92" i="2"/>
  <c r="S92" i="2"/>
  <c r="J92" i="2"/>
  <c r="L92" i="2"/>
  <c r="C92" i="2" s="1"/>
  <c r="E93" i="2" s="1"/>
  <c r="T93" i="2" s="1"/>
  <c r="F92" i="2"/>
  <c r="G92" i="2" s="1"/>
  <c r="R92" i="2" l="1"/>
  <c r="Y92" i="2"/>
  <c r="K92" i="2"/>
  <c r="B92" i="2" s="1"/>
  <c r="D93" i="2" s="1"/>
  <c r="N92" i="2"/>
  <c r="H93" i="2" l="1"/>
  <c r="I93" i="2" l="1"/>
  <c r="Z93" i="2" s="1"/>
  <c r="V93" i="2"/>
  <c r="S93" i="2"/>
  <c r="J93" i="2"/>
  <c r="L93" i="2"/>
  <c r="C93" i="2" s="1"/>
  <c r="E94" i="2" s="1"/>
  <c r="T94" i="2" s="1"/>
  <c r="F93" i="2"/>
  <c r="G93" i="2" s="1"/>
  <c r="R93" i="2" l="1"/>
  <c r="Y93" i="2"/>
  <c r="K93" i="2"/>
  <c r="B93" i="2" s="1"/>
  <c r="D94" i="2" s="1"/>
  <c r="N93" i="2"/>
  <c r="H94" i="2" l="1"/>
  <c r="I94" i="2" l="1"/>
  <c r="V94" i="2"/>
  <c r="S94" i="2"/>
  <c r="F94" i="2"/>
  <c r="G94" i="2" s="1"/>
  <c r="L94" i="2"/>
  <c r="C94" i="2" s="1"/>
  <c r="E95" i="2" s="1"/>
  <c r="T95" i="2" s="1"/>
  <c r="R94" i="2" l="1"/>
  <c r="Y94" i="2"/>
  <c r="J94" i="2"/>
  <c r="Z94" i="2"/>
  <c r="K94" i="2" l="1"/>
  <c r="B94" i="2" s="1"/>
  <c r="D95" i="2" s="1"/>
  <c r="H95" i="2" s="1"/>
  <c r="N94" i="2"/>
  <c r="I95" i="2"/>
  <c r="Z95" i="2" s="1"/>
  <c r="V95" i="2"/>
  <c r="S95" i="2"/>
  <c r="J95" i="2"/>
  <c r="F95" i="2"/>
  <c r="G95" i="2" s="1"/>
  <c r="L95" i="2"/>
  <c r="C95" i="2" s="1"/>
  <c r="E96" i="2" s="1"/>
  <c r="T96" i="2" s="1"/>
  <c r="R95" i="2" l="1"/>
  <c r="Y95" i="2"/>
  <c r="K95" i="2"/>
  <c r="B95" i="2" s="1"/>
  <c r="D96" i="2" s="1"/>
  <c r="N95" i="2"/>
  <c r="H96" i="2" l="1"/>
  <c r="I96" i="2" l="1"/>
  <c r="Z96" i="2" s="1"/>
  <c r="V96" i="2"/>
  <c r="S96" i="2"/>
  <c r="J96" i="2"/>
  <c r="F96" i="2"/>
  <c r="G96" i="2" s="1"/>
  <c r="L96" i="2"/>
  <c r="C96" i="2" s="1"/>
  <c r="E97" i="2" s="1"/>
  <c r="T97" i="2" s="1"/>
  <c r="R96" i="2" l="1"/>
  <c r="Y96" i="2"/>
  <c r="K96" i="2"/>
  <c r="B96" i="2" s="1"/>
  <c r="D97" i="2" s="1"/>
  <c r="N96" i="2"/>
  <c r="H97" i="2" l="1"/>
  <c r="I97" i="2" l="1"/>
  <c r="Z97" i="2" s="1"/>
  <c r="V97" i="2"/>
  <c r="S97" i="2"/>
  <c r="J97" i="2"/>
  <c r="F97" i="2"/>
  <c r="G97" i="2" s="1"/>
  <c r="L97" i="2"/>
  <c r="C97" i="2" s="1"/>
  <c r="E98" i="2" s="1"/>
  <c r="T98" i="2" s="1"/>
  <c r="R97" i="2" l="1"/>
  <c r="Y97" i="2"/>
  <c r="K97" i="2"/>
  <c r="B97" i="2" s="1"/>
  <c r="D98" i="2" s="1"/>
  <c r="N97" i="2"/>
  <c r="H98" i="2" l="1"/>
  <c r="I98" i="2" l="1"/>
  <c r="V98" i="2"/>
  <c r="S98" i="2"/>
  <c r="L98" i="2"/>
  <c r="C98" i="2" s="1"/>
  <c r="E99" i="2" s="1"/>
  <c r="T99" i="2" s="1"/>
  <c r="F98" i="2"/>
  <c r="G98" i="2" s="1"/>
  <c r="R98" i="2" l="1"/>
  <c r="Y98" i="2"/>
  <c r="J98" i="2"/>
  <c r="Z98" i="2"/>
  <c r="K98" i="2" l="1"/>
  <c r="B98" i="2" s="1"/>
  <c r="D99" i="2" s="1"/>
  <c r="H99" i="2" s="1"/>
  <c r="N98" i="2"/>
  <c r="I99" i="2"/>
  <c r="Z99" i="2" s="1"/>
  <c r="V99" i="2"/>
  <c r="S99" i="2"/>
  <c r="J99" i="2"/>
  <c r="F99" i="2"/>
  <c r="G99" i="2" s="1"/>
  <c r="L99" i="2"/>
  <c r="C99" i="2" s="1"/>
  <c r="E100" i="2" s="1"/>
  <c r="T100" i="2" s="1"/>
  <c r="R99" i="2" l="1"/>
  <c r="Y99" i="2"/>
  <c r="K99" i="2"/>
  <c r="B99" i="2" s="1"/>
  <c r="D100" i="2" s="1"/>
  <c r="N99" i="2"/>
  <c r="H100" i="2" l="1"/>
  <c r="I100" i="2" l="1"/>
  <c r="Z100" i="2" s="1"/>
  <c r="V100" i="2"/>
  <c r="S100" i="2"/>
  <c r="J100" i="2"/>
  <c r="F100" i="2"/>
  <c r="G100" i="2" s="1"/>
  <c r="L100" i="2"/>
  <c r="C100" i="2" s="1"/>
  <c r="E101" i="2" s="1"/>
  <c r="T101" i="2" s="1"/>
  <c r="R100" i="2" l="1"/>
  <c r="Y100" i="2"/>
  <c r="K100" i="2"/>
  <c r="B100" i="2" s="1"/>
  <c r="D101" i="2" s="1"/>
  <c r="N100" i="2"/>
  <c r="H101" i="2" l="1"/>
  <c r="I101" i="2" l="1"/>
  <c r="Z101" i="2" s="1"/>
  <c r="V101" i="2"/>
  <c r="S101" i="2"/>
  <c r="J101" i="2"/>
  <c r="F101" i="2"/>
  <c r="G101" i="2" s="1"/>
  <c r="L101" i="2"/>
  <c r="C101" i="2" s="1"/>
  <c r="E102" i="2" s="1"/>
  <c r="T102" i="2" s="1"/>
  <c r="R101" i="2" l="1"/>
  <c r="Y101" i="2"/>
  <c r="K101" i="2"/>
  <c r="B101" i="2" s="1"/>
  <c r="D102" i="2" s="1"/>
  <c r="N101" i="2"/>
  <c r="H102" i="2" l="1"/>
  <c r="I102" i="2" l="1"/>
  <c r="Z102" i="2" s="1"/>
  <c r="V102" i="2"/>
  <c r="S102" i="2"/>
  <c r="J102" i="2"/>
  <c r="F102" i="2"/>
  <c r="G102" i="2" s="1"/>
  <c r="L102" i="2"/>
  <c r="C102" i="2" s="1"/>
  <c r="E103" i="2" s="1"/>
  <c r="T103" i="2" s="1"/>
  <c r="R102" i="2" l="1"/>
  <c r="Y102" i="2"/>
  <c r="K102" i="2"/>
  <c r="B102" i="2" s="1"/>
  <c r="D103" i="2" s="1"/>
  <c r="N102" i="2"/>
  <c r="H103" i="2" l="1"/>
  <c r="I103" i="2" l="1"/>
  <c r="Z103" i="2" s="1"/>
  <c r="V103" i="2"/>
  <c r="S103" i="2"/>
  <c r="J103" i="2"/>
  <c r="F103" i="2"/>
  <c r="G103" i="2" s="1"/>
  <c r="L103" i="2"/>
  <c r="C103" i="2" s="1"/>
  <c r="E104" i="2" s="1"/>
  <c r="T104" i="2" s="1"/>
  <c r="R103" i="2" l="1"/>
  <c r="Y103" i="2"/>
  <c r="K103" i="2"/>
  <c r="B103" i="2" s="1"/>
  <c r="D104" i="2" s="1"/>
  <c r="N103" i="2"/>
  <c r="H104" i="2" l="1"/>
  <c r="I104" i="2" l="1"/>
  <c r="V104" i="2"/>
  <c r="L104" i="2"/>
  <c r="C104" i="2" s="1"/>
  <c r="E105" i="2" s="1"/>
  <c r="T105" i="2" s="1"/>
  <c r="S104" i="2"/>
  <c r="F104" i="2"/>
  <c r="G104" i="2" s="1"/>
  <c r="R104" i="2" l="1"/>
  <c r="Y104" i="2"/>
  <c r="J104" i="2"/>
  <c r="Z104" i="2"/>
  <c r="K104" i="2" l="1"/>
  <c r="B104" i="2" s="1"/>
  <c r="D105" i="2" s="1"/>
  <c r="H105" i="2" s="1"/>
  <c r="N104" i="2"/>
  <c r="I105" i="2"/>
  <c r="V105" i="2"/>
  <c r="S105" i="2"/>
  <c r="F105" i="2"/>
  <c r="G105" i="2" s="1"/>
  <c r="R105" i="2" l="1"/>
  <c r="Y105" i="2"/>
  <c r="J105" i="2"/>
  <c r="Z105" i="2"/>
  <c r="L105" i="2"/>
  <c r="C105" i="2" s="1"/>
  <c r="E106" i="2" s="1"/>
  <c r="T106" i="2" s="1"/>
  <c r="K105" i="2" l="1"/>
  <c r="B105" i="2" s="1"/>
  <c r="D106" i="2" s="1"/>
  <c r="H106" i="2" s="1"/>
  <c r="N105" i="2"/>
  <c r="I106" i="2"/>
  <c r="Z106" i="2" s="1"/>
  <c r="V106" i="2"/>
  <c r="S106" i="2"/>
  <c r="J106" i="2"/>
  <c r="F106" i="2"/>
  <c r="G106" i="2" s="1"/>
  <c r="L106" i="2"/>
  <c r="C106" i="2" s="1"/>
  <c r="E107" i="2" s="1"/>
  <c r="T107" i="2" s="1"/>
  <c r="R106" i="2" l="1"/>
  <c r="Y106" i="2"/>
  <c r="K106" i="2"/>
  <c r="B106" i="2" s="1"/>
  <c r="D107" i="2" s="1"/>
  <c r="N106" i="2"/>
  <c r="H107" i="2" l="1"/>
  <c r="I107" i="2" l="1"/>
  <c r="Z107" i="2" s="1"/>
  <c r="V107" i="2"/>
  <c r="S107" i="2"/>
  <c r="J107" i="2"/>
  <c r="L107" i="2"/>
  <c r="C107" i="2" s="1"/>
  <c r="E108" i="2" s="1"/>
  <c r="T108" i="2" s="1"/>
  <c r="F107" i="2"/>
  <c r="G107" i="2" s="1"/>
  <c r="R107" i="2" l="1"/>
  <c r="Y107" i="2"/>
  <c r="K107" i="2"/>
  <c r="B107" i="2" s="1"/>
  <c r="D108" i="2" s="1"/>
  <c r="N107" i="2"/>
  <c r="H108" i="2" l="1"/>
  <c r="I108" i="2" l="1"/>
  <c r="Z108" i="2" s="1"/>
  <c r="V108" i="2"/>
  <c r="S108" i="2"/>
  <c r="J108" i="2"/>
  <c r="F108" i="2"/>
  <c r="G108" i="2" s="1"/>
  <c r="L108" i="2"/>
  <c r="C108" i="2" s="1"/>
  <c r="E109" i="2" s="1"/>
  <c r="T109" i="2" s="1"/>
  <c r="R108" i="2" l="1"/>
  <c r="Y108" i="2"/>
  <c r="K108" i="2"/>
  <c r="B108" i="2" s="1"/>
  <c r="D109" i="2" s="1"/>
  <c r="N108" i="2"/>
  <c r="H109" i="2" l="1"/>
  <c r="I109" i="2" l="1"/>
  <c r="V109" i="2"/>
  <c r="J109" i="2"/>
  <c r="F109" i="2"/>
  <c r="G109" i="2" s="1"/>
  <c r="L109" i="2"/>
  <c r="C109" i="2" s="1"/>
  <c r="E110" i="2" s="1"/>
  <c r="T110" i="2" s="1"/>
  <c r="R109" i="2" l="1"/>
  <c r="Y109" i="2"/>
  <c r="S109" i="2"/>
  <c r="Z109" i="2"/>
  <c r="K109" i="2"/>
  <c r="B109" i="2" s="1"/>
  <c r="D110" i="2" s="1"/>
  <c r="N109" i="2"/>
  <c r="H110" i="2" l="1"/>
  <c r="I110" i="2" l="1"/>
  <c r="Z110" i="2" s="1"/>
  <c r="V110" i="2"/>
  <c r="S110" i="2"/>
  <c r="J110" i="2"/>
  <c r="L110" i="2"/>
  <c r="C110" i="2" s="1"/>
  <c r="E111" i="2" s="1"/>
  <c r="T111" i="2" s="1"/>
  <c r="F110" i="2"/>
  <c r="G110" i="2" s="1"/>
  <c r="R110" i="2" l="1"/>
  <c r="Y110" i="2"/>
  <c r="K110" i="2"/>
  <c r="B110" i="2" s="1"/>
  <c r="D111" i="2" s="1"/>
  <c r="N110" i="2"/>
  <c r="H111" i="2" l="1"/>
  <c r="I111" i="2" l="1"/>
  <c r="Z111" i="2" s="1"/>
  <c r="V111" i="2"/>
  <c r="S111" i="2"/>
  <c r="J111" i="2"/>
  <c r="L111" i="2"/>
  <c r="C111" i="2" s="1"/>
  <c r="E112" i="2" s="1"/>
  <c r="T112" i="2" s="1"/>
  <c r="F111" i="2"/>
  <c r="G111" i="2" s="1"/>
  <c r="R111" i="2" l="1"/>
  <c r="Y111" i="2"/>
  <c r="K111" i="2"/>
  <c r="B111" i="2" s="1"/>
  <c r="D112" i="2" s="1"/>
  <c r="N111" i="2"/>
  <c r="H112" i="2" l="1"/>
  <c r="I112" i="2" l="1"/>
  <c r="V112" i="2"/>
  <c r="L112" i="2"/>
  <c r="C112" i="2" s="1"/>
  <c r="E113" i="2" s="1"/>
  <c r="T113" i="2" s="1"/>
  <c r="S112" i="2"/>
  <c r="F112" i="2"/>
  <c r="G112" i="2" s="1"/>
  <c r="R112" i="2" l="1"/>
  <c r="Y112" i="2"/>
  <c r="J112" i="2"/>
  <c r="Z112" i="2"/>
  <c r="K112" i="2" l="1"/>
  <c r="B112" i="2" s="1"/>
  <c r="D113" i="2" s="1"/>
  <c r="H113" i="2" s="1"/>
  <c r="N112" i="2"/>
  <c r="I113" i="2"/>
  <c r="V113" i="2"/>
  <c r="F113" i="2"/>
  <c r="G113" i="2" s="1"/>
  <c r="S113" i="2"/>
  <c r="R113" i="2" l="1"/>
  <c r="Y113" i="2"/>
  <c r="J113" i="2"/>
  <c r="Z113" i="2"/>
  <c r="L113" i="2"/>
  <c r="C113" i="2" s="1"/>
  <c r="E114" i="2" s="1"/>
  <c r="T114" i="2" s="1"/>
  <c r="K113" i="2" l="1"/>
  <c r="B113" i="2" s="1"/>
  <c r="D114" i="2" s="1"/>
  <c r="H114" i="2" s="1"/>
  <c r="N113" i="2"/>
  <c r="I114" i="2"/>
  <c r="Z114" i="2" s="1"/>
  <c r="V114" i="2"/>
  <c r="S114" i="2"/>
  <c r="J114" i="2"/>
  <c r="L114" i="2"/>
  <c r="C114" i="2" s="1"/>
  <c r="E115" i="2" s="1"/>
  <c r="T115" i="2" s="1"/>
  <c r="F114" i="2"/>
  <c r="G114" i="2" s="1"/>
  <c r="R114" i="2" l="1"/>
  <c r="Y114" i="2"/>
  <c r="K114" i="2"/>
  <c r="B114" i="2" s="1"/>
  <c r="D115" i="2" s="1"/>
  <c r="N114" i="2"/>
  <c r="H115" i="2" l="1"/>
  <c r="I115" i="2" l="1"/>
  <c r="Z115" i="2" s="1"/>
  <c r="V115" i="2"/>
  <c r="S115" i="2"/>
  <c r="J115" i="2"/>
  <c r="F115" i="2"/>
  <c r="G115" i="2" s="1"/>
  <c r="L115" i="2"/>
  <c r="C115" i="2" s="1"/>
  <c r="E116" i="2" s="1"/>
  <c r="T116" i="2" s="1"/>
  <c r="R115" i="2" l="1"/>
  <c r="Y115" i="2"/>
  <c r="K115" i="2"/>
  <c r="B115" i="2" s="1"/>
  <c r="D116" i="2" s="1"/>
  <c r="N115" i="2"/>
  <c r="H116" i="2" l="1"/>
  <c r="I116" i="2" l="1"/>
  <c r="Z116" i="2" s="1"/>
  <c r="V116" i="2"/>
  <c r="S116" i="2"/>
  <c r="J116" i="2"/>
  <c r="F116" i="2"/>
  <c r="G116" i="2" s="1"/>
  <c r="L116" i="2"/>
  <c r="C116" i="2" s="1"/>
  <c r="E117" i="2" s="1"/>
  <c r="T117" i="2" s="1"/>
  <c r="R116" i="2" l="1"/>
  <c r="Y116" i="2"/>
  <c r="K116" i="2"/>
  <c r="B116" i="2" s="1"/>
  <c r="D117" i="2" s="1"/>
  <c r="N116" i="2"/>
  <c r="H117" i="2" l="1"/>
  <c r="I117" i="2" l="1"/>
  <c r="Z117" i="2" s="1"/>
  <c r="V117" i="2"/>
  <c r="S117" i="2"/>
  <c r="J117" i="2"/>
  <c r="F117" i="2"/>
  <c r="G117" i="2" s="1"/>
  <c r="L117" i="2"/>
  <c r="C117" i="2" s="1"/>
  <c r="E118" i="2" s="1"/>
  <c r="T118" i="2" s="1"/>
  <c r="R117" i="2" l="1"/>
  <c r="Y117" i="2"/>
  <c r="K117" i="2"/>
  <c r="B117" i="2" s="1"/>
  <c r="D118" i="2" s="1"/>
  <c r="N117" i="2"/>
  <c r="H118" i="2" l="1"/>
  <c r="I118" i="2" l="1"/>
  <c r="Z118" i="2" s="1"/>
  <c r="V118" i="2"/>
  <c r="S118" i="2"/>
  <c r="J118" i="2"/>
  <c r="L118" i="2"/>
  <c r="C118" i="2" s="1"/>
  <c r="E119" i="2" s="1"/>
  <c r="T119" i="2" s="1"/>
  <c r="F118" i="2"/>
  <c r="G118" i="2" s="1"/>
  <c r="R118" i="2" l="1"/>
  <c r="Y118" i="2"/>
  <c r="K118" i="2"/>
  <c r="B118" i="2" s="1"/>
  <c r="D119" i="2" s="1"/>
  <c r="N118" i="2"/>
  <c r="H119" i="2" l="1"/>
  <c r="I119" i="2" l="1"/>
  <c r="Z119" i="2" s="1"/>
  <c r="V119" i="2"/>
  <c r="S119" i="2"/>
  <c r="J119" i="2"/>
  <c r="L119" i="2"/>
  <c r="C119" i="2" s="1"/>
  <c r="E120" i="2" s="1"/>
  <c r="T120" i="2" s="1"/>
  <c r="F119" i="2"/>
  <c r="G119" i="2" s="1"/>
  <c r="R119" i="2" l="1"/>
  <c r="Y119" i="2"/>
  <c r="K119" i="2"/>
  <c r="B119" i="2" s="1"/>
  <c r="D120" i="2" s="1"/>
  <c r="N119" i="2"/>
  <c r="H120" i="2" l="1"/>
  <c r="I120" i="2" l="1"/>
  <c r="V120" i="2"/>
  <c r="L120" i="2"/>
  <c r="C120" i="2" s="1"/>
  <c r="E121" i="2" s="1"/>
  <c r="T121" i="2" s="1"/>
  <c r="S120" i="2"/>
  <c r="F120" i="2"/>
  <c r="G120" i="2" s="1"/>
  <c r="R120" i="2" l="1"/>
  <c r="Y120" i="2"/>
  <c r="J120" i="2"/>
  <c r="Z120" i="2"/>
  <c r="K120" i="2" l="1"/>
  <c r="B120" i="2" s="1"/>
  <c r="D121" i="2" s="1"/>
  <c r="H121" i="2" s="1"/>
  <c r="N120" i="2"/>
  <c r="I121" i="2"/>
  <c r="V121" i="2"/>
  <c r="S121" i="2"/>
  <c r="F121" i="2"/>
  <c r="G121" i="2" s="1"/>
  <c r="R121" i="2" l="1"/>
  <c r="Y121" i="2"/>
  <c r="J121" i="2"/>
  <c r="Z121" i="2"/>
  <c r="L121" i="2"/>
  <c r="C121" i="2" s="1"/>
  <c r="E122" i="2" s="1"/>
  <c r="T122" i="2" s="1"/>
  <c r="K121" i="2" l="1"/>
  <c r="N121" i="2"/>
  <c r="B121" i="2"/>
  <c r="D122" i="2" s="1"/>
  <c r="H122" i="2" s="1"/>
  <c r="I122" i="2" l="1"/>
  <c r="Z122" i="2" s="1"/>
  <c r="V122" i="2"/>
  <c r="S122" i="2" l="1"/>
  <c r="J122" i="2"/>
  <c r="L122" i="2"/>
  <c r="C122" i="2" s="1"/>
  <c r="E123" i="2" s="1"/>
  <c r="T123" i="2" s="1"/>
  <c r="F122" i="2"/>
  <c r="G122" i="2" s="1"/>
  <c r="R122" i="2" l="1"/>
  <c r="Y122" i="2"/>
  <c r="K122" i="2"/>
  <c r="B122" i="2" s="1"/>
  <c r="D123" i="2" s="1"/>
  <c r="H123" i="2" s="1"/>
  <c r="N122" i="2"/>
  <c r="I123" i="2" l="1"/>
  <c r="Z123" i="2" s="1"/>
  <c r="V123" i="2"/>
  <c r="L123" i="2" l="1"/>
  <c r="C123" i="2" s="1"/>
  <c r="E124" i="2" s="1"/>
  <c r="T124" i="2" s="1"/>
  <c r="F123" i="2"/>
  <c r="G123" i="2" s="1"/>
  <c r="S123" i="2"/>
  <c r="J123" i="2"/>
  <c r="R123" i="2" l="1"/>
  <c r="Y123" i="2"/>
  <c r="K123" i="2"/>
  <c r="B123" i="2" s="1"/>
  <c r="D124" i="2" s="1"/>
  <c r="H124" i="2" s="1"/>
  <c r="N123" i="2"/>
  <c r="I124" i="2" l="1"/>
  <c r="Z124" i="2" s="1"/>
  <c r="V124" i="2"/>
  <c r="S124" i="2" l="1"/>
  <c r="J124" i="2"/>
  <c r="F124" i="2"/>
  <c r="G124" i="2" s="1"/>
  <c r="L124" i="2"/>
  <c r="C124" i="2" s="1"/>
  <c r="E125" i="2" s="1"/>
  <c r="T125" i="2" s="1"/>
  <c r="R124" i="2" l="1"/>
  <c r="Y124" i="2"/>
  <c r="K124" i="2"/>
  <c r="B124" i="2" s="1"/>
  <c r="D125" i="2" s="1"/>
  <c r="H125" i="2" s="1"/>
  <c r="N124" i="2"/>
  <c r="I125" i="2" l="1"/>
  <c r="Z125" i="2" s="1"/>
  <c r="V125" i="2"/>
  <c r="F125" i="2" l="1"/>
  <c r="G125" i="2" s="1"/>
  <c r="L125" i="2"/>
  <c r="C125" i="2" s="1"/>
  <c r="E126" i="2" s="1"/>
  <c r="T126" i="2" s="1"/>
  <c r="S125" i="2"/>
  <c r="J125" i="2"/>
  <c r="R125" i="2" l="1"/>
  <c r="Y125" i="2"/>
  <c r="K125" i="2"/>
  <c r="B125" i="2" s="1"/>
  <c r="D126" i="2" s="1"/>
  <c r="H126" i="2" s="1"/>
  <c r="N125" i="2"/>
  <c r="I126" i="2" l="1"/>
  <c r="Z126" i="2" s="1"/>
  <c r="V126" i="2"/>
  <c r="F126" i="2" l="1"/>
  <c r="G126" i="2" s="1"/>
  <c r="L126" i="2"/>
  <c r="C126" i="2" s="1"/>
  <c r="E127" i="2" s="1"/>
  <c r="T127" i="2" s="1"/>
  <c r="S126" i="2"/>
  <c r="J126" i="2"/>
  <c r="R126" i="2" l="1"/>
  <c r="Y126" i="2"/>
  <c r="K126" i="2"/>
  <c r="B126" i="2" s="1"/>
  <c r="D127" i="2" s="1"/>
  <c r="H127" i="2" s="1"/>
  <c r="N126" i="2"/>
  <c r="I127" i="2" l="1"/>
  <c r="Z127" i="2" s="1"/>
  <c r="V127" i="2"/>
  <c r="J127" i="2" l="1"/>
  <c r="L127" i="2"/>
  <c r="C127" i="2" s="1"/>
  <c r="E128" i="2" s="1"/>
  <c r="T128" i="2" s="1"/>
  <c r="S127" i="2"/>
  <c r="F127" i="2"/>
  <c r="G127" i="2" s="1"/>
  <c r="R127" i="2" l="1"/>
  <c r="Y127" i="2"/>
  <c r="K127" i="2"/>
  <c r="B127" i="2" s="1"/>
  <c r="D128" i="2" s="1"/>
  <c r="H128" i="2" s="1"/>
  <c r="N127" i="2"/>
  <c r="I128" i="2" l="1"/>
  <c r="Z128" i="2" s="1"/>
  <c r="V128" i="2"/>
  <c r="L128" i="2" l="1"/>
  <c r="C128" i="2" s="1"/>
  <c r="E129" i="2" s="1"/>
  <c r="T129" i="2" s="1"/>
  <c r="S128" i="2"/>
  <c r="J128" i="2"/>
  <c r="F128" i="2"/>
  <c r="G128" i="2" s="1"/>
  <c r="R128" i="2" l="1"/>
  <c r="Y128" i="2"/>
  <c r="K128" i="2"/>
  <c r="B128" i="2" s="1"/>
  <c r="D129" i="2" s="1"/>
  <c r="H129" i="2" s="1"/>
  <c r="N128" i="2"/>
  <c r="I129" i="2" l="1"/>
  <c r="Z129" i="2" s="1"/>
  <c r="V129" i="2"/>
  <c r="S129" i="2" l="1"/>
  <c r="J129" i="2"/>
  <c r="L129" i="2"/>
  <c r="C129" i="2" s="1"/>
  <c r="E130" i="2" s="1"/>
  <c r="T130" i="2" s="1"/>
  <c r="F129" i="2"/>
  <c r="G129" i="2" s="1"/>
  <c r="R129" i="2" l="1"/>
  <c r="Y129" i="2"/>
  <c r="K129" i="2"/>
  <c r="B129" i="2" s="1"/>
  <c r="D130" i="2" s="1"/>
  <c r="H130" i="2" s="1"/>
  <c r="N129" i="2"/>
  <c r="I130" i="2" l="1"/>
  <c r="Z130" i="2" s="1"/>
  <c r="V130" i="2"/>
  <c r="J130" i="2" l="1"/>
  <c r="S130" i="2"/>
  <c r="L130" i="2"/>
  <c r="C130" i="2" s="1"/>
  <c r="E131" i="2" s="1"/>
  <c r="T131" i="2" s="1"/>
  <c r="F130" i="2"/>
  <c r="G130" i="2" s="1"/>
  <c r="R130" i="2" l="1"/>
  <c r="Y130" i="2"/>
  <c r="K130" i="2"/>
  <c r="B130" i="2" s="1"/>
  <c r="D131" i="2" s="1"/>
  <c r="H131" i="2" s="1"/>
  <c r="N130" i="2"/>
  <c r="I131" i="2" l="1"/>
  <c r="Z131" i="2" s="1"/>
  <c r="V131" i="2"/>
  <c r="L131" i="2" l="1"/>
  <c r="C131" i="2" s="1"/>
  <c r="E132" i="2" s="1"/>
  <c r="T132" i="2" s="1"/>
  <c r="F131" i="2"/>
  <c r="G131" i="2" s="1"/>
  <c r="S131" i="2"/>
  <c r="J131" i="2"/>
  <c r="R131" i="2" l="1"/>
  <c r="Y131" i="2"/>
  <c r="K131" i="2"/>
  <c r="B131" i="2" s="1"/>
  <c r="D132" i="2" s="1"/>
  <c r="H132" i="2" s="1"/>
  <c r="N131" i="2"/>
  <c r="I132" i="2" l="1"/>
  <c r="Z132" i="2" s="1"/>
  <c r="V132" i="2"/>
  <c r="S132" i="2" l="1"/>
  <c r="J132" i="2"/>
  <c r="L132" i="2"/>
  <c r="C132" i="2" s="1"/>
  <c r="E133" i="2" s="1"/>
  <c r="T133" i="2" s="1"/>
  <c r="F132" i="2"/>
  <c r="G132" i="2" s="1"/>
  <c r="R132" i="2" l="1"/>
  <c r="Y132" i="2"/>
  <c r="K132" i="2"/>
  <c r="B132" i="2" s="1"/>
  <c r="D133" i="2" s="1"/>
  <c r="H133" i="2" s="1"/>
  <c r="N132" i="2"/>
  <c r="I133" i="2" l="1"/>
  <c r="Z133" i="2" s="1"/>
  <c r="V133" i="2"/>
  <c r="J133" i="2" l="1"/>
  <c r="L133" i="2"/>
  <c r="C133" i="2" s="1"/>
  <c r="E134" i="2" s="1"/>
  <c r="T134" i="2" s="1"/>
  <c r="S133" i="2"/>
  <c r="F133" i="2"/>
  <c r="G133" i="2" s="1"/>
  <c r="R133" i="2" l="1"/>
  <c r="Y133" i="2"/>
  <c r="K133" i="2"/>
  <c r="B133" i="2" s="1"/>
  <c r="D134" i="2" s="1"/>
  <c r="H134" i="2" s="1"/>
  <c r="N133" i="2"/>
  <c r="I134" i="2" l="1"/>
  <c r="Z134" i="2" s="1"/>
  <c r="V134" i="2"/>
  <c r="J134" i="2" l="1"/>
  <c r="S134" i="2"/>
  <c r="F134" i="2"/>
  <c r="G134" i="2" s="1"/>
  <c r="L134" i="2"/>
  <c r="C134" i="2" s="1"/>
  <c r="E135" i="2" s="1"/>
  <c r="T135" i="2" s="1"/>
  <c r="R134" i="2" l="1"/>
  <c r="Y134" i="2"/>
  <c r="K134" i="2"/>
  <c r="B134" i="2" s="1"/>
  <c r="D135" i="2" s="1"/>
  <c r="H135" i="2" s="1"/>
  <c r="N134" i="2"/>
  <c r="I135" i="2" l="1"/>
  <c r="Z135" i="2" s="1"/>
  <c r="V135" i="2"/>
  <c r="S135" i="2" l="1"/>
  <c r="J135" i="2"/>
  <c r="L135" i="2"/>
  <c r="C135" i="2" s="1"/>
  <c r="E136" i="2" s="1"/>
  <c r="T136" i="2" s="1"/>
  <c r="F135" i="2"/>
  <c r="G135" i="2" s="1"/>
  <c r="R135" i="2" l="1"/>
  <c r="Y135" i="2"/>
  <c r="K135" i="2"/>
  <c r="B135" i="2" s="1"/>
  <c r="D136" i="2" s="1"/>
  <c r="H136" i="2" s="1"/>
  <c r="N135" i="2"/>
  <c r="I136" i="2" l="1"/>
  <c r="Z136" i="2" s="1"/>
  <c r="V136" i="2"/>
  <c r="J136" i="2" l="1"/>
  <c r="F136" i="2"/>
  <c r="G136" i="2" s="1"/>
  <c r="S136" i="2"/>
  <c r="L136" i="2"/>
  <c r="C136" i="2" s="1"/>
  <c r="E137" i="2" s="1"/>
  <c r="T137" i="2" s="1"/>
  <c r="R136" i="2" l="1"/>
  <c r="Y136" i="2"/>
  <c r="K136" i="2"/>
  <c r="B136" i="2" s="1"/>
  <c r="D137" i="2" s="1"/>
  <c r="H137" i="2" s="1"/>
  <c r="N136" i="2"/>
  <c r="I137" i="2" l="1"/>
  <c r="Z137" i="2" s="1"/>
  <c r="V137" i="2"/>
  <c r="L137" i="2" l="1"/>
  <c r="C137" i="2" s="1"/>
  <c r="E138" i="2" s="1"/>
  <c r="T138" i="2" s="1"/>
  <c r="F137" i="2"/>
  <c r="G137" i="2" s="1"/>
  <c r="S137" i="2"/>
  <c r="J137" i="2"/>
  <c r="R137" i="2" l="1"/>
  <c r="Y137" i="2"/>
  <c r="K137" i="2"/>
  <c r="B137" i="2" s="1"/>
  <c r="D138" i="2" s="1"/>
  <c r="H138" i="2" s="1"/>
  <c r="N137" i="2"/>
  <c r="I138" i="2" l="1"/>
  <c r="Z138" i="2" s="1"/>
  <c r="V138" i="2"/>
  <c r="L138" i="2" l="1"/>
  <c r="C138" i="2" s="1"/>
  <c r="E139" i="2" s="1"/>
  <c r="T139" i="2" s="1"/>
  <c r="F138" i="2"/>
  <c r="G138" i="2" s="1"/>
  <c r="S138" i="2"/>
  <c r="J138" i="2"/>
  <c r="R138" i="2" l="1"/>
  <c r="Y138" i="2"/>
  <c r="K138" i="2"/>
  <c r="B138" i="2" s="1"/>
  <c r="D139" i="2" s="1"/>
  <c r="H139" i="2" s="1"/>
  <c r="N138" i="2"/>
  <c r="I139" i="2" l="1"/>
  <c r="Z139" i="2" s="1"/>
  <c r="V139" i="2"/>
  <c r="J139" i="2" l="1"/>
  <c r="S139" i="2"/>
  <c r="F139" i="2"/>
  <c r="G139" i="2" s="1"/>
  <c r="L139" i="2"/>
  <c r="C139" i="2" s="1"/>
  <c r="E140" i="2" s="1"/>
  <c r="T140" i="2" s="1"/>
  <c r="R139" i="2" l="1"/>
  <c r="Y139" i="2"/>
  <c r="K139" i="2"/>
  <c r="B139" i="2" s="1"/>
  <c r="D140" i="2" s="1"/>
  <c r="H140" i="2" s="1"/>
  <c r="N139" i="2"/>
  <c r="I140" i="2" l="1"/>
  <c r="Z140" i="2" s="1"/>
  <c r="V140" i="2"/>
  <c r="S140" i="2" l="1"/>
  <c r="J140" i="2"/>
  <c r="F140" i="2"/>
  <c r="G140" i="2" s="1"/>
  <c r="L140" i="2"/>
  <c r="C140" i="2" s="1"/>
  <c r="E141" i="2" s="1"/>
  <c r="T141" i="2" s="1"/>
  <c r="R140" i="2" l="1"/>
  <c r="Y140" i="2"/>
  <c r="K140" i="2"/>
  <c r="B140" i="2" s="1"/>
  <c r="D141" i="2" s="1"/>
  <c r="H141" i="2" s="1"/>
  <c r="N140" i="2"/>
  <c r="I141" i="2" l="1"/>
  <c r="Z141" i="2" s="1"/>
  <c r="V141" i="2"/>
  <c r="S141" i="2" l="1"/>
  <c r="J141" i="2"/>
  <c r="L141" i="2"/>
  <c r="C141" i="2" s="1"/>
  <c r="E142" i="2" s="1"/>
  <c r="T142" i="2" s="1"/>
  <c r="F141" i="2"/>
  <c r="G141" i="2" s="1"/>
  <c r="R141" i="2" l="1"/>
  <c r="Y141" i="2"/>
  <c r="K141" i="2"/>
  <c r="B141" i="2" s="1"/>
  <c r="D142" i="2" s="1"/>
  <c r="H142" i="2" s="1"/>
  <c r="N141" i="2"/>
  <c r="I142" i="2" l="1"/>
  <c r="Z142" i="2" s="1"/>
  <c r="V142" i="2"/>
  <c r="J142" i="2" l="1"/>
  <c r="S142" i="2"/>
  <c r="L142" i="2"/>
  <c r="C142" i="2" s="1"/>
  <c r="E143" i="2" s="1"/>
  <c r="T143" i="2" s="1"/>
  <c r="F142" i="2"/>
  <c r="G142" i="2" s="1"/>
  <c r="R142" i="2" l="1"/>
  <c r="Y142" i="2"/>
  <c r="K142" i="2"/>
  <c r="B142" i="2" s="1"/>
  <c r="D143" i="2" s="1"/>
  <c r="H143" i="2" s="1"/>
  <c r="N142" i="2"/>
  <c r="I143" i="2" l="1"/>
  <c r="Z143" i="2" s="1"/>
  <c r="V143" i="2"/>
  <c r="S143" i="2" l="1"/>
  <c r="J143" i="2"/>
  <c r="F143" i="2"/>
  <c r="G143" i="2" s="1"/>
  <c r="L143" i="2"/>
  <c r="C143" i="2" s="1"/>
  <c r="E144" i="2" s="1"/>
  <c r="T144" i="2" s="1"/>
  <c r="R143" i="2" l="1"/>
  <c r="Y143" i="2"/>
  <c r="K143" i="2"/>
  <c r="B143" i="2" s="1"/>
  <c r="D144" i="2" s="1"/>
  <c r="H144" i="2" s="1"/>
  <c r="N143" i="2"/>
  <c r="I144" i="2" l="1"/>
  <c r="Z144" i="2" s="1"/>
  <c r="V144" i="2"/>
  <c r="S144" i="2" l="1"/>
  <c r="J144" i="2"/>
  <c r="F144" i="2"/>
  <c r="G144" i="2" s="1"/>
  <c r="L144" i="2"/>
  <c r="C144" i="2" s="1"/>
  <c r="E145" i="2" s="1"/>
  <c r="T145" i="2" s="1"/>
  <c r="R144" i="2" l="1"/>
  <c r="Y144" i="2"/>
  <c r="K144" i="2"/>
  <c r="B144" i="2" s="1"/>
  <c r="D145" i="2" s="1"/>
  <c r="H145" i="2" s="1"/>
  <c r="N144" i="2"/>
  <c r="I145" i="2" l="1"/>
  <c r="Z145" i="2" s="1"/>
  <c r="V145" i="2"/>
  <c r="J145" i="2" l="1"/>
  <c r="S145" i="2"/>
  <c r="L145" i="2"/>
  <c r="C145" i="2" s="1"/>
  <c r="E146" i="2" s="1"/>
  <c r="T146" i="2" s="1"/>
  <c r="F145" i="2"/>
  <c r="G145" i="2" s="1"/>
  <c r="R145" i="2" l="1"/>
  <c r="Y145" i="2"/>
  <c r="K145" i="2"/>
  <c r="B145" i="2" s="1"/>
  <c r="D146" i="2" s="1"/>
  <c r="H146" i="2" s="1"/>
  <c r="N145" i="2"/>
  <c r="I146" i="2" l="1"/>
  <c r="Z146" i="2" s="1"/>
  <c r="V146" i="2"/>
  <c r="L146" i="2" l="1"/>
  <c r="C146" i="2" s="1"/>
  <c r="E147" i="2" s="1"/>
  <c r="T147" i="2" s="1"/>
  <c r="S146" i="2"/>
  <c r="J146" i="2"/>
  <c r="F146" i="2"/>
  <c r="G146" i="2" s="1"/>
  <c r="R146" i="2" l="1"/>
  <c r="Y146" i="2"/>
  <c r="K146" i="2"/>
  <c r="B146" i="2" s="1"/>
  <c r="D147" i="2" s="1"/>
  <c r="H147" i="2" s="1"/>
  <c r="N146" i="2"/>
  <c r="I147" i="2" l="1"/>
  <c r="Z147" i="2" s="1"/>
  <c r="V147" i="2"/>
  <c r="F147" i="2" l="1"/>
  <c r="G147" i="2" s="1"/>
  <c r="L147" i="2"/>
  <c r="C147" i="2" s="1"/>
  <c r="E148" i="2" s="1"/>
  <c r="T148" i="2" s="1"/>
  <c r="S147" i="2"/>
  <c r="J147" i="2"/>
  <c r="R147" i="2" l="1"/>
  <c r="Y147" i="2"/>
  <c r="K147" i="2"/>
  <c r="B147" i="2" s="1"/>
  <c r="D148" i="2" s="1"/>
  <c r="H148" i="2" s="1"/>
  <c r="N147" i="2"/>
  <c r="I148" i="2" l="1"/>
  <c r="Z148" i="2" s="1"/>
  <c r="V148" i="2"/>
  <c r="L148" i="2" l="1"/>
  <c r="C148" i="2" s="1"/>
  <c r="E149" i="2" s="1"/>
  <c r="T149" i="2" s="1"/>
  <c r="F148" i="2"/>
  <c r="G148" i="2" s="1"/>
  <c r="S148" i="2"/>
  <c r="J148" i="2"/>
  <c r="R148" i="2" l="1"/>
  <c r="Y148" i="2"/>
  <c r="K148" i="2"/>
  <c r="B148" i="2" s="1"/>
  <c r="D149" i="2" s="1"/>
  <c r="H149" i="2" s="1"/>
  <c r="N148" i="2"/>
  <c r="I149" i="2" l="1"/>
  <c r="Z149" i="2" s="1"/>
  <c r="V149" i="2"/>
  <c r="F149" i="2" l="1"/>
  <c r="G149" i="2" s="1"/>
  <c r="L149" i="2"/>
  <c r="C149" i="2" s="1"/>
  <c r="E150" i="2" s="1"/>
  <c r="T150" i="2" s="1"/>
  <c r="S149" i="2"/>
  <c r="J149" i="2"/>
  <c r="R149" i="2" l="1"/>
  <c r="Y149" i="2"/>
  <c r="K149" i="2"/>
  <c r="B149" i="2" s="1"/>
  <c r="D150" i="2" s="1"/>
  <c r="H150" i="2" s="1"/>
  <c r="N149" i="2"/>
  <c r="I150" i="2" l="1"/>
  <c r="Z150" i="2" s="1"/>
  <c r="V150" i="2"/>
  <c r="J150" i="2" l="1"/>
  <c r="L150" i="2"/>
  <c r="C150" i="2" s="1"/>
  <c r="E151" i="2" s="1"/>
  <c r="T151" i="2" s="1"/>
  <c r="S150" i="2"/>
  <c r="F150" i="2"/>
  <c r="G150" i="2" s="1"/>
  <c r="R150" i="2" l="1"/>
  <c r="Y150" i="2"/>
  <c r="K150" i="2"/>
  <c r="B150" i="2" s="1"/>
  <c r="D151" i="2" s="1"/>
  <c r="H151" i="2" s="1"/>
  <c r="N150" i="2"/>
  <c r="I151" i="2" l="1"/>
  <c r="Z151" i="2" s="1"/>
  <c r="V151" i="2"/>
  <c r="S151" i="2" l="1"/>
  <c r="J151" i="2"/>
  <c r="L151" i="2"/>
  <c r="C151" i="2" s="1"/>
  <c r="E152" i="2" s="1"/>
  <c r="T152" i="2" s="1"/>
  <c r="F151" i="2"/>
  <c r="G151" i="2" s="1"/>
  <c r="R151" i="2" l="1"/>
  <c r="Y151" i="2"/>
  <c r="K151" i="2"/>
  <c r="B151" i="2" s="1"/>
  <c r="D152" i="2" s="1"/>
  <c r="H152" i="2" s="1"/>
  <c r="N151" i="2"/>
  <c r="I152" i="2" l="1"/>
  <c r="Z152" i="2" s="1"/>
  <c r="V152" i="2"/>
  <c r="S152" i="2" l="1"/>
  <c r="J152" i="2"/>
  <c r="F152" i="2"/>
  <c r="G152" i="2" s="1"/>
  <c r="L152" i="2"/>
  <c r="C152" i="2" s="1"/>
  <c r="E153" i="2" s="1"/>
  <c r="T153" i="2" s="1"/>
  <c r="R152" i="2" l="1"/>
  <c r="Y152" i="2"/>
  <c r="K152" i="2"/>
  <c r="B152" i="2" s="1"/>
  <c r="D153" i="2" s="1"/>
  <c r="H153" i="2" s="1"/>
  <c r="N152" i="2"/>
  <c r="I153" i="2" l="1"/>
  <c r="Z153" i="2" s="1"/>
  <c r="V153" i="2"/>
  <c r="S153" i="2" l="1"/>
  <c r="J153" i="2"/>
  <c r="F153" i="2"/>
  <c r="G153" i="2" s="1"/>
  <c r="L153" i="2"/>
  <c r="C153" i="2" s="1"/>
  <c r="E154" i="2" s="1"/>
  <c r="T154" i="2" s="1"/>
  <c r="R153" i="2" l="1"/>
  <c r="Y153" i="2"/>
  <c r="K153" i="2"/>
  <c r="B153" i="2" s="1"/>
  <c r="D154" i="2" s="1"/>
  <c r="H154" i="2" s="1"/>
  <c r="N153" i="2"/>
  <c r="I154" i="2" l="1"/>
  <c r="Z154" i="2" s="1"/>
  <c r="V154" i="2"/>
  <c r="S154" i="2" l="1"/>
  <c r="J154" i="2"/>
  <c r="F154" i="2"/>
  <c r="G154" i="2" s="1"/>
  <c r="L154" i="2"/>
  <c r="C154" i="2" s="1"/>
  <c r="E155" i="2" s="1"/>
  <c r="T155" i="2" s="1"/>
  <c r="R154" i="2" l="1"/>
  <c r="Y154" i="2"/>
  <c r="K154" i="2"/>
  <c r="B154" i="2" s="1"/>
  <c r="D155" i="2" s="1"/>
  <c r="H155" i="2" s="1"/>
  <c r="N154" i="2"/>
  <c r="I155" i="2" l="1"/>
  <c r="Z155" i="2" s="1"/>
  <c r="V155" i="2"/>
  <c r="S155" i="2" l="1"/>
  <c r="J155" i="2"/>
  <c r="F155" i="2"/>
  <c r="G155" i="2" s="1"/>
  <c r="L155" i="2"/>
  <c r="C155" i="2" s="1"/>
  <c r="E156" i="2" s="1"/>
  <c r="T156" i="2" s="1"/>
  <c r="R155" i="2" l="1"/>
  <c r="Y155" i="2"/>
  <c r="K155" i="2"/>
  <c r="B155" i="2" s="1"/>
  <c r="D156" i="2" s="1"/>
  <c r="H156" i="2" s="1"/>
  <c r="N155" i="2"/>
  <c r="I156" i="2" l="1"/>
  <c r="Z156" i="2" s="1"/>
  <c r="V156" i="2"/>
  <c r="S156" i="2" l="1"/>
  <c r="J156" i="2"/>
  <c r="L156" i="2"/>
  <c r="C156" i="2" s="1"/>
  <c r="E157" i="2" s="1"/>
  <c r="T157" i="2" s="1"/>
  <c r="F156" i="2"/>
  <c r="G156" i="2" s="1"/>
  <c r="R156" i="2" l="1"/>
  <c r="Y156" i="2"/>
  <c r="K156" i="2"/>
  <c r="B156" i="2" s="1"/>
  <c r="D157" i="2" s="1"/>
  <c r="H157" i="2" s="1"/>
  <c r="N156" i="2"/>
  <c r="I157" i="2" l="1"/>
  <c r="Z157" i="2" s="1"/>
  <c r="V157" i="2"/>
  <c r="J157" i="2" l="1"/>
  <c r="F157" i="2"/>
  <c r="G157" i="2" s="1"/>
  <c r="S157" i="2"/>
  <c r="L157" i="2"/>
  <c r="C157" i="2" s="1"/>
  <c r="E158" i="2" s="1"/>
  <c r="T158" i="2" s="1"/>
  <c r="R157" i="2" l="1"/>
  <c r="Y157" i="2"/>
  <c r="K157" i="2"/>
  <c r="B157" i="2" s="1"/>
  <c r="D158" i="2" s="1"/>
  <c r="H158" i="2" s="1"/>
  <c r="N157" i="2"/>
  <c r="I158" i="2" l="1"/>
  <c r="Z158" i="2" s="1"/>
  <c r="V158" i="2"/>
  <c r="F158" i="2" l="1"/>
  <c r="G158" i="2" s="1"/>
  <c r="L158" i="2"/>
  <c r="C158" i="2" s="1"/>
  <c r="E159" i="2" s="1"/>
  <c r="T159" i="2" s="1"/>
  <c r="S158" i="2"/>
  <c r="J158" i="2"/>
  <c r="R158" i="2" l="1"/>
  <c r="Y158" i="2"/>
  <c r="K158" i="2"/>
  <c r="B158" i="2" s="1"/>
  <c r="D159" i="2" s="1"/>
  <c r="H159" i="2" s="1"/>
  <c r="N158" i="2"/>
  <c r="I159" i="2" l="1"/>
  <c r="Z159" i="2" s="1"/>
  <c r="V159" i="2"/>
  <c r="J159" i="2" l="1"/>
  <c r="S159" i="2"/>
  <c r="L159" i="2"/>
  <c r="C159" i="2" s="1"/>
  <c r="E160" i="2" s="1"/>
  <c r="T160" i="2" s="1"/>
  <c r="F159" i="2"/>
  <c r="G159" i="2" s="1"/>
  <c r="R159" i="2" l="1"/>
  <c r="Y159" i="2"/>
  <c r="K159" i="2"/>
  <c r="B159" i="2" s="1"/>
  <c r="D160" i="2" s="1"/>
  <c r="H160" i="2" s="1"/>
  <c r="N159" i="2"/>
  <c r="I160" i="2" l="1"/>
  <c r="Z160" i="2" s="1"/>
  <c r="V160" i="2"/>
  <c r="S160" i="2" l="1"/>
  <c r="J160" i="2"/>
  <c r="F160" i="2"/>
  <c r="G160" i="2" s="1"/>
  <c r="L160" i="2"/>
  <c r="C160" i="2" s="1"/>
  <c r="E161" i="2" s="1"/>
  <c r="T161" i="2" s="1"/>
  <c r="R160" i="2" l="1"/>
  <c r="Y160" i="2"/>
  <c r="K160" i="2"/>
  <c r="B160" i="2" s="1"/>
  <c r="D161" i="2" s="1"/>
  <c r="H161" i="2" s="1"/>
  <c r="N160" i="2"/>
  <c r="I161" i="2" l="1"/>
  <c r="Z161" i="2" s="1"/>
  <c r="V161" i="2"/>
  <c r="S161" i="2" l="1"/>
  <c r="J161" i="2"/>
  <c r="L161" i="2"/>
  <c r="C161" i="2" s="1"/>
  <c r="E162" i="2" s="1"/>
  <c r="T162" i="2" s="1"/>
  <c r="F161" i="2"/>
  <c r="G161" i="2" s="1"/>
  <c r="R161" i="2" l="1"/>
  <c r="Y161" i="2"/>
  <c r="K161" i="2"/>
  <c r="B161" i="2" s="1"/>
  <c r="D162" i="2" s="1"/>
  <c r="H162" i="2" s="1"/>
  <c r="N161" i="2"/>
  <c r="I162" i="2" l="1"/>
  <c r="Z162" i="2" s="1"/>
  <c r="V162" i="2"/>
  <c r="J162" i="2" l="1"/>
  <c r="S162" i="2"/>
  <c r="F162" i="2"/>
  <c r="G162" i="2" s="1"/>
  <c r="L162" i="2"/>
  <c r="C162" i="2" s="1"/>
  <c r="E163" i="2" s="1"/>
  <c r="T163" i="2" s="1"/>
  <c r="R162" i="2" l="1"/>
  <c r="Y162" i="2"/>
  <c r="K162" i="2"/>
  <c r="B162" i="2" s="1"/>
  <c r="D163" i="2" s="1"/>
  <c r="H163" i="2" s="1"/>
  <c r="N162" i="2"/>
  <c r="I163" i="2" l="1"/>
  <c r="Z163" i="2" s="1"/>
  <c r="V163" i="2"/>
  <c r="S163" i="2" l="1"/>
  <c r="J163" i="2"/>
  <c r="F163" i="2"/>
  <c r="G163" i="2" s="1"/>
  <c r="L163" i="2"/>
  <c r="C163" i="2" s="1"/>
  <c r="E164" i="2" s="1"/>
  <c r="T164" i="2" s="1"/>
  <c r="R163" i="2" l="1"/>
  <c r="Y163" i="2"/>
  <c r="K163" i="2"/>
  <c r="B163" i="2" s="1"/>
  <c r="D164" i="2" s="1"/>
  <c r="H164" i="2" s="1"/>
  <c r="N163" i="2"/>
  <c r="I164" i="2" l="1"/>
  <c r="Z164" i="2" s="1"/>
  <c r="V164" i="2"/>
  <c r="S164" i="2" l="1"/>
  <c r="J164" i="2"/>
  <c r="L164" i="2"/>
  <c r="C164" i="2" s="1"/>
  <c r="E165" i="2" s="1"/>
  <c r="T165" i="2" s="1"/>
  <c r="F164" i="2"/>
  <c r="G164" i="2" s="1"/>
  <c r="R164" i="2" l="1"/>
  <c r="Y164" i="2"/>
  <c r="K164" i="2"/>
  <c r="B164" i="2" s="1"/>
  <c r="D165" i="2" s="1"/>
  <c r="H165" i="2" s="1"/>
  <c r="N164" i="2"/>
  <c r="I165" i="2" l="1"/>
  <c r="Z165" i="2" s="1"/>
  <c r="V165" i="2"/>
  <c r="J165" i="2" l="1"/>
  <c r="F165" i="2"/>
  <c r="G165" i="2" s="1"/>
  <c r="S165" i="2"/>
  <c r="L165" i="2"/>
  <c r="C165" i="2" s="1"/>
  <c r="E166" i="2" s="1"/>
  <c r="T166" i="2" s="1"/>
  <c r="R165" i="2" l="1"/>
  <c r="Y165" i="2"/>
  <c r="K165" i="2"/>
  <c r="B165" i="2" s="1"/>
  <c r="D166" i="2" s="1"/>
  <c r="H166" i="2" s="1"/>
  <c r="N165" i="2"/>
  <c r="I166" i="2" l="1"/>
  <c r="Z166" i="2" s="1"/>
  <c r="V166" i="2"/>
  <c r="J166" i="2" l="1"/>
  <c r="F166" i="2"/>
  <c r="G166" i="2" s="1"/>
  <c r="L166" i="2"/>
  <c r="C166" i="2" s="1"/>
  <c r="E167" i="2" s="1"/>
  <c r="T167" i="2" s="1"/>
  <c r="S166" i="2"/>
  <c r="R166" i="2" l="1"/>
  <c r="Y166" i="2"/>
  <c r="K166" i="2"/>
  <c r="B166" i="2" s="1"/>
  <c r="D167" i="2" s="1"/>
  <c r="H167" i="2" s="1"/>
  <c r="N166" i="2"/>
  <c r="I167" i="2" l="1"/>
  <c r="Z167" i="2" s="1"/>
  <c r="V167" i="2"/>
  <c r="J167" i="2" l="1"/>
  <c r="S167" i="2"/>
  <c r="F167" i="2"/>
  <c r="G167" i="2" s="1"/>
  <c r="L167" i="2"/>
  <c r="C167" i="2" s="1"/>
  <c r="E168" i="2" s="1"/>
  <c r="T168" i="2" s="1"/>
  <c r="R167" i="2" l="1"/>
  <c r="Y167" i="2"/>
  <c r="K167" i="2"/>
  <c r="B167" i="2" s="1"/>
  <c r="D168" i="2" s="1"/>
  <c r="H168" i="2" s="1"/>
  <c r="N167" i="2"/>
  <c r="I168" i="2" l="1"/>
  <c r="Z168" i="2" s="1"/>
  <c r="V168" i="2"/>
  <c r="S168" i="2" l="1"/>
  <c r="J168" i="2"/>
  <c r="L168" i="2"/>
  <c r="C168" i="2" s="1"/>
  <c r="E169" i="2" s="1"/>
  <c r="T169" i="2" s="1"/>
  <c r="F168" i="2"/>
  <c r="G168" i="2" s="1"/>
  <c r="R168" i="2" l="1"/>
  <c r="Y168" i="2"/>
  <c r="K168" i="2"/>
  <c r="B168" i="2" s="1"/>
  <c r="D169" i="2" s="1"/>
  <c r="H169" i="2" s="1"/>
  <c r="N168" i="2"/>
  <c r="I169" i="2" l="1"/>
  <c r="Z169" i="2" s="1"/>
  <c r="V169" i="2"/>
  <c r="S169" i="2" l="1"/>
  <c r="J169" i="2"/>
  <c r="L169" i="2"/>
  <c r="C169" i="2" s="1"/>
  <c r="E170" i="2" s="1"/>
  <c r="T170" i="2" s="1"/>
  <c r="F169" i="2"/>
  <c r="G169" i="2" s="1"/>
  <c r="R169" i="2" l="1"/>
  <c r="Y169" i="2"/>
  <c r="K169" i="2"/>
  <c r="B169" i="2" s="1"/>
  <c r="D170" i="2" s="1"/>
  <c r="H170" i="2" s="1"/>
  <c r="N169" i="2"/>
  <c r="I170" i="2" l="1"/>
  <c r="Z170" i="2" s="1"/>
  <c r="V170" i="2"/>
  <c r="J170" i="2" l="1"/>
  <c r="S170" i="2"/>
  <c r="F170" i="2"/>
  <c r="G170" i="2" s="1"/>
  <c r="L170" i="2"/>
  <c r="C170" i="2" s="1"/>
  <c r="E171" i="2" s="1"/>
  <c r="T171" i="2" s="1"/>
  <c r="R170" i="2" l="1"/>
  <c r="Y170" i="2"/>
  <c r="K170" i="2"/>
  <c r="B170" i="2" s="1"/>
  <c r="D171" i="2" s="1"/>
  <c r="H171" i="2" s="1"/>
  <c r="N170" i="2"/>
  <c r="I171" i="2" l="1"/>
  <c r="Z171" i="2" s="1"/>
  <c r="V171" i="2"/>
  <c r="F171" i="2" l="1"/>
  <c r="G171" i="2" s="1"/>
  <c r="L171" i="2"/>
  <c r="C171" i="2" s="1"/>
  <c r="E172" i="2" s="1"/>
  <c r="T172" i="2" s="1"/>
  <c r="S171" i="2"/>
  <c r="J171" i="2"/>
  <c r="R171" i="2" l="1"/>
  <c r="Y171" i="2"/>
  <c r="K171" i="2"/>
  <c r="B171" i="2" s="1"/>
  <c r="D172" i="2" s="1"/>
  <c r="H172" i="2" s="1"/>
  <c r="N171" i="2"/>
  <c r="I172" i="2" l="1"/>
  <c r="Z172" i="2" s="1"/>
  <c r="V172" i="2"/>
  <c r="J172" i="2" l="1"/>
  <c r="S172" i="2"/>
  <c r="L172" i="2"/>
  <c r="C172" i="2" s="1"/>
  <c r="E173" i="2" s="1"/>
  <c r="T173" i="2" s="1"/>
  <c r="F172" i="2"/>
  <c r="G172" i="2" s="1"/>
  <c r="R172" i="2" l="1"/>
  <c r="Y172" i="2"/>
  <c r="K172" i="2"/>
  <c r="B172" i="2" s="1"/>
  <c r="D173" i="2" s="1"/>
  <c r="H173" i="2" s="1"/>
  <c r="N172" i="2"/>
  <c r="I173" i="2" l="1"/>
  <c r="Z173" i="2" s="1"/>
  <c r="V173" i="2"/>
  <c r="S173" i="2" l="1"/>
  <c r="J173" i="2"/>
  <c r="L173" i="2"/>
  <c r="C173" i="2" s="1"/>
  <c r="E174" i="2" s="1"/>
  <c r="T174" i="2" s="1"/>
  <c r="F173" i="2"/>
  <c r="G173" i="2" s="1"/>
  <c r="R173" i="2" l="1"/>
  <c r="Y173" i="2"/>
  <c r="K173" i="2"/>
  <c r="B173" i="2" s="1"/>
  <c r="D174" i="2" s="1"/>
  <c r="H174" i="2" s="1"/>
  <c r="N173" i="2"/>
  <c r="I174" i="2" l="1"/>
  <c r="Z174" i="2" s="1"/>
  <c r="V174" i="2"/>
  <c r="S174" i="2" l="1"/>
  <c r="J174" i="2"/>
  <c r="F174" i="2"/>
  <c r="G174" i="2" s="1"/>
  <c r="L174" i="2"/>
  <c r="C174" i="2" s="1"/>
  <c r="E175" i="2" s="1"/>
  <c r="T175" i="2" s="1"/>
  <c r="R174" i="2" l="1"/>
  <c r="Y174" i="2"/>
  <c r="K174" i="2"/>
  <c r="B174" i="2" s="1"/>
  <c r="D175" i="2" s="1"/>
  <c r="H175" i="2" s="1"/>
  <c r="N174" i="2"/>
  <c r="I175" i="2" l="1"/>
  <c r="Z175" i="2" s="1"/>
  <c r="V175" i="2"/>
  <c r="S175" i="2" l="1"/>
  <c r="J175" i="2"/>
  <c r="L175" i="2"/>
  <c r="C175" i="2" s="1"/>
  <c r="E176" i="2" s="1"/>
  <c r="T176" i="2" s="1"/>
  <c r="F175" i="2"/>
  <c r="G175" i="2" s="1"/>
  <c r="R175" i="2" l="1"/>
  <c r="Y175" i="2"/>
  <c r="K175" i="2"/>
  <c r="B175" i="2" s="1"/>
  <c r="D176" i="2" s="1"/>
  <c r="H176" i="2" s="1"/>
  <c r="N175" i="2"/>
  <c r="I176" i="2" l="1"/>
  <c r="Z176" i="2" s="1"/>
  <c r="V176" i="2"/>
  <c r="S176" i="2" l="1"/>
  <c r="J176" i="2"/>
  <c r="F176" i="2"/>
  <c r="G176" i="2" s="1"/>
  <c r="L176" i="2"/>
  <c r="C176" i="2" s="1"/>
  <c r="E177" i="2" s="1"/>
  <c r="T177" i="2" s="1"/>
  <c r="R176" i="2" l="1"/>
  <c r="Y176" i="2"/>
  <c r="K176" i="2"/>
  <c r="B176" i="2" s="1"/>
  <c r="D177" i="2" s="1"/>
  <c r="H177" i="2" s="1"/>
  <c r="N176" i="2"/>
  <c r="I177" i="2" l="1"/>
  <c r="Z177" i="2" s="1"/>
  <c r="V177" i="2"/>
  <c r="S177" i="2" l="1"/>
  <c r="J177" i="2"/>
  <c r="F177" i="2"/>
  <c r="G177" i="2" s="1"/>
  <c r="L177" i="2"/>
  <c r="C177" i="2" s="1"/>
  <c r="E178" i="2" s="1"/>
  <c r="T178" i="2" s="1"/>
  <c r="R177" i="2" l="1"/>
  <c r="Y177" i="2"/>
  <c r="K177" i="2"/>
  <c r="B177" i="2" s="1"/>
  <c r="D178" i="2" s="1"/>
  <c r="H178" i="2" s="1"/>
  <c r="N177" i="2"/>
  <c r="I178" i="2" l="1"/>
  <c r="Z178" i="2" s="1"/>
  <c r="V178" i="2"/>
  <c r="S178" i="2" l="1"/>
  <c r="J178" i="2"/>
  <c r="L178" i="2"/>
  <c r="C178" i="2" s="1"/>
  <c r="E179" i="2" s="1"/>
  <c r="T179" i="2" s="1"/>
  <c r="F178" i="2"/>
  <c r="G178" i="2" s="1"/>
  <c r="R178" i="2" l="1"/>
  <c r="Y178" i="2"/>
  <c r="K178" i="2"/>
  <c r="B178" i="2" s="1"/>
  <c r="D179" i="2" s="1"/>
  <c r="H179" i="2" s="1"/>
  <c r="N178" i="2"/>
  <c r="I179" i="2" l="1"/>
  <c r="Z179" i="2" s="1"/>
  <c r="V179" i="2"/>
  <c r="S179" i="2" l="1"/>
  <c r="J179" i="2"/>
  <c r="L179" i="2"/>
  <c r="C179" i="2" s="1"/>
  <c r="E180" i="2" s="1"/>
  <c r="T180" i="2" s="1"/>
  <c r="F179" i="2"/>
  <c r="G179" i="2" s="1"/>
  <c r="R179" i="2" l="1"/>
  <c r="Y179" i="2"/>
  <c r="N179" i="2"/>
  <c r="K179" i="2"/>
  <c r="B179" i="2" s="1"/>
  <c r="D180" i="2" s="1"/>
  <c r="H180" i="2" s="1"/>
  <c r="I180" i="2" l="1"/>
  <c r="Z180" i="2" s="1"/>
  <c r="V180" i="2"/>
  <c r="S180" i="2" l="1"/>
  <c r="J180" i="2"/>
  <c r="L180" i="2"/>
  <c r="C180" i="2" s="1"/>
  <c r="E181" i="2" s="1"/>
  <c r="T181" i="2" s="1"/>
  <c r="F180" i="2"/>
  <c r="G180" i="2" s="1"/>
  <c r="R180" i="2" l="1"/>
  <c r="Y180" i="2"/>
  <c r="K180" i="2"/>
  <c r="B180" i="2" s="1"/>
  <c r="D181" i="2" s="1"/>
  <c r="H181" i="2" s="1"/>
  <c r="N180" i="2"/>
  <c r="I181" i="2" l="1"/>
  <c r="Z181" i="2" s="1"/>
  <c r="V181" i="2"/>
  <c r="J181" i="2" l="1"/>
  <c r="F181" i="2"/>
  <c r="G181" i="2" s="1"/>
  <c r="S181" i="2"/>
  <c r="L181" i="2"/>
  <c r="C181" i="2" s="1"/>
  <c r="E182" i="2" s="1"/>
  <c r="T182" i="2" s="1"/>
  <c r="R181" i="2" l="1"/>
  <c r="Y181" i="2"/>
  <c r="K181" i="2"/>
  <c r="B181" i="2" s="1"/>
  <c r="D182" i="2" s="1"/>
  <c r="H182" i="2" s="1"/>
  <c r="N181" i="2"/>
  <c r="I182" i="2" l="1"/>
  <c r="Z182" i="2" s="1"/>
  <c r="V182" i="2"/>
  <c r="S182" i="2" l="1"/>
  <c r="J182" i="2"/>
  <c r="F182" i="2"/>
  <c r="G182" i="2" s="1"/>
  <c r="L182" i="2"/>
  <c r="C182" i="2" s="1"/>
  <c r="E183" i="2" s="1"/>
  <c r="T183" i="2" s="1"/>
  <c r="R182" i="2" l="1"/>
  <c r="Y182" i="2"/>
  <c r="K182" i="2"/>
  <c r="B182" i="2" s="1"/>
  <c r="D183" i="2" s="1"/>
  <c r="H183" i="2" s="1"/>
  <c r="N182" i="2"/>
  <c r="I183" i="2" l="1"/>
  <c r="Z183" i="2" s="1"/>
  <c r="V183" i="2"/>
  <c r="S183" i="2" l="1"/>
  <c r="J183" i="2"/>
  <c r="L183" i="2"/>
  <c r="C183" i="2" s="1"/>
  <c r="E184" i="2" s="1"/>
  <c r="T184" i="2" s="1"/>
  <c r="F183" i="2"/>
  <c r="G183" i="2" s="1"/>
  <c r="R183" i="2" l="1"/>
  <c r="Y183" i="2"/>
  <c r="K183" i="2"/>
  <c r="B183" i="2" s="1"/>
  <c r="D184" i="2" s="1"/>
  <c r="H184" i="2" s="1"/>
  <c r="N183" i="2"/>
  <c r="I184" i="2" l="1"/>
  <c r="Z184" i="2" s="1"/>
  <c r="V184" i="2"/>
  <c r="S184" i="2" l="1"/>
  <c r="J184" i="2"/>
  <c r="L184" i="2"/>
  <c r="C184" i="2" s="1"/>
  <c r="E185" i="2" s="1"/>
  <c r="T185" i="2" s="1"/>
  <c r="F184" i="2"/>
  <c r="G184" i="2" s="1"/>
  <c r="R184" i="2" l="1"/>
  <c r="Y184" i="2"/>
  <c r="K184" i="2"/>
  <c r="B184" i="2" s="1"/>
  <c r="D185" i="2" s="1"/>
  <c r="H185" i="2" s="1"/>
  <c r="N184" i="2"/>
  <c r="I185" i="2" l="1"/>
  <c r="Z185" i="2" s="1"/>
  <c r="V185" i="2"/>
  <c r="J185" i="2" l="1"/>
  <c r="F185" i="2"/>
  <c r="G185" i="2" s="1"/>
  <c r="S185" i="2"/>
  <c r="L185" i="2"/>
  <c r="C185" i="2" s="1"/>
  <c r="E186" i="2" s="1"/>
  <c r="T186" i="2" s="1"/>
  <c r="R185" i="2" l="1"/>
  <c r="Y185" i="2"/>
  <c r="K185" i="2"/>
  <c r="B185" i="2" s="1"/>
  <c r="D186" i="2" s="1"/>
  <c r="H186" i="2" s="1"/>
  <c r="N185" i="2"/>
  <c r="I186" i="2" l="1"/>
  <c r="Z186" i="2" s="1"/>
  <c r="V186" i="2"/>
  <c r="S186" i="2" l="1"/>
  <c r="J186" i="2"/>
  <c r="L186" i="2"/>
  <c r="C186" i="2" s="1"/>
  <c r="E187" i="2" s="1"/>
  <c r="T187" i="2" s="1"/>
  <c r="F186" i="2"/>
  <c r="G186" i="2" s="1"/>
  <c r="R186" i="2" l="1"/>
  <c r="Y186" i="2"/>
  <c r="K186" i="2"/>
  <c r="B186" i="2" s="1"/>
  <c r="D187" i="2" s="1"/>
  <c r="H187" i="2" s="1"/>
  <c r="N186" i="2"/>
  <c r="I187" i="2" l="1"/>
  <c r="Z187" i="2" s="1"/>
  <c r="V187" i="2"/>
  <c r="L187" i="2" l="1"/>
  <c r="C187" i="2" s="1"/>
  <c r="E188" i="2" s="1"/>
  <c r="T188" i="2" s="1"/>
  <c r="S187" i="2"/>
  <c r="J187" i="2"/>
  <c r="F187" i="2"/>
  <c r="G187" i="2" s="1"/>
  <c r="R187" i="2" l="1"/>
  <c r="Y187" i="2"/>
  <c r="K187" i="2"/>
  <c r="B187" i="2" s="1"/>
  <c r="D188" i="2" s="1"/>
  <c r="H188" i="2" s="1"/>
  <c r="N187" i="2"/>
  <c r="I188" i="2" l="1"/>
  <c r="Z188" i="2" s="1"/>
  <c r="V188" i="2"/>
  <c r="L188" i="2" l="1"/>
  <c r="C188" i="2" s="1"/>
  <c r="E189" i="2" s="1"/>
  <c r="T189" i="2" s="1"/>
  <c r="S188" i="2"/>
  <c r="J188" i="2"/>
  <c r="F188" i="2"/>
  <c r="G188" i="2" s="1"/>
  <c r="R188" i="2" l="1"/>
  <c r="Y188" i="2"/>
  <c r="K188" i="2"/>
  <c r="B188" i="2" s="1"/>
  <c r="D189" i="2" s="1"/>
  <c r="H189" i="2" s="1"/>
  <c r="N188" i="2"/>
  <c r="I189" i="2" l="1"/>
  <c r="Z189" i="2" s="1"/>
  <c r="V189" i="2"/>
  <c r="L189" i="2" l="1"/>
  <c r="C189" i="2" s="1"/>
  <c r="E190" i="2" s="1"/>
  <c r="T190" i="2" s="1"/>
  <c r="S189" i="2"/>
  <c r="J189" i="2"/>
  <c r="F189" i="2"/>
  <c r="G189" i="2" s="1"/>
  <c r="R189" i="2" l="1"/>
  <c r="Y189" i="2"/>
  <c r="K189" i="2"/>
  <c r="B189" i="2" s="1"/>
  <c r="D190" i="2" s="1"/>
  <c r="H190" i="2" s="1"/>
  <c r="N189" i="2"/>
  <c r="I190" i="2" l="1"/>
  <c r="Z190" i="2" s="1"/>
  <c r="V190" i="2"/>
  <c r="J190" i="2" l="1"/>
  <c r="F190" i="2"/>
  <c r="G190" i="2" s="1"/>
  <c r="L190" i="2"/>
  <c r="C190" i="2" s="1"/>
  <c r="E191" i="2" s="1"/>
  <c r="T191" i="2" s="1"/>
  <c r="S190" i="2"/>
  <c r="R190" i="2" l="1"/>
  <c r="Y190" i="2"/>
  <c r="K190" i="2"/>
  <c r="B190" i="2" s="1"/>
  <c r="D191" i="2" s="1"/>
  <c r="H191" i="2" s="1"/>
  <c r="N190" i="2"/>
  <c r="I191" i="2" l="1"/>
  <c r="Z191" i="2" s="1"/>
  <c r="V191" i="2"/>
  <c r="S191" i="2" l="1"/>
  <c r="J191" i="2"/>
  <c r="F191" i="2"/>
  <c r="G191" i="2" s="1"/>
  <c r="L191" i="2"/>
  <c r="C191" i="2" s="1"/>
  <c r="E192" i="2" s="1"/>
  <c r="T192" i="2" s="1"/>
  <c r="R191" i="2" l="1"/>
  <c r="Y191" i="2"/>
  <c r="K191" i="2"/>
  <c r="B191" i="2" s="1"/>
  <c r="D192" i="2" s="1"/>
  <c r="H192" i="2" s="1"/>
  <c r="N191" i="2"/>
  <c r="I192" i="2" l="1"/>
  <c r="Z192" i="2" s="1"/>
  <c r="V192" i="2"/>
  <c r="S192" i="2" l="1"/>
  <c r="J192" i="2"/>
  <c r="F192" i="2"/>
  <c r="G192" i="2" s="1"/>
  <c r="L192" i="2"/>
  <c r="C192" i="2" s="1"/>
  <c r="E193" i="2" s="1"/>
  <c r="T193" i="2" s="1"/>
  <c r="R192" i="2" l="1"/>
  <c r="Y192" i="2"/>
  <c r="K192" i="2"/>
  <c r="B192" i="2" s="1"/>
  <c r="D193" i="2" s="1"/>
  <c r="H193" i="2" s="1"/>
  <c r="N192" i="2"/>
  <c r="I193" i="2" l="1"/>
  <c r="Z193" i="2" s="1"/>
  <c r="V193" i="2"/>
  <c r="S193" i="2" l="1"/>
  <c r="J193" i="2"/>
  <c r="L193" i="2"/>
  <c r="C193" i="2" s="1"/>
  <c r="E194" i="2" s="1"/>
  <c r="T194" i="2" s="1"/>
  <c r="F193" i="2"/>
  <c r="G193" i="2" s="1"/>
  <c r="R193" i="2" l="1"/>
  <c r="Y193" i="2"/>
  <c r="K193" i="2"/>
  <c r="B193" i="2" s="1"/>
  <c r="D194" i="2" s="1"/>
  <c r="H194" i="2" s="1"/>
  <c r="N193" i="2"/>
  <c r="I194" i="2" l="1"/>
  <c r="Z194" i="2" s="1"/>
  <c r="V194" i="2"/>
  <c r="S194" i="2" l="1"/>
  <c r="J194" i="2"/>
  <c r="L194" i="2"/>
  <c r="C194" i="2" s="1"/>
  <c r="E195" i="2" s="1"/>
  <c r="T195" i="2" s="1"/>
  <c r="F194" i="2"/>
  <c r="G194" i="2" s="1"/>
  <c r="R194" i="2" l="1"/>
  <c r="Y194" i="2"/>
  <c r="K194" i="2"/>
  <c r="B194" i="2" s="1"/>
  <c r="D195" i="2" s="1"/>
  <c r="H195" i="2" s="1"/>
  <c r="N194" i="2"/>
  <c r="I195" i="2" l="1"/>
  <c r="Z195" i="2" s="1"/>
  <c r="V195" i="2"/>
  <c r="S195" i="2" l="1"/>
  <c r="J195" i="2"/>
  <c r="L195" i="2"/>
  <c r="C195" i="2" s="1"/>
  <c r="E196" i="2" s="1"/>
  <c r="T196" i="2" s="1"/>
  <c r="F195" i="2"/>
  <c r="G195" i="2" s="1"/>
  <c r="R195" i="2" l="1"/>
  <c r="Y195" i="2"/>
  <c r="K195" i="2"/>
  <c r="B195" i="2" s="1"/>
  <c r="D196" i="2" s="1"/>
  <c r="H196" i="2" s="1"/>
  <c r="N195" i="2"/>
  <c r="I196" i="2" l="1"/>
  <c r="Z196" i="2" s="1"/>
  <c r="V196" i="2"/>
  <c r="S196" i="2" l="1"/>
  <c r="J196" i="2"/>
  <c r="F196" i="2"/>
  <c r="G196" i="2" s="1"/>
  <c r="L196" i="2"/>
  <c r="C196" i="2" s="1"/>
  <c r="E197" i="2" s="1"/>
  <c r="T197" i="2" s="1"/>
  <c r="R196" i="2" l="1"/>
  <c r="Y196" i="2"/>
  <c r="K196" i="2"/>
  <c r="B196" i="2" s="1"/>
  <c r="D197" i="2" s="1"/>
  <c r="H197" i="2" s="1"/>
  <c r="N196" i="2"/>
  <c r="I197" i="2" l="1"/>
  <c r="Z197" i="2" s="1"/>
  <c r="V197" i="2"/>
  <c r="S197" i="2" l="1"/>
  <c r="J197" i="2"/>
  <c r="F197" i="2"/>
  <c r="G197" i="2" s="1"/>
  <c r="L197" i="2"/>
  <c r="C197" i="2" s="1"/>
  <c r="E198" i="2" s="1"/>
  <c r="T198" i="2" s="1"/>
  <c r="R197" i="2" l="1"/>
  <c r="Y197" i="2"/>
  <c r="K197" i="2"/>
  <c r="B197" i="2" s="1"/>
  <c r="D198" i="2" s="1"/>
  <c r="H198" i="2" s="1"/>
  <c r="N197" i="2"/>
  <c r="I198" i="2" l="1"/>
  <c r="Z198" i="2" s="1"/>
  <c r="V198" i="2"/>
  <c r="S198" i="2" l="1"/>
  <c r="J198" i="2"/>
  <c r="F198" i="2"/>
  <c r="G198" i="2" s="1"/>
  <c r="L198" i="2"/>
  <c r="C198" i="2" s="1"/>
  <c r="E199" i="2" s="1"/>
  <c r="T199" i="2" s="1"/>
  <c r="R198" i="2" l="1"/>
  <c r="Y198" i="2"/>
  <c r="K198" i="2"/>
  <c r="B198" i="2" s="1"/>
  <c r="D199" i="2" s="1"/>
  <c r="H199" i="2" s="1"/>
  <c r="N198" i="2"/>
  <c r="I199" i="2" l="1"/>
  <c r="Z199" i="2" s="1"/>
  <c r="V199" i="2"/>
  <c r="S199" i="2" l="1"/>
  <c r="J199" i="2"/>
  <c r="F199" i="2"/>
  <c r="G199" i="2" s="1"/>
  <c r="L199" i="2"/>
  <c r="C199" i="2" s="1"/>
  <c r="E200" i="2" s="1"/>
  <c r="T200" i="2" s="1"/>
  <c r="R199" i="2" l="1"/>
  <c r="Y199" i="2"/>
  <c r="K199" i="2"/>
  <c r="B199" i="2" s="1"/>
  <c r="D200" i="2" s="1"/>
  <c r="H200" i="2" s="1"/>
  <c r="N199" i="2"/>
  <c r="I200" i="2" l="1"/>
  <c r="Z200" i="2" s="1"/>
  <c r="V200" i="2"/>
  <c r="J200" i="2" l="1"/>
  <c r="S200" i="2"/>
  <c r="F200" i="2"/>
  <c r="G200" i="2" s="1"/>
  <c r="L200" i="2"/>
  <c r="C200" i="2" s="1"/>
  <c r="E201" i="2" s="1"/>
  <c r="T201" i="2" s="1"/>
  <c r="R200" i="2" l="1"/>
  <c r="Y200" i="2"/>
  <c r="K200" i="2"/>
  <c r="B200" i="2" s="1"/>
  <c r="D201" i="2" s="1"/>
  <c r="H201" i="2" s="1"/>
  <c r="N200" i="2"/>
  <c r="I201" i="2" l="1"/>
  <c r="Z201" i="2" s="1"/>
  <c r="V201" i="2"/>
  <c r="S201" i="2" l="1"/>
  <c r="J201" i="2"/>
  <c r="F201" i="2"/>
  <c r="G201" i="2" s="1"/>
  <c r="L201" i="2"/>
  <c r="C201" i="2" s="1"/>
  <c r="E202" i="2" s="1"/>
  <c r="T202" i="2" s="1"/>
  <c r="R201" i="2" l="1"/>
  <c r="Y201" i="2"/>
  <c r="K201" i="2"/>
  <c r="B201" i="2" s="1"/>
  <c r="D202" i="2" s="1"/>
  <c r="H202" i="2" s="1"/>
  <c r="N201" i="2"/>
  <c r="I202" i="2" l="1"/>
  <c r="Z202" i="2" s="1"/>
  <c r="V202" i="2"/>
  <c r="S202" i="2" l="1"/>
  <c r="F202" i="2"/>
  <c r="G202" i="2" s="1"/>
  <c r="L202" i="2"/>
  <c r="C202" i="2" s="1"/>
  <c r="E203" i="2" s="1"/>
  <c r="T203" i="2" s="1"/>
  <c r="J202" i="2"/>
  <c r="R202" i="2" l="1"/>
  <c r="Y202" i="2"/>
  <c r="K202" i="2"/>
  <c r="B202" i="2" s="1"/>
  <c r="D203" i="2" s="1"/>
  <c r="H203" i="2" s="1"/>
  <c r="N202" i="2"/>
  <c r="I203" i="2" l="1"/>
  <c r="Z203" i="2" s="1"/>
  <c r="V203" i="2"/>
  <c r="S203" i="2" l="1"/>
  <c r="J203" i="2"/>
  <c r="F203" i="2"/>
  <c r="G203" i="2" s="1"/>
  <c r="L203" i="2"/>
  <c r="C203" i="2" s="1"/>
  <c r="E204" i="2" s="1"/>
  <c r="T204" i="2" s="1"/>
  <c r="R203" i="2" l="1"/>
  <c r="Y203" i="2"/>
  <c r="K203" i="2"/>
  <c r="B203" i="2" s="1"/>
  <c r="D204" i="2" s="1"/>
  <c r="H204" i="2" s="1"/>
  <c r="N203" i="2"/>
  <c r="I204" i="2" l="1"/>
  <c r="Z204" i="2" s="1"/>
  <c r="V204" i="2"/>
  <c r="S204" i="2" l="1"/>
  <c r="F204" i="2"/>
  <c r="G204" i="2" s="1"/>
  <c r="L204" i="2"/>
  <c r="C204" i="2" s="1"/>
  <c r="E205" i="2" s="1"/>
  <c r="T205" i="2" s="1"/>
  <c r="J204" i="2"/>
  <c r="R204" i="2" l="1"/>
  <c r="Y204" i="2"/>
  <c r="K204" i="2"/>
  <c r="B204" i="2" s="1"/>
  <c r="D205" i="2" s="1"/>
  <c r="H205" i="2" s="1"/>
  <c r="N204" i="2"/>
  <c r="I205" i="2" l="1"/>
  <c r="Z205" i="2" s="1"/>
  <c r="V205" i="2"/>
  <c r="J205" i="2" l="1"/>
  <c r="L205" i="2"/>
  <c r="C205" i="2" s="1"/>
  <c r="E206" i="2" s="1"/>
  <c r="T206" i="2" s="1"/>
  <c r="S205" i="2"/>
  <c r="F205" i="2"/>
  <c r="G205" i="2" s="1"/>
  <c r="R205" i="2" l="1"/>
  <c r="Y205" i="2"/>
  <c r="K205" i="2"/>
  <c r="B205" i="2" s="1"/>
  <c r="D206" i="2" s="1"/>
  <c r="H206" i="2" s="1"/>
  <c r="N205" i="2"/>
  <c r="I206" i="2" l="1"/>
  <c r="Z206" i="2" s="1"/>
  <c r="V206" i="2"/>
  <c r="L206" i="2" l="1"/>
  <c r="C206" i="2" s="1"/>
  <c r="E207" i="2" s="1"/>
  <c r="T207" i="2" s="1"/>
  <c r="S206" i="2"/>
  <c r="J206" i="2"/>
  <c r="F206" i="2"/>
  <c r="G206" i="2" s="1"/>
  <c r="R206" i="2" l="1"/>
  <c r="Y206" i="2"/>
  <c r="K206" i="2"/>
  <c r="B206" i="2" s="1"/>
  <c r="D207" i="2" s="1"/>
  <c r="H207" i="2" s="1"/>
  <c r="N206" i="2"/>
  <c r="I207" i="2" l="1"/>
  <c r="Z207" i="2" s="1"/>
  <c r="V207" i="2"/>
  <c r="S207" i="2" l="1"/>
  <c r="J207" i="2"/>
  <c r="F207" i="2"/>
  <c r="G207" i="2" s="1"/>
  <c r="L207" i="2"/>
  <c r="C207" i="2" s="1"/>
  <c r="E208" i="2" s="1"/>
  <c r="T208" i="2" s="1"/>
  <c r="R207" i="2" l="1"/>
  <c r="Y207" i="2"/>
  <c r="K207" i="2"/>
  <c r="B207" i="2" s="1"/>
  <c r="D208" i="2" s="1"/>
  <c r="H208" i="2" s="1"/>
  <c r="N207" i="2"/>
  <c r="I208" i="2" l="1"/>
  <c r="Z208" i="2" s="1"/>
  <c r="V208" i="2"/>
  <c r="J208" i="2" l="1"/>
  <c r="S208" i="2"/>
  <c r="L208" i="2"/>
  <c r="C208" i="2" s="1"/>
  <c r="E209" i="2" s="1"/>
  <c r="T209" i="2" s="1"/>
  <c r="F208" i="2"/>
  <c r="G208" i="2" s="1"/>
  <c r="R208" i="2" l="1"/>
  <c r="Y208" i="2"/>
  <c r="K208" i="2"/>
  <c r="B208" i="2" s="1"/>
  <c r="D209" i="2" s="1"/>
  <c r="H209" i="2" s="1"/>
  <c r="N208" i="2"/>
  <c r="I209" i="2" l="1"/>
  <c r="Z209" i="2" s="1"/>
  <c r="V209" i="2"/>
  <c r="S209" i="2" l="1"/>
  <c r="J209" i="2"/>
  <c r="F209" i="2"/>
  <c r="G209" i="2" s="1"/>
  <c r="L209" i="2"/>
  <c r="C209" i="2" s="1"/>
  <c r="E210" i="2" s="1"/>
  <c r="T210" i="2" s="1"/>
  <c r="R209" i="2" l="1"/>
  <c r="Y209" i="2"/>
  <c r="K209" i="2"/>
  <c r="B209" i="2" s="1"/>
  <c r="D210" i="2" s="1"/>
  <c r="H210" i="2" s="1"/>
  <c r="N209" i="2"/>
  <c r="I210" i="2" l="1"/>
  <c r="Z210" i="2" s="1"/>
  <c r="V210" i="2"/>
  <c r="S210" i="2" l="1"/>
  <c r="J210" i="2"/>
  <c r="F210" i="2"/>
  <c r="G210" i="2" s="1"/>
  <c r="L210" i="2"/>
  <c r="C210" i="2" s="1"/>
  <c r="E211" i="2" s="1"/>
  <c r="T211" i="2" s="1"/>
  <c r="R210" i="2" l="1"/>
  <c r="Y210" i="2"/>
  <c r="K210" i="2"/>
  <c r="B210" i="2" s="1"/>
  <c r="D211" i="2" s="1"/>
  <c r="H211" i="2" s="1"/>
  <c r="N210" i="2"/>
  <c r="I211" i="2" l="1"/>
  <c r="Z211" i="2" s="1"/>
  <c r="V211" i="2"/>
  <c r="S211" i="2" l="1"/>
  <c r="J211" i="2"/>
  <c r="L211" i="2"/>
  <c r="C211" i="2" s="1"/>
  <c r="E212" i="2" s="1"/>
  <c r="T212" i="2" s="1"/>
  <c r="F211" i="2"/>
  <c r="G211" i="2" s="1"/>
  <c r="R211" i="2" l="1"/>
  <c r="Y211" i="2"/>
  <c r="K211" i="2"/>
  <c r="B211" i="2" s="1"/>
  <c r="D212" i="2" s="1"/>
  <c r="H212" i="2" s="1"/>
  <c r="N211" i="2"/>
  <c r="I212" i="2" l="1"/>
  <c r="Z212" i="2" s="1"/>
  <c r="V212" i="2"/>
  <c r="S212" i="2" l="1"/>
  <c r="J212" i="2"/>
  <c r="L212" i="2"/>
  <c r="C212" i="2" s="1"/>
  <c r="E213" i="2" s="1"/>
  <c r="T213" i="2" s="1"/>
  <c r="F212" i="2"/>
  <c r="G212" i="2" s="1"/>
  <c r="R212" i="2" l="1"/>
  <c r="Y212" i="2"/>
  <c r="K212" i="2"/>
  <c r="B212" i="2" s="1"/>
  <c r="D213" i="2" s="1"/>
  <c r="H213" i="2" s="1"/>
  <c r="N212" i="2"/>
  <c r="I213" i="2" l="1"/>
  <c r="Z213" i="2" s="1"/>
  <c r="V213" i="2"/>
  <c r="S213" i="2" l="1"/>
  <c r="J213" i="2"/>
  <c r="F213" i="2"/>
  <c r="G213" i="2" s="1"/>
  <c r="L213" i="2"/>
  <c r="C213" i="2" s="1"/>
  <c r="E214" i="2" s="1"/>
  <c r="T214" i="2" s="1"/>
  <c r="R213" i="2" l="1"/>
  <c r="Y213" i="2"/>
  <c r="N213" i="2"/>
  <c r="K213" i="2"/>
  <c r="B213" i="2" s="1"/>
  <c r="D214" i="2" s="1"/>
  <c r="H214" i="2" s="1"/>
  <c r="I214" i="2" l="1"/>
  <c r="Z214" i="2" s="1"/>
  <c r="V214" i="2"/>
  <c r="J214" i="2" l="1"/>
  <c r="S214" i="2"/>
  <c r="L214" i="2"/>
  <c r="C214" i="2" s="1"/>
  <c r="E215" i="2" s="1"/>
  <c r="T215" i="2" s="1"/>
  <c r="F214" i="2"/>
  <c r="G214" i="2" s="1"/>
  <c r="R214" i="2" l="1"/>
  <c r="Y214" i="2"/>
  <c r="K214" i="2"/>
  <c r="B214" i="2" s="1"/>
  <c r="D215" i="2" s="1"/>
  <c r="H215" i="2" s="1"/>
  <c r="N214" i="2"/>
  <c r="I215" i="2" l="1"/>
  <c r="Z215" i="2" s="1"/>
  <c r="V215" i="2"/>
  <c r="F215" i="2" l="1"/>
  <c r="G215" i="2" s="1"/>
  <c r="L215" i="2"/>
  <c r="C215" i="2" s="1"/>
  <c r="E216" i="2" s="1"/>
  <c r="T216" i="2" s="1"/>
  <c r="S215" i="2"/>
  <c r="J215" i="2"/>
  <c r="R215" i="2" l="1"/>
  <c r="Y215" i="2"/>
  <c r="K215" i="2"/>
  <c r="B215" i="2" s="1"/>
  <c r="D216" i="2" s="1"/>
  <c r="H216" i="2" s="1"/>
  <c r="N215" i="2"/>
  <c r="I216" i="2" l="1"/>
  <c r="Z216" i="2" s="1"/>
  <c r="V216" i="2"/>
  <c r="S216" i="2" l="1"/>
  <c r="J216" i="2"/>
  <c r="L216" i="2"/>
  <c r="C216" i="2" s="1"/>
  <c r="E217" i="2" s="1"/>
  <c r="T217" i="2" s="1"/>
  <c r="F216" i="2"/>
  <c r="G216" i="2" s="1"/>
  <c r="R216" i="2" l="1"/>
  <c r="Y216" i="2"/>
  <c r="K216" i="2"/>
  <c r="B216" i="2" s="1"/>
  <c r="D217" i="2" s="1"/>
  <c r="H217" i="2" s="1"/>
  <c r="N216" i="2"/>
  <c r="I217" i="2" l="1"/>
  <c r="Z217" i="2" s="1"/>
  <c r="V217" i="2"/>
  <c r="S217" i="2" l="1"/>
  <c r="J217" i="2"/>
  <c r="L217" i="2"/>
  <c r="C217" i="2" s="1"/>
  <c r="E218" i="2" s="1"/>
  <c r="T218" i="2" s="1"/>
  <c r="F217" i="2"/>
  <c r="G217" i="2" s="1"/>
  <c r="R217" i="2" l="1"/>
  <c r="Y217" i="2"/>
  <c r="K217" i="2"/>
  <c r="B217" i="2" s="1"/>
  <c r="D218" i="2" s="1"/>
  <c r="H218" i="2" s="1"/>
  <c r="N217" i="2"/>
  <c r="I218" i="2" l="1"/>
  <c r="Z218" i="2" s="1"/>
  <c r="V218" i="2"/>
  <c r="S218" i="2" l="1"/>
  <c r="J218" i="2"/>
  <c r="F218" i="2"/>
  <c r="G218" i="2" s="1"/>
  <c r="L218" i="2"/>
  <c r="C218" i="2" s="1"/>
  <c r="E219" i="2" s="1"/>
  <c r="T219" i="2" s="1"/>
  <c r="R218" i="2" l="1"/>
  <c r="Y218" i="2"/>
  <c r="K218" i="2"/>
  <c r="B218" i="2" s="1"/>
  <c r="D219" i="2" s="1"/>
  <c r="H219" i="2" s="1"/>
  <c r="N218" i="2"/>
  <c r="I219" i="2" l="1"/>
  <c r="Z219" i="2" s="1"/>
  <c r="V219" i="2"/>
  <c r="S219" i="2" l="1"/>
  <c r="J219" i="2"/>
  <c r="L219" i="2"/>
  <c r="C219" i="2" s="1"/>
  <c r="E220" i="2" s="1"/>
  <c r="T220" i="2" s="1"/>
  <c r="F219" i="2"/>
  <c r="G219" i="2" s="1"/>
  <c r="R219" i="2" l="1"/>
  <c r="Y219" i="2"/>
  <c r="K219" i="2"/>
  <c r="B219" i="2" s="1"/>
  <c r="D220" i="2" s="1"/>
  <c r="H220" i="2" s="1"/>
  <c r="N219" i="2"/>
  <c r="I220" i="2" l="1"/>
  <c r="Z220" i="2" s="1"/>
  <c r="V220" i="2"/>
  <c r="S220" i="2" l="1"/>
  <c r="J220" i="2"/>
  <c r="L220" i="2"/>
  <c r="C220" i="2" s="1"/>
  <c r="E221" i="2" s="1"/>
  <c r="T221" i="2" s="1"/>
  <c r="F220" i="2"/>
  <c r="G220" i="2" s="1"/>
  <c r="R220" i="2" l="1"/>
  <c r="Y220" i="2"/>
  <c r="K220" i="2"/>
  <c r="B220" i="2" s="1"/>
  <c r="D221" i="2" s="1"/>
  <c r="H221" i="2" s="1"/>
  <c r="N220" i="2"/>
  <c r="I221" i="2" l="1"/>
  <c r="Z221" i="2" s="1"/>
  <c r="V221" i="2"/>
  <c r="S221" i="2" l="1"/>
  <c r="J221" i="2"/>
  <c r="F221" i="2"/>
  <c r="G221" i="2" s="1"/>
  <c r="L221" i="2"/>
  <c r="C221" i="2" s="1"/>
  <c r="E222" i="2" s="1"/>
  <c r="T222" i="2" s="1"/>
  <c r="R221" i="2" l="1"/>
  <c r="Y221" i="2"/>
  <c r="K221" i="2"/>
  <c r="B221" i="2" s="1"/>
  <c r="D222" i="2" s="1"/>
  <c r="H222" i="2" s="1"/>
  <c r="N221" i="2"/>
  <c r="I222" i="2" l="1"/>
  <c r="Z222" i="2" s="1"/>
  <c r="V222" i="2"/>
  <c r="J222" i="2" l="1"/>
  <c r="F222" i="2"/>
  <c r="G222" i="2" s="1"/>
  <c r="S222" i="2"/>
  <c r="L222" i="2"/>
  <c r="C222" i="2" s="1"/>
  <c r="E223" i="2" s="1"/>
  <c r="T223" i="2" s="1"/>
  <c r="R222" i="2" l="1"/>
  <c r="Y222" i="2"/>
  <c r="K222" i="2"/>
  <c r="B222" i="2" s="1"/>
  <c r="D223" i="2" s="1"/>
  <c r="H223" i="2" s="1"/>
  <c r="N222" i="2"/>
  <c r="I223" i="2" l="1"/>
  <c r="Z223" i="2" s="1"/>
  <c r="V223" i="2"/>
  <c r="S223" i="2" l="1"/>
  <c r="J223" i="2"/>
  <c r="F223" i="2"/>
  <c r="G223" i="2" s="1"/>
  <c r="L223" i="2"/>
  <c r="C223" i="2" s="1"/>
  <c r="E224" i="2" s="1"/>
  <c r="T224" i="2" s="1"/>
  <c r="R223" i="2" l="1"/>
  <c r="Y223" i="2"/>
  <c r="K223" i="2"/>
  <c r="B223" i="2" s="1"/>
  <c r="D224" i="2" s="1"/>
  <c r="H224" i="2" s="1"/>
  <c r="N223" i="2"/>
  <c r="I224" i="2" l="1"/>
  <c r="Z224" i="2" s="1"/>
  <c r="V224" i="2"/>
  <c r="J224" i="2" l="1"/>
  <c r="V324" i="2"/>
  <c r="V310" i="2"/>
  <c r="V284" i="2"/>
  <c r="V292" i="2"/>
  <c r="V300" i="2"/>
  <c r="V276" i="2"/>
  <c r="V259" i="2"/>
  <c r="V267" i="2"/>
  <c r="V249" i="2"/>
  <c r="V257" i="2"/>
  <c r="V232" i="2"/>
  <c r="V240" i="2"/>
  <c r="V311" i="2"/>
  <c r="V301" i="2"/>
  <c r="V277" i="2"/>
  <c r="V268" i="2"/>
  <c r="V250" i="2"/>
  <c r="V258" i="2"/>
  <c r="V233" i="2"/>
  <c r="V241" i="2"/>
  <c r="V319" i="2"/>
  <c r="V313" i="2"/>
  <c r="V287" i="2"/>
  <c r="V295" i="2"/>
  <c r="V303" i="2"/>
  <c r="V279" i="2"/>
  <c r="V262" i="2"/>
  <c r="V270" i="2"/>
  <c r="V252" i="2"/>
  <c r="V227" i="2"/>
  <c r="V235" i="2"/>
  <c r="V325" i="2"/>
  <c r="V285" i="2"/>
  <c r="V293" i="2"/>
  <c r="V260" i="2"/>
  <c r="V305" i="2"/>
  <c r="V318" i="2"/>
  <c r="V326" i="2"/>
  <c r="V312" i="2"/>
  <c r="V286" i="2"/>
  <c r="V294" i="2"/>
  <c r="V302" i="2"/>
  <c r="V278" i="2"/>
  <c r="V261" i="2"/>
  <c r="V269" i="2"/>
  <c r="V251" i="2"/>
  <c r="V226" i="2"/>
  <c r="V234" i="2"/>
  <c r="V242" i="2"/>
  <c r="V323" i="2"/>
  <c r="V309" i="2"/>
  <c r="V317" i="2"/>
  <c r="V291" i="2"/>
  <c r="V299" i="2"/>
  <c r="V275" i="2"/>
  <c r="V283" i="2"/>
  <c r="V266" i="2"/>
  <c r="V248" i="2"/>
  <c r="V256" i="2"/>
  <c r="V231" i="2"/>
  <c r="V239" i="2"/>
  <c r="V225" i="2"/>
  <c r="V315" i="2"/>
  <c r="V304" i="2"/>
  <c r="V265" i="2"/>
  <c r="V229" i="2"/>
  <c r="V246" i="2"/>
  <c r="V322" i="2"/>
  <c r="V281" i="2"/>
  <c r="V238" i="2"/>
  <c r="V296" i="2"/>
  <c r="V308" i="2"/>
  <c r="V244" i="2"/>
  <c r="V320" i="2"/>
  <c r="V316" i="2"/>
  <c r="V273" i="2"/>
  <c r="V271" i="2"/>
  <c r="V230" i="2"/>
  <c r="V289" i="2"/>
  <c r="V253" i="2"/>
  <c r="V282" i="2"/>
  <c r="V297" i="2"/>
  <c r="V321" i="2"/>
  <c r="V288" i="2"/>
  <c r="V274" i="2"/>
  <c r="V272" i="2"/>
  <c r="V236" i="2"/>
  <c r="V280" i="2"/>
  <c r="V247" i="2"/>
  <c r="V237" i="2"/>
  <c r="V290" i="2"/>
  <c r="V307" i="2"/>
  <c r="V255" i="2"/>
  <c r="V314" i="2"/>
  <c r="V298" i="2"/>
  <c r="V264" i="2"/>
  <c r="V228" i="2"/>
  <c r="V245" i="2"/>
  <c r="V306" i="2"/>
  <c r="V254" i="2"/>
  <c r="V243" i="2"/>
  <c r="V263" i="2"/>
  <c r="S224" i="2"/>
  <c r="F224" i="2"/>
  <c r="G224" i="2" s="1"/>
  <c r="L224" i="2"/>
  <c r="C224" i="2" s="1"/>
  <c r="E225" i="2" s="1"/>
  <c r="T225" i="2" s="1"/>
  <c r="R224" i="2" l="1"/>
  <c r="Y224" i="2"/>
  <c r="K224" i="2"/>
  <c r="B224" i="2" s="1"/>
  <c r="D225" i="2" s="1"/>
  <c r="H225" i="2" s="1"/>
  <c r="I225" i="2" s="1"/>
  <c r="Z225" i="2" s="1"/>
  <c r="N224" i="2"/>
  <c r="S225" i="2" l="1"/>
  <c r="J225" i="2"/>
  <c r="F225" i="2"/>
  <c r="G225" i="2" s="1"/>
  <c r="L225" i="2"/>
  <c r="C225" i="2" s="1"/>
  <c r="E226" i="2" s="1"/>
  <c r="T226" i="2" s="1"/>
  <c r="R225" i="2" l="1"/>
  <c r="Y225" i="2"/>
  <c r="K225" i="2"/>
  <c r="B225" i="2" s="1"/>
  <c r="D226" i="2" s="1"/>
  <c r="H226" i="2" s="1"/>
  <c r="I226" i="2" s="1"/>
  <c r="Z226" i="2" s="1"/>
  <c r="N225" i="2"/>
  <c r="S226" i="2" l="1"/>
  <c r="J226" i="2"/>
  <c r="F226" i="2"/>
  <c r="G226" i="2" s="1"/>
  <c r="L226" i="2"/>
  <c r="C226" i="2" s="1"/>
  <c r="E227" i="2" s="1"/>
  <c r="R226" i="2" l="1"/>
  <c r="Y226" i="2"/>
  <c r="T227" i="2"/>
  <c r="K226" i="2"/>
  <c r="B226" i="2" s="1"/>
  <c r="D227" i="2" s="1"/>
  <c r="H227" i="2" s="1"/>
  <c r="I227" i="2" s="1"/>
  <c r="Z227" i="2" s="1"/>
  <c r="N226" i="2"/>
  <c r="S227" i="2" l="1"/>
  <c r="J227" i="2"/>
  <c r="F227" i="2"/>
  <c r="G227" i="2" s="1"/>
  <c r="L227" i="2"/>
  <c r="C227" i="2" s="1"/>
  <c r="E228" i="2" s="1"/>
  <c r="T228" i="2" s="1"/>
  <c r="R227" i="2" l="1"/>
  <c r="Y227" i="2"/>
  <c r="K227" i="2"/>
  <c r="B227" i="2" s="1"/>
  <c r="D228" i="2" s="1"/>
  <c r="H228" i="2" s="1"/>
  <c r="I228" i="2" s="1"/>
  <c r="Z228" i="2" s="1"/>
  <c r="N227" i="2"/>
  <c r="S228" i="2" l="1"/>
  <c r="J228" i="2"/>
  <c r="L228" i="2"/>
  <c r="C228" i="2" s="1"/>
  <c r="E229" i="2" s="1"/>
  <c r="T229" i="2" s="1"/>
  <c r="F228" i="2"/>
  <c r="G228" i="2" s="1"/>
  <c r="R228" i="2" l="1"/>
  <c r="Y228" i="2"/>
  <c r="N228" i="2"/>
  <c r="K228" i="2"/>
  <c r="B228" i="2" s="1"/>
  <c r="D229" i="2" s="1"/>
  <c r="H229" i="2" s="1"/>
  <c r="I229" i="2" s="1"/>
  <c r="Z229" i="2" s="1"/>
  <c r="S229" i="2" l="1"/>
  <c r="J229" i="2"/>
  <c r="F229" i="2"/>
  <c r="G229" i="2" s="1"/>
  <c r="L229" i="2"/>
  <c r="C229" i="2" s="1"/>
  <c r="E230" i="2" s="1"/>
  <c r="T230" i="2" s="1"/>
  <c r="R229" i="2" l="1"/>
  <c r="Y229" i="2"/>
  <c r="K229" i="2"/>
  <c r="B229" i="2" s="1"/>
  <c r="D230" i="2" s="1"/>
  <c r="H230" i="2" s="1"/>
  <c r="I230" i="2" s="1"/>
  <c r="Z230" i="2" s="1"/>
  <c r="N229" i="2"/>
  <c r="S230" i="2" l="1"/>
  <c r="J230" i="2"/>
  <c r="F230" i="2"/>
  <c r="G230" i="2" s="1"/>
  <c r="L230" i="2"/>
  <c r="C230" i="2" s="1"/>
  <c r="E231" i="2" s="1"/>
  <c r="T231" i="2" s="1"/>
  <c r="H15" i="1"/>
  <c r="I15" i="1" s="1"/>
  <c r="O15" i="1" s="1"/>
  <c r="R230" i="2" l="1"/>
  <c r="Y230" i="2"/>
  <c r="K230" i="2"/>
  <c r="B230" i="2" s="1"/>
  <c r="D231" i="2" s="1"/>
  <c r="H231" i="2" s="1"/>
  <c r="I231" i="2" s="1"/>
  <c r="Z231" i="2" s="1"/>
  <c r="N230" i="2"/>
  <c r="F15" i="1"/>
  <c r="G15" i="1" s="1"/>
  <c r="M15" i="1" s="1"/>
  <c r="J15" i="1"/>
  <c r="J231" i="2" l="1"/>
  <c r="F231" i="2"/>
  <c r="G231" i="2" s="1"/>
  <c r="L231" i="2"/>
  <c r="C231" i="2" s="1"/>
  <c r="E232" i="2" s="1"/>
  <c r="T232" i="2" s="1"/>
  <c r="S231" i="2"/>
  <c r="B15" i="1"/>
  <c r="D16" i="1" s="1"/>
  <c r="H16" i="1" s="1"/>
  <c r="I16" i="1" s="1"/>
  <c r="C15" i="1"/>
  <c r="R231" i="2" l="1"/>
  <c r="Y231" i="2"/>
  <c r="K231" i="2"/>
  <c r="B231" i="2" s="1"/>
  <c r="D232" i="2" s="1"/>
  <c r="H232" i="2" s="1"/>
  <c r="I232" i="2" s="1"/>
  <c r="Z232" i="2" s="1"/>
  <c r="N231" i="2"/>
  <c r="J16" i="1"/>
  <c r="O16" i="1"/>
  <c r="F16" i="1"/>
  <c r="G16" i="1" s="1"/>
  <c r="M16" i="1" s="1"/>
  <c r="S232" i="2" l="1"/>
  <c r="J232" i="2"/>
  <c r="L232" i="2"/>
  <c r="C232" i="2" s="1"/>
  <c r="E233" i="2" s="1"/>
  <c r="T233" i="2" s="1"/>
  <c r="F232" i="2"/>
  <c r="G232" i="2" s="1"/>
  <c r="B16" i="1"/>
  <c r="D17" i="1" s="1"/>
  <c r="H17" i="1" s="1"/>
  <c r="I17" i="1" s="1"/>
  <c r="C16" i="1"/>
  <c r="R232" i="2" l="1"/>
  <c r="Y232" i="2"/>
  <c r="K232" i="2"/>
  <c r="B232" i="2" s="1"/>
  <c r="D233" i="2" s="1"/>
  <c r="H233" i="2" s="1"/>
  <c r="I233" i="2" s="1"/>
  <c r="Z233" i="2" s="1"/>
  <c r="N232" i="2"/>
  <c r="O17" i="1"/>
  <c r="F17" i="1"/>
  <c r="G17" i="1" s="1"/>
  <c r="M17" i="1" s="1"/>
  <c r="J17" i="1"/>
  <c r="S233" i="2" l="1"/>
  <c r="J233" i="2"/>
  <c r="F233" i="2"/>
  <c r="G233" i="2" s="1"/>
  <c r="L233" i="2"/>
  <c r="C233" i="2" s="1"/>
  <c r="E234" i="2" s="1"/>
  <c r="T234" i="2" s="1"/>
  <c r="B17" i="1"/>
  <c r="D18" i="1" s="1"/>
  <c r="H18" i="1" s="1"/>
  <c r="I18" i="1" s="1"/>
  <c r="C17" i="1"/>
  <c r="R233" i="2" l="1"/>
  <c r="Y233" i="2"/>
  <c r="K233" i="2"/>
  <c r="B233" i="2" s="1"/>
  <c r="D234" i="2" s="1"/>
  <c r="H234" i="2" s="1"/>
  <c r="I234" i="2" s="1"/>
  <c r="Z234" i="2" s="1"/>
  <c r="N233" i="2"/>
  <c r="O18" i="1"/>
  <c r="J18" i="1"/>
  <c r="F18" i="1"/>
  <c r="G18" i="1" s="1"/>
  <c r="M18" i="1" s="1"/>
  <c r="S234" i="2" l="1"/>
  <c r="J234" i="2"/>
  <c r="L234" i="2"/>
  <c r="C234" i="2" s="1"/>
  <c r="E235" i="2" s="1"/>
  <c r="T235" i="2" s="1"/>
  <c r="F234" i="2"/>
  <c r="G234" i="2" s="1"/>
  <c r="B18" i="1"/>
  <c r="D19" i="1" s="1"/>
  <c r="H19" i="1" s="1"/>
  <c r="I19" i="1" s="1"/>
  <c r="C18" i="1"/>
  <c r="R234" i="2" l="1"/>
  <c r="Y234" i="2"/>
  <c r="K234" i="2"/>
  <c r="B234" i="2" s="1"/>
  <c r="D235" i="2" s="1"/>
  <c r="H235" i="2" s="1"/>
  <c r="I235" i="2" s="1"/>
  <c r="Z235" i="2" s="1"/>
  <c r="N234" i="2"/>
  <c r="O19" i="1"/>
  <c r="F19" i="1"/>
  <c r="G19" i="1" s="1"/>
  <c r="M19" i="1" s="1"/>
  <c r="J19" i="1"/>
  <c r="S235" i="2" l="1"/>
  <c r="J235" i="2"/>
  <c r="F235" i="2"/>
  <c r="G235" i="2" s="1"/>
  <c r="L235" i="2"/>
  <c r="C235" i="2" s="1"/>
  <c r="E236" i="2" s="1"/>
  <c r="T236" i="2" s="1"/>
  <c r="B19" i="1"/>
  <c r="D20" i="1" s="1"/>
  <c r="H20" i="1" s="1"/>
  <c r="I20" i="1" s="1"/>
  <c r="C19" i="1"/>
  <c r="R235" i="2" l="1"/>
  <c r="Y235" i="2"/>
  <c r="K235" i="2"/>
  <c r="B235" i="2" s="1"/>
  <c r="D236" i="2" s="1"/>
  <c r="H236" i="2" s="1"/>
  <c r="I236" i="2" s="1"/>
  <c r="Z236" i="2" s="1"/>
  <c r="N235" i="2"/>
  <c r="O20" i="1"/>
  <c r="F20" i="1"/>
  <c r="G20" i="1" s="1"/>
  <c r="M20" i="1" s="1"/>
  <c r="J20" i="1"/>
  <c r="S236" i="2" l="1"/>
  <c r="J236" i="2"/>
  <c r="L236" i="2"/>
  <c r="C236" i="2" s="1"/>
  <c r="E237" i="2" s="1"/>
  <c r="T237" i="2" s="1"/>
  <c r="F236" i="2"/>
  <c r="G236" i="2" s="1"/>
  <c r="B20" i="1"/>
  <c r="D21" i="1" s="1"/>
  <c r="C20" i="1"/>
  <c r="R236" i="2" l="1"/>
  <c r="Y236" i="2"/>
  <c r="K236" i="2"/>
  <c r="B236" i="2" s="1"/>
  <c r="D237" i="2" s="1"/>
  <c r="H237" i="2" s="1"/>
  <c r="I237" i="2" s="1"/>
  <c r="Z237" i="2" s="1"/>
  <c r="N236" i="2"/>
  <c r="H21" i="1"/>
  <c r="I21" i="1" s="1"/>
  <c r="J237" i="2" l="1"/>
  <c r="F237" i="2"/>
  <c r="G237" i="2" s="1"/>
  <c r="S237" i="2"/>
  <c r="L237" i="2"/>
  <c r="C237" i="2" s="1"/>
  <c r="E238" i="2" s="1"/>
  <c r="T238" i="2" s="1"/>
  <c r="O21" i="1"/>
  <c r="F21" i="1"/>
  <c r="G21" i="1" s="1"/>
  <c r="M21" i="1" s="1"/>
  <c r="J21" i="1"/>
  <c r="R237" i="2" l="1"/>
  <c r="Y237" i="2"/>
  <c r="K237" i="2"/>
  <c r="B237" i="2" s="1"/>
  <c r="D238" i="2" s="1"/>
  <c r="H238" i="2" s="1"/>
  <c r="I238" i="2" s="1"/>
  <c r="Z238" i="2" s="1"/>
  <c r="N237" i="2"/>
  <c r="B21" i="1"/>
  <c r="D22" i="1" s="1"/>
  <c r="H22" i="1" s="1"/>
  <c r="I22" i="1" s="1"/>
  <c r="C21" i="1"/>
  <c r="S238" i="2" l="1"/>
  <c r="J238" i="2"/>
  <c r="F238" i="2"/>
  <c r="G238" i="2" s="1"/>
  <c r="L238" i="2"/>
  <c r="C238" i="2" s="1"/>
  <c r="E239" i="2" s="1"/>
  <c r="T239" i="2" s="1"/>
  <c r="O22" i="1"/>
  <c r="J22" i="1"/>
  <c r="F22" i="1"/>
  <c r="G22" i="1" s="1"/>
  <c r="M22" i="1" s="1"/>
  <c r="R238" i="2" l="1"/>
  <c r="Y238" i="2"/>
  <c r="K238" i="2"/>
  <c r="B238" i="2" s="1"/>
  <c r="D239" i="2" s="1"/>
  <c r="H239" i="2" s="1"/>
  <c r="I239" i="2" s="1"/>
  <c r="Z239" i="2" s="1"/>
  <c r="N238" i="2"/>
  <c r="B22" i="1"/>
  <c r="D23" i="1" s="1"/>
  <c r="C22" i="1"/>
  <c r="S239" i="2" l="1"/>
  <c r="J239" i="2"/>
  <c r="L239" i="2"/>
  <c r="C239" i="2" s="1"/>
  <c r="E240" i="2" s="1"/>
  <c r="F239" i="2"/>
  <c r="G239" i="2" s="1"/>
  <c r="H23" i="1"/>
  <c r="I23" i="1" s="1"/>
  <c r="R239" i="2" l="1"/>
  <c r="Y239" i="2"/>
  <c r="K239" i="2"/>
  <c r="B239" i="2" s="1"/>
  <c r="D240" i="2" s="1"/>
  <c r="H240" i="2" s="1"/>
  <c r="I240" i="2" s="1"/>
  <c r="Z240" i="2" s="1"/>
  <c r="N239" i="2"/>
  <c r="O23" i="1"/>
  <c r="J23" i="1"/>
  <c r="F23" i="1"/>
  <c r="G23" i="1" s="1"/>
  <c r="M23" i="1" s="1"/>
  <c r="F240" i="2" l="1"/>
  <c r="G240" i="2" s="1"/>
  <c r="Y240" i="2" s="1"/>
  <c r="L240" i="2"/>
  <c r="C240" i="2" s="1"/>
  <c r="E241" i="2" s="1"/>
  <c r="J240" i="2"/>
  <c r="B23" i="1"/>
  <c r="D24" i="1" s="1"/>
  <c r="H24" i="1" s="1"/>
  <c r="I24" i="1" s="1"/>
  <c r="C23" i="1"/>
  <c r="K240" i="2" l="1"/>
  <c r="B240" i="2" s="1"/>
  <c r="D241" i="2" s="1"/>
  <c r="H241" i="2" s="1"/>
  <c r="I241" i="2" s="1"/>
  <c r="Z241" i="2" s="1"/>
  <c r="N240" i="2"/>
  <c r="J24" i="1"/>
  <c r="O24" i="1"/>
  <c r="F24" i="1"/>
  <c r="G24" i="1" s="1"/>
  <c r="M24" i="1" s="1"/>
  <c r="F241" i="2" l="1"/>
  <c r="G241" i="2" s="1"/>
  <c r="Y241" i="2" s="1"/>
  <c r="J241" i="2"/>
  <c r="L241" i="2"/>
  <c r="C241" i="2" s="1"/>
  <c r="E242" i="2" s="1"/>
  <c r="C24" i="1"/>
  <c r="E25" i="1" s="1"/>
  <c r="N25" i="1" s="1"/>
  <c r="B24" i="1"/>
  <c r="D25" i="1" s="1"/>
  <c r="H25" i="1" s="1"/>
  <c r="I25" i="1" s="1"/>
  <c r="N241" i="2" l="1"/>
  <c r="K241" i="2"/>
  <c r="B241" i="2" s="1"/>
  <c r="D242" i="2" s="1"/>
  <c r="H242" i="2" s="1"/>
  <c r="I242" i="2" s="1"/>
  <c r="Z242" i="2" s="1"/>
  <c r="O25" i="1"/>
  <c r="F25" i="1"/>
  <c r="G25" i="1" s="1"/>
  <c r="M25" i="1" s="1"/>
  <c r="J25" i="1"/>
  <c r="F242" i="2" l="1"/>
  <c r="G242" i="2" s="1"/>
  <c r="Y242" i="2" s="1"/>
  <c r="J242" i="2"/>
  <c r="L242" i="2"/>
  <c r="C242" i="2" s="1"/>
  <c r="E243" i="2" s="1"/>
  <c r="B25" i="1"/>
  <c r="D26" i="1" s="1"/>
  <c r="C25" i="1"/>
  <c r="E26" i="1" s="1"/>
  <c r="N242" i="2" l="1"/>
  <c r="K242" i="2"/>
  <c r="B242" i="2" s="1"/>
  <c r="D243" i="2" s="1"/>
  <c r="H243" i="2" s="1"/>
  <c r="I243" i="2" s="1"/>
  <c r="Z243" i="2" s="1"/>
  <c r="H26" i="1"/>
  <c r="I26" i="1" s="1"/>
  <c r="N26" i="1"/>
  <c r="J243" i="2" l="1"/>
  <c r="L243" i="2"/>
  <c r="C243" i="2" s="1"/>
  <c r="E244" i="2" s="1"/>
  <c r="F243" i="2"/>
  <c r="G243" i="2" s="1"/>
  <c r="Y243" i="2" s="1"/>
  <c r="O26" i="1"/>
  <c r="F26" i="1"/>
  <c r="G26" i="1" s="1"/>
  <c r="M26" i="1" s="1"/>
  <c r="J26" i="1"/>
  <c r="K243" i="2" l="1"/>
  <c r="B243" i="2" s="1"/>
  <c r="D244" i="2" s="1"/>
  <c r="H244" i="2" s="1"/>
  <c r="I244" i="2" s="1"/>
  <c r="Z244" i="2" s="1"/>
  <c r="N243" i="2"/>
  <c r="B26" i="1"/>
  <c r="D27" i="1" s="1"/>
  <c r="C26" i="1"/>
  <c r="E27" i="1" s="1"/>
  <c r="N27" i="1" s="1"/>
  <c r="F244" i="2" l="1"/>
  <c r="G244" i="2" s="1"/>
  <c r="Y244" i="2" s="1"/>
  <c r="L244" i="2"/>
  <c r="C244" i="2" s="1"/>
  <c r="E245" i="2" s="1"/>
  <c r="J244" i="2"/>
  <c r="H27" i="1"/>
  <c r="I27" i="1" s="1"/>
  <c r="N244" i="2" l="1"/>
  <c r="K244" i="2"/>
  <c r="B244" i="2" s="1"/>
  <c r="D245" i="2" s="1"/>
  <c r="H245" i="2" s="1"/>
  <c r="I245" i="2" s="1"/>
  <c r="Z245" i="2" s="1"/>
  <c r="O27" i="1"/>
  <c r="J27" i="1"/>
  <c r="F27" i="1"/>
  <c r="G27" i="1" s="1"/>
  <c r="M27" i="1" s="1"/>
  <c r="J245" i="2" l="1"/>
  <c r="F245" i="2"/>
  <c r="G245" i="2" s="1"/>
  <c r="Y245" i="2" s="1"/>
  <c r="L245" i="2"/>
  <c r="C245" i="2" s="1"/>
  <c r="E246" i="2" s="1"/>
  <c r="B27" i="1"/>
  <c r="D28" i="1" s="1"/>
  <c r="C27" i="1"/>
  <c r="E28" i="1" s="1"/>
  <c r="N28" i="1" s="1"/>
  <c r="N245" i="2" l="1"/>
  <c r="K245" i="2"/>
  <c r="B245" i="2" s="1"/>
  <c r="D246" i="2" s="1"/>
  <c r="H246" i="2" s="1"/>
  <c r="I246" i="2" s="1"/>
  <c r="Z246" i="2" s="1"/>
  <c r="H28" i="1"/>
  <c r="I28" i="1" s="1"/>
  <c r="F246" i="2" l="1"/>
  <c r="G246" i="2" s="1"/>
  <c r="Y246" i="2" s="1"/>
  <c r="L246" i="2"/>
  <c r="C246" i="2" s="1"/>
  <c r="E247" i="2" s="1"/>
  <c r="J246" i="2"/>
  <c r="O28" i="1"/>
  <c r="J28" i="1"/>
  <c r="F28" i="1"/>
  <c r="G28" i="1" s="1"/>
  <c r="M28" i="1" s="1"/>
  <c r="N246" i="2" l="1"/>
  <c r="K246" i="2"/>
  <c r="B246" i="2" s="1"/>
  <c r="D247" i="2" s="1"/>
  <c r="H247" i="2" s="1"/>
  <c r="I247" i="2" s="1"/>
  <c r="Z247" i="2" s="1"/>
  <c r="B28" i="1"/>
  <c r="D29" i="1" s="1"/>
  <c r="C28" i="1"/>
  <c r="E29" i="1" s="1"/>
  <c r="N29" i="1" s="1"/>
  <c r="L247" i="2" l="1"/>
  <c r="C247" i="2" s="1"/>
  <c r="E248" i="2" s="1"/>
  <c r="F247" i="2"/>
  <c r="G247" i="2" s="1"/>
  <c r="Y247" i="2" s="1"/>
  <c r="J247" i="2"/>
  <c r="H29" i="1"/>
  <c r="I29" i="1" s="1"/>
  <c r="K247" i="2" l="1"/>
  <c r="B247" i="2" s="1"/>
  <c r="D248" i="2" s="1"/>
  <c r="H248" i="2" s="1"/>
  <c r="I248" i="2" s="1"/>
  <c r="Z248" i="2" s="1"/>
  <c r="N247" i="2"/>
  <c r="O29" i="1"/>
  <c r="F29" i="1"/>
  <c r="G29" i="1" s="1"/>
  <c r="M29" i="1" s="1"/>
  <c r="J29" i="1"/>
  <c r="J248" i="2" l="1"/>
  <c r="L248" i="2"/>
  <c r="C248" i="2" s="1"/>
  <c r="E249" i="2" s="1"/>
  <c r="F248" i="2"/>
  <c r="G248" i="2" s="1"/>
  <c r="Y248" i="2" s="1"/>
  <c r="C29" i="1"/>
  <c r="E30" i="1" s="1"/>
  <c r="N30" i="1" s="1"/>
  <c r="B29" i="1"/>
  <c r="D30" i="1" s="1"/>
  <c r="H30" i="1" s="1"/>
  <c r="I30" i="1" s="1"/>
  <c r="K248" i="2" l="1"/>
  <c r="B248" i="2" s="1"/>
  <c r="D249" i="2" s="1"/>
  <c r="H249" i="2" s="1"/>
  <c r="I249" i="2" s="1"/>
  <c r="Z249" i="2" s="1"/>
  <c r="N248" i="2"/>
  <c r="O30" i="1"/>
  <c r="F30" i="1"/>
  <c r="G30" i="1" s="1"/>
  <c r="M30" i="1" s="1"/>
  <c r="J30" i="1"/>
  <c r="L249" i="2" l="1"/>
  <c r="C249" i="2" s="1"/>
  <c r="E250" i="2" s="1"/>
  <c r="F249" i="2"/>
  <c r="G249" i="2" s="1"/>
  <c r="Y249" i="2" s="1"/>
  <c r="J249" i="2"/>
  <c r="B30" i="1"/>
  <c r="D31" i="1" s="1"/>
  <c r="C30" i="1"/>
  <c r="E31" i="1" s="1"/>
  <c r="N31" i="1" s="1"/>
  <c r="K249" i="2" l="1"/>
  <c r="B249" i="2" s="1"/>
  <c r="D250" i="2" s="1"/>
  <c r="H250" i="2" s="1"/>
  <c r="I250" i="2" s="1"/>
  <c r="Z250" i="2" s="1"/>
  <c r="N249" i="2"/>
  <c r="H31" i="1"/>
  <c r="I31" i="1" s="1"/>
  <c r="F250" i="2" l="1"/>
  <c r="G250" i="2" s="1"/>
  <c r="Y250" i="2" s="1"/>
  <c r="L250" i="2"/>
  <c r="C250" i="2" s="1"/>
  <c r="E251" i="2" s="1"/>
  <c r="J250" i="2"/>
  <c r="O31" i="1"/>
  <c r="F31" i="1"/>
  <c r="G31" i="1" s="1"/>
  <c r="M31" i="1" s="1"/>
  <c r="J31" i="1"/>
  <c r="N250" i="2" l="1"/>
  <c r="K250" i="2"/>
  <c r="B250" i="2" s="1"/>
  <c r="D251" i="2" s="1"/>
  <c r="H251" i="2" s="1"/>
  <c r="I251" i="2" s="1"/>
  <c r="Z251" i="2" s="1"/>
  <c r="C31" i="1"/>
  <c r="E32" i="1" s="1"/>
  <c r="N32" i="1" s="1"/>
  <c r="B31" i="1"/>
  <c r="D32" i="1" s="1"/>
  <c r="H32" i="1" s="1"/>
  <c r="I32" i="1" s="1"/>
  <c r="J251" i="2" l="1"/>
  <c r="L251" i="2"/>
  <c r="C251" i="2" s="1"/>
  <c r="E252" i="2" s="1"/>
  <c r="F251" i="2"/>
  <c r="G251" i="2" s="1"/>
  <c r="Y251" i="2" s="1"/>
  <c r="O32" i="1"/>
  <c r="F32" i="1"/>
  <c r="G32" i="1" s="1"/>
  <c r="M32" i="1" s="1"/>
  <c r="J32" i="1"/>
  <c r="K251" i="2" l="1"/>
  <c r="B251" i="2" s="1"/>
  <c r="D252" i="2" s="1"/>
  <c r="H252" i="2" s="1"/>
  <c r="I252" i="2" s="1"/>
  <c r="Z252" i="2" s="1"/>
  <c r="N251" i="2"/>
  <c r="B32" i="1"/>
  <c r="D33" i="1" s="1"/>
  <c r="C32" i="1"/>
  <c r="E33" i="1" s="1"/>
  <c r="N33" i="1" s="1"/>
  <c r="F252" i="2" l="1"/>
  <c r="G252" i="2" s="1"/>
  <c r="Y252" i="2" s="1"/>
  <c r="L252" i="2"/>
  <c r="C252" i="2" s="1"/>
  <c r="E253" i="2" s="1"/>
  <c r="J252" i="2"/>
  <c r="H33" i="1"/>
  <c r="I33" i="1" s="1"/>
  <c r="N252" i="2" l="1"/>
  <c r="K252" i="2"/>
  <c r="B252" i="2" s="1"/>
  <c r="D253" i="2" s="1"/>
  <c r="H253" i="2" s="1"/>
  <c r="I253" i="2" s="1"/>
  <c r="Z253" i="2" s="1"/>
  <c r="O33" i="1"/>
  <c r="F33" i="1"/>
  <c r="G33" i="1" s="1"/>
  <c r="M33" i="1" s="1"/>
  <c r="J33" i="1"/>
  <c r="F253" i="2" l="1"/>
  <c r="G253" i="2" s="1"/>
  <c r="Y253" i="2" s="1"/>
  <c r="L253" i="2"/>
  <c r="C253" i="2" s="1"/>
  <c r="E254" i="2" s="1"/>
  <c r="J253" i="2"/>
  <c r="C33" i="1"/>
  <c r="E34" i="1" s="1"/>
  <c r="N34" i="1" s="1"/>
  <c r="B33" i="1"/>
  <c r="D34" i="1" s="1"/>
  <c r="H34" i="1" s="1"/>
  <c r="I34" i="1" s="1"/>
  <c r="N253" i="2" l="1"/>
  <c r="K253" i="2"/>
  <c r="B253" i="2" s="1"/>
  <c r="D254" i="2" s="1"/>
  <c r="H254" i="2" s="1"/>
  <c r="I254" i="2" s="1"/>
  <c r="Z254" i="2" s="1"/>
  <c r="O34" i="1"/>
  <c r="J34" i="1"/>
  <c r="F34" i="1"/>
  <c r="G34" i="1" s="1"/>
  <c r="M34" i="1" s="1"/>
  <c r="L254" i="2" l="1"/>
  <c r="C254" i="2" s="1"/>
  <c r="E255" i="2" s="1"/>
  <c r="J254" i="2"/>
  <c r="F254" i="2"/>
  <c r="G254" i="2" s="1"/>
  <c r="Y254" i="2" s="1"/>
  <c r="B34" i="1"/>
  <c r="D35" i="1" s="1"/>
  <c r="C34" i="1"/>
  <c r="E35" i="1" s="1"/>
  <c r="N35" i="1" s="1"/>
  <c r="N254" i="2" l="1"/>
  <c r="K254" i="2"/>
  <c r="B254" i="2" s="1"/>
  <c r="D255" i="2" s="1"/>
  <c r="H255" i="2" s="1"/>
  <c r="I255" i="2" s="1"/>
  <c r="Z255" i="2" s="1"/>
  <c r="H35" i="1"/>
  <c r="I35" i="1" s="1"/>
  <c r="L255" i="2" l="1"/>
  <c r="C255" i="2" s="1"/>
  <c r="E256" i="2" s="1"/>
  <c r="J255" i="2"/>
  <c r="F255" i="2"/>
  <c r="G255" i="2" s="1"/>
  <c r="Y255" i="2" s="1"/>
  <c r="O35" i="1"/>
  <c r="J35" i="1"/>
  <c r="F35" i="1"/>
  <c r="G35" i="1" s="1"/>
  <c r="M35" i="1" s="1"/>
  <c r="K255" i="2" l="1"/>
  <c r="B255" i="2" s="1"/>
  <c r="D256" i="2" s="1"/>
  <c r="H256" i="2" s="1"/>
  <c r="I256" i="2" s="1"/>
  <c r="Z256" i="2" s="1"/>
  <c r="N255" i="2"/>
  <c r="B35" i="1"/>
  <c r="D36" i="1" s="1"/>
  <c r="C35" i="1"/>
  <c r="E36" i="1" s="1"/>
  <c r="N36" i="1" s="1"/>
  <c r="J256" i="2" l="1"/>
  <c r="F256" i="2"/>
  <c r="G256" i="2" s="1"/>
  <c r="Y256" i="2" s="1"/>
  <c r="L256" i="2"/>
  <c r="C256" i="2" s="1"/>
  <c r="E257" i="2" s="1"/>
  <c r="H36" i="1"/>
  <c r="I36" i="1" s="1"/>
  <c r="K256" i="2" l="1"/>
  <c r="B256" i="2" s="1"/>
  <c r="D257" i="2" s="1"/>
  <c r="H257" i="2" s="1"/>
  <c r="I257" i="2" s="1"/>
  <c r="Z257" i="2" s="1"/>
  <c r="N256" i="2"/>
  <c r="O36" i="1"/>
  <c r="J36" i="1"/>
  <c r="F36" i="1"/>
  <c r="G36" i="1" s="1"/>
  <c r="M36" i="1" s="1"/>
  <c r="F257" i="2" l="1"/>
  <c r="G257" i="2" s="1"/>
  <c r="Y257" i="2" s="1"/>
  <c r="L257" i="2"/>
  <c r="C257" i="2" s="1"/>
  <c r="E258" i="2" s="1"/>
  <c r="J257" i="2"/>
  <c r="B36" i="1"/>
  <c r="D37" i="1" s="1"/>
  <c r="C36" i="1"/>
  <c r="E37" i="1" s="1"/>
  <c r="N37" i="1" s="1"/>
  <c r="N257" i="2" l="1"/>
  <c r="K257" i="2"/>
  <c r="B257" i="2" s="1"/>
  <c r="D258" i="2" s="1"/>
  <c r="H258" i="2" s="1"/>
  <c r="I258" i="2" s="1"/>
  <c r="Z258" i="2" s="1"/>
  <c r="H37" i="1"/>
  <c r="I37" i="1" s="1"/>
  <c r="F258" i="2" l="1"/>
  <c r="G258" i="2" s="1"/>
  <c r="Y258" i="2" s="1"/>
  <c r="L258" i="2"/>
  <c r="C258" i="2" s="1"/>
  <c r="E259" i="2" s="1"/>
  <c r="J258" i="2"/>
  <c r="O37" i="1"/>
  <c r="F37" i="1"/>
  <c r="G37" i="1" s="1"/>
  <c r="M37" i="1" s="1"/>
  <c r="J37" i="1"/>
  <c r="N258" i="2" l="1"/>
  <c r="K258" i="2"/>
  <c r="B258" i="2" s="1"/>
  <c r="D259" i="2" s="1"/>
  <c r="H259" i="2" s="1"/>
  <c r="I259" i="2" s="1"/>
  <c r="Z259" i="2" s="1"/>
  <c r="B37" i="1"/>
  <c r="D38" i="1" s="1"/>
  <c r="C37" i="1"/>
  <c r="E38" i="1" s="1"/>
  <c r="N38" i="1" s="1"/>
  <c r="J259" i="2" l="1"/>
  <c r="L259" i="2"/>
  <c r="C259" i="2" s="1"/>
  <c r="E260" i="2" s="1"/>
  <c r="F259" i="2"/>
  <c r="G259" i="2" s="1"/>
  <c r="Y259" i="2" s="1"/>
  <c r="H38" i="1"/>
  <c r="I38" i="1" s="1"/>
  <c r="K259" i="2" l="1"/>
  <c r="B259" i="2" s="1"/>
  <c r="D260" i="2" s="1"/>
  <c r="H260" i="2" s="1"/>
  <c r="I260" i="2" s="1"/>
  <c r="Z260" i="2" s="1"/>
  <c r="N259" i="2"/>
  <c r="O38" i="1"/>
  <c r="J38" i="1"/>
  <c r="F38" i="1"/>
  <c r="G38" i="1" s="1"/>
  <c r="M38" i="1" s="1"/>
  <c r="F260" i="2" l="1"/>
  <c r="G260" i="2" s="1"/>
  <c r="Y260" i="2" s="1"/>
  <c r="L260" i="2"/>
  <c r="C260" i="2" s="1"/>
  <c r="E261" i="2" s="1"/>
  <c r="J260" i="2"/>
  <c r="B38" i="1"/>
  <c r="D39" i="1" s="1"/>
  <c r="C38" i="1"/>
  <c r="E39" i="1" s="1"/>
  <c r="N39" i="1" s="1"/>
  <c r="N260" i="2" l="1"/>
  <c r="K260" i="2"/>
  <c r="B260" i="2" s="1"/>
  <c r="D261" i="2" s="1"/>
  <c r="H261" i="2" s="1"/>
  <c r="I261" i="2" s="1"/>
  <c r="Z261" i="2" s="1"/>
  <c r="H39" i="1"/>
  <c r="I39" i="1" s="1"/>
  <c r="F261" i="2" l="1"/>
  <c r="G261" i="2" s="1"/>
  <c r="Y261" i="2" s="1"/>
  <c r="L261" i="2"/>
  <c r="C261" i="2" s="1"/>
  <c r="E262" i="2" s="1"/>
  <c r="J261" i="2"/>
  <c r="O39" i="1"/>
  <c r="F39" i="1"/>
  <c r="G39" i="1" s="1"/>
  <c r="M39" i="1" s="1"/>
  <c r="J39" i="1"/>
  <c r="K261" i="2" l="1"/>
  <c r="B261" i="2" s="1"/>
  <c r="D262" i="2" s="1"/>
  <c r="H262" i="2" s="1"/>
  <c r="I262" i="2" s="1"/>
  <c r="Z262" i="2" s="1"/>
  <c r="N261" i="2"/>
  <c r="C39" i="1"/>
  <c r="E40" i="1" s="1"/>
  <c r="N40" i="1" s="1"/>
  <c r="B39" i="1"/>
  <c r="D40" i="1" s="1"/>
  <c r="H40" i="1" s="1"/>
  <c r="I40" i="1" s="1"/>
  <c r="L262" i="2" l="1"/>
  <c r="C262" i="2" s="1"/>
  <c r="E263" i="2" s="1"/>
  <c r="J262" i="2"/>
  <c r="F262" i="2"/>
  <c r="G262" i="2" s="1"/>
  <c r="Y262" i="2" s="1"/>
  <c r="O40" i="1"/>
  <c r="F40" i="1"/>
  <c r="G40" i="1" s="1"/>
  <c r="M40" i="1" s="1"/>
  <c r="J40" i="1"/>
  <c r="K262" i="2" l="1"/>
  <c r="B262" i="2" s="1"/>
  <c r="D263" i="2" s="1"/>
  <c r="H263" i="2" s="1"/>
  <c r="I263" i="2" s="1"/>
  <c r="Z263" i="2" s="1"/>
  <c r="N262" i="2"/>
  <c r="B40" i="1"/>
  <c r="D41" i="1" s="1"/>
  <c r="C40" i="1"/>
  <c r="E41" i="1" s="1"/>
  <c r="N41" i="1" s="1"/>
  <c r="J263" i="2" l="1"/>
  <c r="L263" i="2"/>
  <c r="C263" i="2" s="1"/>
  <c r="E264" i="2" s="1"/>
  <c r="F263" i="2"/>
  <c r="G263" i="2" s="1"/>
  <c r="Y263" i="2" s="1"/>
  <c r="H41" i="1"/>
  <c r="I41" i="1" s="1"/>
  <c r="K263" i="2" l="1"/>
  <c r="B263" i="2" s="1"/>
  <c r="D264" i="2" s="1"/>
  <c r="H264" i="2" s="1"/>
  <c r="I264" i="2" s="1"/>
  <c r="Z264" i="2" s="1"/>
  <c r="N263" i="2"/>
  <c r="O41" i="1"/>
  <c r="J41" i="1"/>
  <c r="F41" i="1"/>
  <c r="G41" i="1" s="1"/>
  <c r="M41" i="1" s="1"/>
  <c r="J264" i="2" l="1"/>
  <c r="F264" i="2"/>
  <c r="G264" i="2" s="1"/>
  <c r="Y264" i="2" s="1"/>
  <c r="L264" i="2"/>
  <c r="C264" i="2" s="1"/>
  <c r="E265" i="2" s="1"/>
  <c r="C41" i="1"/>
  <c r="E42" i="1" s="1"/>
  <c r="N42" i="1" s="1"/>
  <c r="B41" i="1"/>
  <c r="D42" i="1" s="1"/>
  <c r="H42" i="1" s="1"/>
  <c r="I42" i="1" s="1"/>
  <c r="N264" i="2" l="1"/>
  <c r="K264" i="2"/>
  <c r="B264" i="2" s="1"/>
  <c r="D265" i="2" s="1"/>
  <c r="H265" i="2" s="1"/>
  <c r="I265" i="2" s="1"/>
  <c r="Z265" i="2" s="1"/>
  <c r="O42" i="1"/>
  <c r="J42" i="1"/>
  <c r="F42" i="1"/>
  <c r="G42" i="1" s="1"/>
  <c r="M42" i="1" s="1"/>
  <c r="J265" i="2" l="1"/>
  <c r="L265" i="2"/>
  <c r="C265" i="2" s="1"/>
  <c r="E266" i="2" s="1"/>
  <c r="F265" i="2"/>
  <c r="G265" i="2" s="1"/>
  <c r="Y265" i="2" s="1"/>
  <c r="B42" i="1"/>
  <c r="D43" i="1" s="1"/>
  <c r="C42" i="1"/>
  <c r="E43" i="1" s="1"/>
  <c r="N43" i="1" s="1"/>
  <c r="N265" i="2" l="1"/>
  <c r="K265" i="2"/>
  <c r="B265" i="2" s="1"/>
  <c r="D266" i="2" s="1"/>
  <c r="H266" i="2" s="1"/>
  <c r="I266" i="2" s="1"/>
  <c r="Z266" i="2" s="1"/>
  <c r="H43" i="1"/>
  <c r="I43" i="1" s="1"/>
  <c r="F266" i="2" l="1"/>
  <c r="G266" i="2" s="1"/>
  <c r="Y266" i="2" s="1"/>
  <c r="L266" i="2"/>
  <c r="C266" i="2" s="1"/>
  <c r="E267" i="2" s="1"/>
  <c r="J266" i="2"/>
  <c r="O43" i="1"/>
  <c r="J43" i="1"/>
  <c r="F43" i="1"/>
  <c r="G43" i="1" s="1"/>
  <c r="M43" i="1" s="1"/>
  <c r="N266" i="2" l="1"/>
  <c r="K266" i="2"/>
  <c r="B266" i="2" s="1"/>
  <c r="D267" i="2" s="1"/>
  <c r="H267" i="2" s="1"/>
  <c r="I267" i="2" s="1"/>
  <c r="Z267" i="2" s="1"/>
  <c r="B43" i="1"/>
  <c r="D44" i="1" s="1"/>
  <c r="C43" i="1"/>
  <c r="E44" i="1" s="1"/>
  <c r="N44" i="1" s="1"/>
  <c r="J267" i="2" l="1"/>
  <c r="L267" i="2"/>
  <c r="C267" i="2" s="1"/>
  <c r="E268" i="2" s="1"/>
  <c r="F267" i="2"/>
  <c r="G267" i="2" s="1"/>
  <c r="Y267" i="2" s="1"/>
  <c r="H44" i="1"/>
  <c r="I44" i="1" s="1"/>
  <c r="K267" i="2" l="1"/>
  <c r="B267" i="2" s="1"/>
  <c r="D268" i="2" s="1"/>
  <c r="H268" i="2" s="1"/>
  <c r="I268" i="2" s="1"/>
  <c r="Z268" i="2" s="1"/>
  <c r="N267" i="2"/>
  <c r="O44" i="1"/>
  <c r="J44" i="1"/>
  <c r="F44" i="1"/>
  <c r="G44" i="1" s="1"/>
  <c r="M44" i="1" s="1"/>
  <c r="F268" i="2" l="1"/>
  <c r="G268" i="2" s="1"/>
  <c r="Y268" i="2" s="1"/>
  <c r="L268" i="2"/>
  <c r="C268" i="2" s="1"/>
  <c r="E269" i="2" s="1"/>
  <c r="J268" i="2"/>
  <c r="B44" i="1"/>
  <c r="D45" i="1" s="1"/>
  <c r="C44" i="1"/>
  <c r="E45" i="1" s="1"/>
  <c r="N45" i="1" s="1"/>
  <c r="N268" i="2" l="1"/>
  <c r="K268" i="2"/>
  <c r="B268" i="2" s="1"/>
  <c r="D269" i="2" s="1"/>
  <c r="H269" i="2" s="1"/>
  <c r="I269" i="2" s="1"/>
  <c r="Z269" i="2" s="1"/>
  <c r="H45" i="1"/>
  <c r="I45" i="1" s="1"/>
  <c r="L269" i="2" l="1"/>
  <c r="C269" i="2" s="1"/>
  <c r="E270" i="2" s="1"/>
  <c r="F269" i="2"/>
  <c r="G269" i="2" s="1"/>
  <c r="Y269" i="2" s="1"/>
  <c r="J269" i="2"/>
  <c r="O45" i="1"/>
  <c r="F45" i="1"/>
  <c r="G45" i="1" s="1"/>
  <c r="M45" i="1" s="1"/>
  <c r="J45" i="1"/>
  <c r="K269" i="2" l="1"/>
  <c r="B269" i="2" s="1"/>
  <c r="D270" i="2" s="1"/>
  <c r="H270" i="2" s="1"/>
  <c r="I270" i="2" s="1"/>
  <c r="Z270" i="2" s="1"/>
  <c r="N269" i="2"/>
  <c r="C45" i="1"/>
  <c r="E46" i="1" s="1"/>
  <c r="N46" i="1" s="1"/>
  <c r="B45" i="1"/>
  <c r="D46" i="1" s="1"/>
  <c r="H46" i="1" s="1"/>
  <c r="I46" i="1" s="1"/>
  <c r="L270" i="2" l="1"/>
  <c r="C270" i="2" s="1"/>
  <c r="E271" i="2" s="1"/>
  <c r="F270" i="2"/>
  <c r="G270" i="2" s="1"/>
  <c r="Y270" i="2" s="1"/>
  <c r="J270" i="2"/>
  <c r="O46" i="1"/>
  <c r="F46" i="1"/>
  <c r="G46" i="1" s="1"/>
  <c r="M46" i="1" s="1"/>
  <c r="J46" i="1"/>
  <c r="N270" i="2" l="1"/>
  <c r="K270" i="2"/>
  <c r="B270" i="2" s="1"/>
  <c r="D271" i="2" s="1"/>
  <c r="H271" i="2" s="1"/>
  <c r="I271" i="2" s="1"/>
  <c r="Z271" i="2" s="1"/>
  <c r="B46" i="1"/>
  <c r="D47" i="1" s="1"/>
  <c r="C46" i="1"/>
  <c r="E47" i="1" s="1"/>
  <c r="N47" i="1" s="1"/>
  <c r="L271" i="2" l="1"/>
  <c r="C271" i="2" s="1"/>
  <c r="E272" i="2" s="1"/>
  <c r="F271" i="2"/>
  <c r="G271" i="2" s="1"/>
  <c r="Y271" i="2" s="1"/>
  <c r="J271" i="2"/>
  <c r="H47" i="1"/>
  <c r="I47" i="1" s="1"/>
  <c r="N271" i="2" l="1"/>
  <c r="K271" i="2"/>
  <c r="B271" i="2" s="1"/>
  <c r="D272" i="2" s="1"/>
  <c r="H272" i="2" s="1"/>
  <c r="I272" i="2" s="1"/>
  <c r="Z272" i="2" s="1"/>
  <c r="O47" i="1"/>
  <c r="F47" i="1"/>
  <c r="G47" i="1" s="1"/>
  <c r="M47" i="1" s="1"/>
  <c r="J47" i="1"/>
  <c r="J272" i="2" l="1"/>
  <c r="F272" i="2"/>
  <c r="G272" i="2" s="1"/>
  <c r="Y272" i="2" s="1"/>
  <c r="L272" i="2"/>
  <c r="C272" i="2" s="1"/>
  <c r="E273" i="2" s="1"/>
  <c r="C47" i="1"/>
  <c r="E48" i="1" s="1"/>
  <c r="N48" i="1" s="1"/>
  <c r="B47" i="1"/>
  <c r="D48" i="1" s="1"/>
  <c r="H48" i="1" s="1"/>
  <c r="I48" i="1" s="1"/>
  <c r="K272" i="2" l="1"/>
  <c r="B272" i="2" s="1"/>
  <c r="D273" i="2" s="1"/>
  <c r="H273" i="2" s="1"/>
  <c r="I273" i="2" s="1"/>
  <c r="Z273" i="2" s="1"/>
  <c r="N272" i="2"/>
  <c r="O48" i="1"/>
  <c r="F48" i="1"/>
  <c r="G48" i="1" s="1"/>
  <c r="M48" i="1" s="1"/>
  <c r="J48" i="1"/>
  <c r="F273" i="2" l="1"/>
  <c r="G273" i="2" s="1"/>
  <c r="Y273" i="2" s="1"/>
  <c r="L273" i="2"/>
  <c r="C273" i="2" s="1"/>
  <c r="E274" i="2" s="1"/>
  <c r="J273" i="2"/>
  <c r="C48" i="1"/>
  <c r="E49" i="1" s="1"/>
  <c r="N49" i="1" s="1"/>
  <c r="B48" i="1"/>
  <c r="D49" i="1" s="1"/>
  <c r="H49" i="1" s="1"/>
  <c r="I49" i="1" s="1"/>
  <c r="N273" i="2" l="1"/>
  <c r="K273" i="2"/>
  <c r="B273" i="2" s="1"/>
  <c r="D274" i="2" s="1"/>
  <c r="H274" i="2" s="1"/>
  <c r="I274" i="2" s="1"/>
  <c r="Z274" i="2" s="1"/>
  <c r="O49" i="1"/>
  <c r="F49" i="1"/>
  <c r="G49" i="1" s="1"/>
  <c r="M49" i="1" s="1"/>
  <c r="J49" i="1"/>
  <c r="F274" i="2" l="1"/>
  <c r="G274" i="2" s="1"/>
  <c r="Y274" i="2" s="1"/>
  <c r="L274" i="2"/>
  <c r="C274" i="2" s="1"/>
  <c r="E275" i="2" s="1"/>
  <c r="J274" i="2"/>
  <c r="B49" i="1"/>
  <c r="D50" i="1" s="1"/>
  <c r="C49" i="1"/>
  <c r="E50" i="1" s="1"/>
  <c r="N50" i="1" s="1"/>
  <c r="N274" i="2" l="1"/>
  <c r="K274" i="2"/>
  <c r="B274" i="2" s="1"/>
  <c r="D275" i="2" s="1"/>
  <c r="H275" i="2" s="1"/>
  <c r="I275" i="2" s="1"/>
  <c r="Z275" i="2" s="1"/>
  <c r="H50" i="1"/>
  <c r="I50" i="1" s="1"/>
  <c r="F275" i="2" l="1"/>
  <c r="G275" i="2" s="1"/>
  <c r="Y275" i="2" s="1"/>
  <c r="J275" i="2"/>
  <c r="L275" i="2"/>
  <c r="C275" i="2" s="1"/>
  <c r="E276" i="2" s="1"/>
  <c r="O50" i="1"/>
  <c r="J50" i="1"/>
  <c r="F50" i="1"/>
  <c r="G50" i="1" s="1"/>
  <c r="M50" i="1" s="1"/>
  <c r="K275" i="2" l="1"/>
  <c r="B275" i="2" s="1"/>
  <c r="D276" i="2" s="1"/>
  <c r="H276" i="2" s="1"/>
  <c r="I276" i="2" s="1"/>
  <c r="Z276" i="2" s="1"/>
  <c r="N275" i="2"/>
  <c r="B50" i="1"/>
  <c r="D51" i="1" s="1"/>
  <c r="C50" i="1"/>
  <c r="E51" i="1" s="1"/>
  <c r="N51" i="1" s="1"/>
  <c r="F276" i="2" l="1"/>
  <c r="G276" i="2" s="1"/>
  <c r="Y276" i="2" s="1"/>
  <c r="J276" i="2"/>
  <c r="L276" i="2"/>
  <c r="C276" i="2" s="1"/>
  <c r="E277" i="2" s="1"/>
  <c r="H51" i="1"/>
  <c r="I51" i="1" s="1"/>
  <c r="N276" i="2" l="1"/>
  <c r="K276" i="2"/>
  <c r="B276" i="2" s="1"/>
  <c r="D277" i="2" s="1"/>
  <c r="H277" i="2" s="1"/>
  <c r="I277" i="2" s="1"/>
  <c r="Z277" i="2" s="1"/>
  <c r="O51" i="1"/>
  <c r="J51" i="1"/>
  <c r="F51" i="1"/>
  <c r="G51" i="1" s="1"/>
  <c r="M51" i="1" s="1"/>
  <c r="F277" i="2" l="1"/>
  <c r="G277" i="2" s="1"/>
  <c r="Y277" i="2" s="1"/>
  <c r="J277" i="2"/>
  <c r="L277" i="2"/>
  <c r="C277" i="2" s="1"/>
  <c r="E278" i="2" s="1"/>
  <c r="B51" i="1"/>
  <c r="D52" i="1" s="1"/>
  <c r="C51" i="1"/>
  <c r="E52" i="1" s="1"/>
  <c r="N52" i="1" s="1"/>
  <c r="K277" i="2" l="1"/>
  <c r="B277" i="2" s="1"/>
  <c r="D278" i="2" s="1"/>
  <c r="H278" i="2" s="1"/>
  <c r="I278" i="2" s="1"/>
  <c r="Z278" i="2" s="1"/>
  <c r="N277" i="2"/>
  <c r="H52" i="1"/>
  <c r="I52" i="1" s="1"/>
  <c r="L278" i="2" l="1"/>
  <c r="C278" i="2" s="1"/>
  <c r="E279" i="2" s="1"/>
  <c r="F278" i="2"/>
  <c r="G278" i="2" s="1"/>
  <c r="Y278" i="2" s="1"/>
  <c r="J278" i="2"/>
  <c r="O52" i="1"/>
  <c r="J52" i="1"/>
  <c r="F52" i="1"/>
  <c r="G52" i="1" s="1"/>
  <c r="M52" i="1" s="1"/>
  <c r="K278" i="2" l="1"/>
  <c r="B278" i="2" s="1"/>
  <c r="D279" i="2" s="1"/>
  <c r="H279" i="2" s="1"/>
  <c r="I279" i="2" s="1"/>
  <c r="Z279" i="2" s="1"/>
  <c r="N278" i="2"/>
  <c r="B52" i="1"/>
  <c r="D53" i="1" s="1"/>
  <c r="C52" i="1"/>
  <c r="E53" i="1" s="1"/>
  <c r="N53" i="1" s="1"/>
  <c r="J279" i="2" l="1"/>
  <c r="F279" i="2"/>
  <c r="G279" i="2" s="1"/>
  <c r="Y279" i="2" s="1"/>
  <c r="L279" i="2"/>
  <c r="C279" i="2" s="1"/>
  <c r="E280" i="2" s="1"/>
  <c r="H53" i="1"/>
  <c r="I53" i="1" s="1"/>
  <c r="K279" i="2" l="1"/>
  <c r="B279" i="2" s="1"/>
  <c r="D280" i="2" s="1"/>
  <c r="H280" i="2" s="1"/>
  <c r="I280" i="2" s="1"/>
  <c r="Z280" i="2" s="1"/>
  <c r="N279" i="2"/>
  <c r="O53" i="1"/>
  <c r="F53" i="1"/>
  <c r="G53" i="1" s="1"/>
  <c r="M53" i="1" s="1"/>
  <c r="J53" i="1"/>
  <c r="J280" i="2" l="1"/>
  <c r="F280" i="2"/>
  <c r="G280" i="2" s="1"/>
  <c r="Y280" i="2" s="1"/>
  <c r="L280" i="2"/>
  <c r="C280" i="2" s="1"/>
  <c r="E281" i="2" s="1"/>
  <c r="B53" i="1"/>
  <c r="D54" i="1" s="1"/>
  <c r="C53" i="1"/>
  <c r="E54" i="1" s="1"/>
  <c r="N54" i="1" s="1"/>
  <c r="N280" i="2" l="1"/>
  <c r="K280" i="2"/>
  <c r="B280" i="2" s="1"/>
  <c r="D281" i="2" s="1"/>
  <c r="H281" i="2" s="1"/>
  <c r="I281" i="2" s="1"/>
  <c r="Z281" i="2" s="1"/>
  <c r="H54" i="1"/>
  <c r="I54" i="1" s="1"/>
  <c r="J281" i="2" l="1"/>
  <c r="L281" i="2"/>
  <c r="C281" i="2" s="1"/>
  <c r="E282" i="2" s="1"/>
  <c r="F281" i="2"/>
  <c r="G281" i="2" s="1"/>
  <c r="Y281" i="2" s="1"/>
  <c r="O54" i="1"/>
  <c r="F54" i="1"/>
  <c r="G54" i="1" s="1"/>
  <c r="M54" i="1" s="1"/>
  <c r="J54" i="1"/>
  <c r="K281" i="2" l="1"/>
  <c r="B281" i="2" s="1"/>
  <c r="D282" i="2" s="1"/>
  <c r="H282" i="2" s="1"/>
  <c r="I282" i="2" s="1"/>
  <c r="Z282" i="2" s="1"/>
  <c r="N281" i="2"/>
  <c r="B54" i="1"/>
  <c r="D55" i="1" s="1"/>
  <c r="C54" i="1"/>
  <c r="E55" i="1" s="1"/>
  <c r="N55" i="1" s="1"/>
  <c r="F282" i="2" l="1"/>
  <c r="G282" i="2" s="1"/>
  <c r="Y282" i="2" s="1"/>
  <c r="J282" i="2"/>
  <c r="L282" i="2"/>
  <c r="C282" i="2" s="1"/>
  <c r="E283" i="2" s="1"/>
  <c r="H55" i="1"/>
  <c r="I55" i="1" s="1"/>
  <c r="N282" i="2" l="1"/>
  <c r="K282" i="2"/>
  <c r="B282" i="2" s="1"/>
  <c r="D283" i="2" s="1"/>
  <c r="H283" i="2" s="1"/>
  <c r="I283" i="2" s="1"/>
  <c r="Z283" i="2" s="1"/>
  <c r="O55" i="1"/>
  <c r="F55" i="1"/>
  <c r="G55" i="1" s="1"/>
  <c r="M55" i="1" s="1"/>
  <c r="J55" i="1"/>
  <c r="J283" i="2" l="1"/>
  <c r="L283" i="2"/>
  <c r="C283" i="2" s="1"/>
  <c r="E284" i="2" s="1"/>
  <c r="F283" i="2"/>
  <c r="G283" i="2" s="1"/>
  <c r="Y283" i="2" s="1"/>
  <c r="C55" i="1"/>
  <c r="E56" i="1" s="1"/>
  <c r="N56" i="1" s="1"/>
  <c r="B55" i="1"/>
  <c r="D56" i="1" s="1"/>
  <c r="H56" i="1" s="1"/>
  <c r="I56" i="1" s="1"/>
  <c r="K283" i="2" l="1"/>
  <c r="B283" i="2" s="1"/>
  <c r="D284" i="2" s="1"/>
  <c r="H284" i="2" s="1"/>
  <c r="I284" i="2" s="1"/>
  <c r="Z284" i="2" s="1"/>
  <c r="N283" i="2"/>
  <c r="O56" i="1"/>
  <c r="F56" i="1"/>
  <c r="G56" i="1" s="1"/>
  <c r="M56" i="1" s="1"/>
  <c r="J56" i="1"/>
  <c r="F284" i="2" l="1"/>
  <c r="G284" i="2" s="1"/>
  <c r="Y284" i="2" s="1"/>
  <c r="L284" i="2"/>
  <c r="C284" i="2" s="1"/>
  <c r="E285" i="2" s="1"/>
  <c r="J284" i="2"/>
  <c r="B56" i="1"/>
  <c r="D57" i="1" s="1"/>
  <c r="C56" i="1"/>
  <c r="E57" i="1" s="1"/>
  <c r="N57" i="1" s="1"/>
  <c r="N284" i="2" l="1"/>
  <c r="K284" i="2"/>
  <c r="B284" i="2" s="1"/>
  <c r="D285" i="2" s="1"/>
  <c r="H285" i="2" s="1"/>
  <c r="I285" i="2" s="1"/>
  <c r="Z285" i="2" s="1"/>
  <c r="H57" i="1"/>
  <c r="I57" i="1" s="1"/>
  <c r="L285" i="2" l="1"/>
  <c r="C285" i="2" s="1"/>
  <c r="E286" i="2" s="1"/>
  <c r="J285" i="2"/>
  <c r="F285" i="2"/>
  <c r="G285" i="2" s="1"/>
  <c r="Y285" i="2" s="1"/>
  <c r="O57" i="1"/>
  <c r="F57" i="1"/>
  <c r="G57" i="1" s="1"/>
  <c r="M57" i="1" s="1"/>
  <c r="J57" i="1"/>
  <c r="K285" i="2" l="1"/>
  <c r="B285" i="2" s="1"/>
  <c r="D286" i="2" s="1"/>
  <c r="H286" i="2" s="1"/>
  <c r="I286" i="2" s="1"/>
  <c r="Z286" i="2" s="1"/>
  <c r="N285" i="2"/>
  <c r="C57" i="1"/>
  <c r="E58" i="1" s="1"/>
  <c r="N58" i="1" s="1"/>
  <c r="B57" i="1"/>
  <c r="D58" i="1" s="1"/>
  <c r="H58" i="1" s="1"/>
  <c r="I58" i="1" s="1"/>
  <c r="L286" i="2" l="1"/>
  <c r="C286" i="2" s="1"/>
  <c r="E287" i="2" s="1"/>
  <c r="F286" i="2"/>
  <c r="G286" i="2" s="1"/>
  <c r="Y286" i="2" s="1"/>
  <c r="J286" i="2"/>
  <c r="O58" i="1"/>
  <c r="J58" i="1"/>
  <c r="F58" i="1"/>
  <c r="G58" i="1" s="1"/>
  <c r="M58" i="1" s="1"/>
  <c r="N286" i="2" l="1"/>
  <c r="K286" i="2"/>
  <c r="B286" i="2" s="1"/>
  <c r="D287" i="2" s="1"/>
  <c r="H287" i="2" s="1"/>
  <c r="I287" i="2" s="1"/>
  <c r="Z287" i="2" s="1"/>
  <c r="B58" i="1"/>
  <c r="D59" i="1" s="1"/>
  <c r="C58" i="1"/>
  <c r="E59" i="1" s="1"/>
  <c r="N59" i="1" s="1"/>
  <c r="L287" i="2" l="1"/>
  <c r="C287" i="2" s="1"/>
  <c r="E288" i="2" s="1"/>
  <c r="F287" i="2"/>
  <c r="G287" i="2" s="1"/>
  <c r="Y287" i="2" s="1"/>
  <c r="J287" i="2"/>
  <c r="H59" i="1"/>
  <c r="I59" i="1" s="1"/>
  <c r="N287" i="2" l="1"/>
  <c r="K287" i="2"/>
  <c r="B287" i="2" s="1"/>
  <c r="D288" i="2" s="1"/>
  <c r="H288" i="2" s="1"/>
  <c r="I288" i="2" s="1"/>
  <c r="Z288" i="2" s="1"/>
  <c r="O59" i="1"/>
  <c r="J59" i="1"/>
  <c r="F59" i="1"/>
  <c r="G59" i="1" s="1"/>
  <c r="M59" i="1" s="1"/>
  <c r="J288" i="2" l="1"/>
  <c r="L288" i="2"/>
  <c r="C288" i="2" s="1"/>
  <c r="E289" i="2" s="1"/>
  <c r="F288" i="2"/>
  <c r="G288" i="2" s="1"/>
  <c r="Y288" i="2" s="1"/>
  <c r="B59" i="1"/>
  <c r="D60" i="1" s="1"/>
  <c r="C59" i="1"/>
  <c r="E60" i="1" s="1"/>
  <c r="N60" i="1" s="1"/>
  <c r="K288" i="2" l="1"/>
  <c r="B288" i="2" s="1"/>
  <c r="D289" i="2" s="1"/>
  <c r="H289" i="2" s="1"/>
  <c r="I289" i="2" s="1"/>
  <c r="Z289" i="2" s="1"/>
  <c r="N288" i="2"/>
  <c r="H60" i="1"/>
  <c r="I60" i="1" s="1"/>
  <c r="F289" i="2" l="1"/>
  <c r="G289" i="2" s="1"/>
  <c r="Y289" i="2" s="1"/>
  <c r="L289" i="2"/>
  <c r="C289" i="2" s="1"/>
  <c r="E290" i="2" s="1"/>
  <c r="J289" i="2"/>
  <c r="O60" i="1"/>
  <c r="J60" i="1"/>
  <c r="F60" i="1"/>
  <c r="G60" i="1" s="1"/>
  <c r="M60" i="1" s="1"/>
  <c r="N289" i="2" l="1"/>
  <c r="K289" i="2"/>
  <c r="B289" i="2" s="1"/>
  <c r="D290" i="2" s="1"/>
  <c r="H290" i="2" s="1"/>
  <c r="I290" i="2" s="1"/>
  <c r="Z290" i="2" s="1"/>
  <c r="B60" i="1"/>
  <c r="D61" i="1" s="1"/>
  <c r="C60" i="1"/>
  <c r="E61" i="1" s="1"/>
  <c r="N61" i="1" s="1"/>
  <c r="J290" i="2" l="1"/>
  <c r="F290" i="2"/>
  <c r="G290" i="2" s="1"/>
  <c r="Y290" i="2" s="1"/>
  <c r="L290" i="2"/>
  <c r="C290" i="2" s="1"/>
  <c r="E291" i="2" s="1"/>
  <c r="H61" i="1"/>
  <c r="I61" i="1" s="1"/>
  <c r="K290" i="2" l="1"/>
  <c r="B290" i="2" s="1"/>
  <c r="D291" i="2" s="1"/>
  <c r="H291" i="2" s="1"/>
  <c r="I291" i="2" s="1"/>
  <c r="Z291" i="2" s="1"/>
  <c r="N290" i="2"/>
  <c r="O61" i="1"/>
  <c r="J61" i="1"/>
  <c r="F61" i="1"/>
  <c r="G61" i="1" s="1"/>
  <c r="M61" i="1" s="1"/>
  <c r="F291" i="2" l="1"/>
  <c r="G291" i="2" s="1"/>
  <c r="Y291" i="2" s="1"/>
  <c r="L291" i="2"/>
  <c r="C291" i="2" s="1"/>
  <c r="E292" i="2" s="1"/>
  <c r="J291" i="2"/>
  <c r="C61" i="1"/>
  <c r="E62" i="1" s="1"/>
  <c r="N62" i="1" s="1"/>
  <c r="B61" i="1"/>
  <c r="D62" i="1" s="1"/>
  <c r="H62" i="1" s="1"/>
  <c r="I62" i="1" s="1"/>
  <c r="K291" i="2" l="1"/>
  <c r="B291" i="2" s="1"/>
  <c r="D292" i="2" s="1"/>
  <c r="H292" i="2" s="1"/>
  <c r="I292" i="2" s="1"/>
  <c r="Z292" i="2" s="1"/>
  <c r="N291" i="2"/>
  <c r="O62" i="1"/>
  <c r="F62" i="1"/>
  <c r="G62" i="1" s="1"/>
  <c r="M62" i="1" s="1"/>
  <c r="J62" i="1"/>
  <c r="F292" i="2" l="1"/>
  <c r="G292" i="2" s="1"/>
  <c r="Y292" i="2" s="1"/>
  <c r="J292" i="2"/>
  <c r="L292" i="2"/>
  <c r="C292" i="2" s="1"/>
  <c r="E293" i="2" s="1"/>
  <c r="B62" i="1"/>
  <c r="D63" i="1" s="1"/>
  <c r="C62" i="1"/>
  <c r="E63" i="1" s="1"/>
  <c r="N63" i="1" s="1"/>
  <c r="N292" i="2" l="1"/>
  <c r="K292" i="2"/>
  <c r="B292" i="2" s="1"/>
  <c r="D293" i="2" s="1"/>
  <c r="H293" i="2" s="1"/>
  <c r="I293" i="2" s="1"/>
  <c r="Z293" i="2" s="1"/>
  <c r="H63" i="1"/>
  <c r="I63" i="1" s="1"/>
  <c r="F293" i="2" l="1"/>
  <c r="G293" i="2" s="1"/>
  <c r="Y293" i="2" s="1"/>
  <c r="J293" i="2"/>
  <c r="L293" i="2"/>
  <c r="C293" i="2" s="1"/>
  <c r="E294" i="2" s="1"/>
  <c r="O63" i="1"/>
  <c r="F63" i="1"/>
  <c r="G63" i="1" s="1"/>
  <c r="M63" i="1" s="1"/>
  <c r="J63" i="1"/>
  <c r="N293" i="2" l="1"/>
  <c r="K293" i="2"/>
  <c r="B293" i="2" s="1"/>
  <c r="D294" i="2" s="1"/>
  <c r="H294" i="2" s="1"/>
  <c r="I294" i="2" s="1"/>
  <c r="Z294" i="2" s="1"/>
  <c r="B63" i="1"/>
  <c r="D64" i="1" s="1"/>
  <c r="C63" i="1"/>
  <c r="E64" i="1" s="1"/>
  <c r="N64" i="1" s="1"/>
  <c r="L294" i="2" l="1"/>
  <c r="C294" i="2" s="1"/>
  <c r="E295" i="2" s="1"/>
  <c r="F294" i="2"/>
  <c r="G294" i="2" s="1"/>
  <c r="Y294" i="2" s="1"/>
  <c r="J294" i="2"/>
  <c r="H64" i="1"/>
  <c r="I64" i="1" s="1"/>
  <c r="K294" i="2" l="1"/>
  <c r="B294" i="2" s="1"/>
  <c r="D295" i="2" s="1"/>
  <c r="H295" i="2" s="1"/>
  <c r="I295" i="2" s="1"/>
  <c r="Z295" i="2" s="1"/>
  <c r="N294" i="2"/>
  <c r="O64" i="1"/>
  <c r="F64" i="1"/>
  <c r="G64" i="1" s="1"/>
  <c r="M64" i="1" s="1"/>
  <c r="J64" i="1"/>
  <c r="J295" i="2" l="1"/>
  <c r="F295" i="2"/>
  <c r="G295" i="2" s="1"/>
  <c r="Y295" i="2" s="1"/>
  <c r="L295" i="2"/>
  <c r="C295" i="2" s="1"/>
  <c r="E296" i="2" s="1"/>
  <c r="C64" i="1"/>
  <c r="E65" i="1" s="1"/>
  <c r="N65" i="1" s="1"/>
  <c r="B64" i="1"/>
  <c r="D65" i="1" s="1"/>
  <c r="H65" i="1" s="1"/>
  <c r="I65" i="1" s="1"/>
  <c r="K295" i="2" l="1"/>
  <c r="B295" i="2" s="1"/>
  <c r="D296" i="2" s="1"/>
  <c r="H296" i="2" s="1"/>
  <c r="I296" i="2" s="1"/>
  <c r="Z296" i="2" s="1"/>
  <c r="N295" i="2"/>
  <c r="O65" i="1"/>
  <c r="J65" i="1"/>
  <c r="F65" i="1"/>
  <c r="G65" i="1" s="1"/>
  <c r="M65" i="1" s="1"/>
  <c r="L296" i="2" l="1"/>
  <c r="C296" i="2" s="1"/>
  <c r="E297" i="2" s="1"/>
  <c r="F296" i="2"/>
  <c r="G296" i="2" s="1"/>
  <c r="Y296" i="2" s="1"/>
  <c r="J296" i="2"/>
  <c r="C65" i="1"/>
  <c r="E66" i="1" s="1"/>
  <c r="N66" i="1" s="1"/>
  <c r="B65" i="1"/>
  <c r="D66" i="1" s="1"/>
  <c r="H66" i="1" s="1"/>
  <c r="I66" i="1" s="1"/>
  <c r="N296" i="2" l="1"/>
  <c r="K296" i="2"/>
  <c r="B296" i="2" s="1"/>
  <c r="D297" i="2" s="1"/>
  <c r="H297" i="2" s="1"/>
  <c r="I297" i="2" s="1"/>
  <c r="Z297" i="2" s="1"/>
  <c r="O66" i="1"/>
  <c r="F66" i="1"/>
  <c r="G66" i="1" s="1"/>
  <c r="M66" i="1" s="1"/>
  <c r="J66" i="1"/>
  <c r="F297" i="2" l="1"/>
  <c r="G297" i="2" s="1"/>
  <c r="Y297" i="2" s="1"/>
  <c r="L297" i="2"/>
  <c r="C297" i="2" s="1"/>
  <c r="E298" i="2" s="1"/>
  <c r="J297" i="2"/>
  <c r="B66" i="1"/>
  <c r="D67" i="1" s="1"/>
  <c r="C66" i="1"/>
  <c r="E67" i="1" s="1"/>
  <c r="N67" i="1" s="1"/>
  <c r="N297" i="2" l="1"/>
  <c r="K297" i="2"/>
  <c r="B297" i="2" s="1"/>
  <c r="D298" i="2" s="1"/>
  <c r="H298" i="2" s="1"/>
  <c r="I298" i="2" s="1"/>
  <c r="Z298" i="2" s="1"/>
  <c r="H67" i="1"/>
  <c r="I67" i="1" s="1"/>
  <c r="J298" i="2" l="1"/>
  <c r="L298" i="2"/>
  <c r="C298" i="2" s="1"/>
  <c r="E299" i="2" s="1"/>
  <c r="F298" i="2"/>
  <c r="G298" i="2" s="1"/>
  <c r="Y298" i="2" s="1"/>
  <c r="O67" i="1"/>
  <c r="J67" i="1"/>
  <c r="F67" i="1"/>
  <c r="G67" i="1" s="1"/>
  <c r="M67" i="1" s="1"/>
  <c r="K298" i="2" l="1"/>
  <c r="B298" i="2" s="1"/>
  <c r="D299" i="2" s="1"/>
  <c r="H299" i="2" s="1"/>
  <c r="I299" i="2" s="1"/>
  <c r="Z299" i="2" s="1"/>
  <c r="N298" i="2"/>
  <c r="B67" i="1"/>
  <c r="D68" i="1" s="1"/>
  <c r="C67" i="1"/>
  <c r="E68" i="1" s="1"/>
  <c r="N68" i="1" s="1"/>
  <c r="F299" i="2" l="1"/>
  <c r="G299" i="2" s="1"/>
  <c r="Y299" i="2" s="1"/>
  <c r="L299" i="2"/>
  <c r="C299" i="2" s="1"/>
  <c r="E300" i="2" s="1"/>
  <c r="J299" i="2"/>
  <c r="H68" i="1"/>
  <c r="I68" i="1" s="1"/>
  <c r="N299" i="2" l="1"/>
  <c r="K299" i="2"/>
  <c r="B299" i="2" s="1"/>
  <c r="D300" i="2" s="1"/>
  <c r="H300" i="2" s="1"/>
  <c r="I300" i="2" s="1"/>
  <c r="Z300" i="2" s="1"/>
  <c r="O68" i="1"/>
  <c r="J68" i="1"/>
  <c r="F68" i="1"/>
  <c r="G68" i="1" s="1"/>
  <c r="M68" i="1" s="1"/>
  <c r="F300" i="2" l="1"/>
  <c r="G300" i="2" s="1"/>
  <c r="Y300" i="2" s="1"/>
  <c r="J300" i="2"/>
  <c r="L300" i="2"/>
  <c r="C300" i="2" s="1"/>
  <c r="E301" i="2" s="1"/>
  <c r="B68" i="1"/>
  <c r="D69" i="1" s="1"/>
  <c r="C68" i="1"/>
  <c r="E69" i="1" s="1"/>
  <c r="N69" i="1" s="1"/>
  <c r="N300" i="2" l="1"/>
  <c r="K300" i="2"/>
  <c r="B300" i="2" s="1"/>
  <c r="D301" i="2" s="1"/>
  <c r="H301" i="2" s="1"/>
  <c r="I301" i="2" s="1"/>
  <c r="Z301" i="2" s="1"/>
  <c r="H69" i="1"/>
  <c r="I69" i="1" s="1"/>
  <c r="L301" i="2" l="1"/>
  <c r="C301" i="2" s="1"/>
  <c r="E302" i="2" s="1"/>
  <c r="J301" i="2"/>
  <c r="F301" i="2"/>
  <c r="G301" i="2" s="1"/>
  <c r="Y301" i="2" s="1"/>
  <c r="O69" i="1"/>
  <c r="J69" i="1"/>
  <c r="F69" i="1"/>
  <c r="G69" i="1" s="1"/>
  <c r="M69" i="1" s="1"/>
  <c r="K301" i="2" l="1"/>
  <c r="B301" i="2" s="1"/>
  <c r="D302" i="2" s="1"/>
  <c r="H302" i="2" s="1"/>
  <c r="I302" i="2" s="1"/>
  <c r="Z302" i="2" s="1"/>
  <c r="N301" i="2"/>
  <c r="B69" i="1"/>
  <c r="D70" i="1" s="1"/>
  <c r="C69" i="1"/>
  <c r="E70" i="1" s="1"/>
  <c r="N70" i="1" s="1"/>
  <c r="J302" i="2" l="1"/>
  <c r="L302" i="2"/>
  <c r="C302" i="2" s="1"/>
  <c r="E303" i="2" s="1"/>
  <c r="F302" i="2"/>
  <c r="G302" i="2" s="1"/>
  <c r="Y302" i="2" s="1"/>
  <c r="H70" i="1"/>
  <c r="I70" i="1" s="1"/>
  <c r="K302" i="2" l="1"/>
  <c r="B302" i="2" s="1"/>
  <c r="D303" i="2" s="1"/>
  <c r="H303" i="2" s="1"/>
  <c r="I303" i="2" s="1"/>
  <c r="Z303" i="2" s="1"/>
  <c r="N302" i="2"/>
  <c r="O70" i="1"/>
  <c r="F70" i="1"/>
  <c r="G70" i="1" s="1"/>
  <c r="M70" i="1" s="1"/>
  <c r="J70" i="1"/>
  <c r="J303" i="2" l="1"/>
  <c r="F303" i="2"/>
  <c r="G303" i="2" s="1"/>
  <c r="Y303" i="2" s="1"/>
  <c r="L303" i="2"/>
  <c r="C303" i="2" s="1"/>
  <c r="E304" i="2" s="1"/>
  <c r="B70" i="1"/>
  <c r="D71" i="1" s="1"/>
  <c r="C70" i="1"/>
  <c r="E71" i="1" s="1"/>
  <c r="N71" i="1" s="1"/>
  <c r="N303" i="2" l="1"/>
  <c r="K303" i="2"/>
  <c r="B303" i="2" s="1"/>
  <c r="D304" i="2" s="1"/>
  <c r="H304" i="2" s="1"/>
  <c r="I304" i="2" s="1"/>
  <c r="Z304" i="2" s="1"/>
  <c r="H71" i="1"/>
  <c r="I71" i="1" s="1"/>
  <c r="J304" i="2" l="1"/>
  <c r="L304" i="2"/>
  <c r="C304" i="2" s="1"/>
  <c r="E305" i="2" s="1"/>
  <c r="F304" i="2"/>
  <c r="G304" i="2" s="1"/>
  <c r="Y304" i="2" s="1"/>
  <c r="O71" i="1"/>
  <c r="F71" i="1"/>
  <c r="G71" i="1" s="1"/>
  <c r="M71" i="1" s="1"/>
  <c r="J71" i="1"/>
  <c r="K304" i="2" l="1"/>
  <c r="B304" i="2" s="1"/>
  <c r="D305" i="2" s="1"/>
  <c r="H305" i="2" s="1"/>
  <c r="I305" i="2" s="1"/>
  <c r="Z305" i="2" s="1"/>
  <c r="N304" i="2"/>
  <c r="B71" i="1"/>
  <c r="D72" i="1" s="1"/>
  <c r="C71" i="1"/>
  <c r="E72" i="1" s="1"/>
  <c r="N72" i="1" s="1"/>
  <c r="F305" i="2" l="1"/>
  <c r="G305" i="2" s="1"/>
  <c r="Y305" i="2" s="1"/>
  <c r="J305" i="2"/>
  <c r="L305" i="2"/>
  <c r="C305" i="2" s="1"/>
  <c r="E306" i="2" s="1"/>
  <c r="H72" i="1"/>
  <c r="I72" i="1" s="1"/>
  <c r="N305" i="2" l="1"/>
  <c r="K305" i="2"/>
  <c r="B305" i="2" s="1"/>
  <c r="D306" i="2" s="1"/>
  <c r="H306" i="2" s="1"/>
  <c r="I306" i="2" s="1"/>
  <c r="Z306" i="2" s="1"/>
  <c r="O72" i="1"/>
  <c r="F72" i="1"/>
  <c r="G72" i="1" s="1"/>
  <c r="M72" i="1" s="1"/>
  <c r="J72" i="1"/>
  <c r="J306" i="2" l="1"/>
  <c r="L306" i="2"/>
  <c r="C306" i="2" s="1"/>
  <c r="E307" i="2" s="1"/>
  <c r="F306" i="2"/>
  <c r="G306" i="2" s="1"/>
  <c r="Y306" i="2" s="1"/>
  <c r="C72" i="1"/>
  <c r="E73" i="1" s="1"/>
  <c r="N73" i="1" s="1"/>
  <c r="B72" i="1"/>
  <c r="D73" i="1" s="1"/>
  <c r="H73" i="1" s="1"/>
  <c r="I73" i="1" s="1"/>
  <c r="K306" i="2" l="1"/>
  <c r="B306" i="2" s="1"/>
  <c r="D307" i="2" s="1"/>
  <c r="H307" i="2" s="1"/>
  <c r="I307" i="2" s="1"/>
  <c r="Z307" i="2" s="1"/>
  <c r="N306" i="2"/>
  <c r="O73" i="1"/>
  <c r="J73" i="1"/>
  <c r="F73" i="1"/>
  <c r="G73" i="1" s="1"/>
  <c r="M73" i="1" s="1"/>
  <c r="F307" i="2" l="1"/>
  <c r="G307" i="2" s="1"/>
  <c r="Y307" i="2" s="1"/>
  <c r="L307" i="2"/>
  <c r="C307" i="2" s="1"/>
  <c r="E308" i="2" s="1"/>
  <c r="J307" i="2"/>
  <c r="C73" i="1"/>
  <c r="E74" i="1" s="1"/>
  <c r="N74" i="1" s="1"/>
  <c r="B73" i="1"/>
  <c r="D74" i="1" s="1"/>
  <c r="H74" i="1" s="1"/>
  <c r="I74" i="1" s="1"/>
  <c r="N307" i="2" l="1"/>
  <c r="K307" i="2"/>
  <c r="B307" i="2" s="1"/>
  <c r="D308" i="2" s="1"/>
  <c r="H308" i="2" s="1"/>
  <c r="I308" i="2" s="1"/>
  <c r="Z308" i="2" s="1"/>
  <c r="O74" i="1"/>
  <c r="J74" i="1"/>
  <c r="F74" i="1"/>
  <c r="G74" i="1" s="1"/>
  <c r="M74" i="1" s="1"/>
  <c r="J308" i="2" l="1"/>
  <c r="L308" i="2"/>
  <c r="C308" i="2" s="1"/>
  <c r="E309" i="2" s="1"/>
  <c r="F308" i="2"/>
  <c r="G308" i="2" s="1"/>
  <c r="Y308" i="2" s="1"/>
  <c r="C74" i="1"/>
  <c r="E75" i="1" s="1"/>
  <c r="N75" i="1" s="1"/>
  <c r="B74" i="1"/>
  <c r="D75" i="1" s="1"/>
  <c r="H75" i="1" s="1"/>
  <c r="I75" i="1" s="1"/>
  <c r="K308" i="2" l="1"/>
  <c r="B308" i="2" s="1"/>
  <c r="D309" i="2" s="1"/>
  <c r="H309" i="2" s="1"/>
  <c r="I309" i="2" s="1"/>
  <c r="Z309" i="2" s="1"/>
  <c r="N308" i="2"/>
  <c r="O75" i="1"/>
  <c r="J75" i="1"/>
  <c r="F75" i="1"/>
  <c r="G75" i="1" s="1"/>
  <c r="M75" i="1" s="1"/>
  <c r="F309" i="2" l="1"/>
  <c r="G309" i="2" s="1"/>
  <c r="Y309" i="2" s="1"/>
  <c r="L309" i="2"/>
  <c r="C309" i="2" s="1"/>
  <c r="E310" i="2" s="1"/>
  <c r="J309" i="2"/>
  <c r="B75" i="1"/>
  <c r="D76" i="1" s="1"/>
  <c r="C75" i="1"/>
  <c r="E76" i="1" s="1"/>
  <c r="N76" i="1" s="1"/>
  <c r="N309" i="2" l="1"/>
  <c r="K309" i="2"/>
  <c r="B309" i="2" s="1"/>
  <c r="D310" i="2" s="1"/>
  <c r="H310" i="2" s="1"/>
  <c r="I310" i="2" s="1"/>
  <c r="Z310" i="2" s="1"/>
  <c r="H76" i="1"/>
  <c r="I76" i="1" s="1"/>
  <c r="J310" i="2" l="1"/>
  <c r="L310" i="2"/>
  <c r="C310" i="2" s="1"/>
  <c r="E311" i="2" s="1"/>
  <c r="F310" i="2"/>
  <c r="G310" i="2" s="1"/>
  <c r="Y310" i="2" s="1"/>
  <c r="O76" i="1"/>
  <c r="F76" i="1"/>
  <c r="G76" i="1" s="1"/>
  <c r="M76" i="1" s="1"/>
  <c r="J76" i="1"/>
  <c r="N310" i="2" l="1"/>
  <c r="K310" i="2"/>
  <c r="B310" i="2" s="1"/>
  <c r="D311" i="2" s="1"/>
  <c r="H311" i="2" s="1"/>
  <c r="I311" i="2" s="1"/>
  <c r="Z311" i="2" s="1"/>
  <c r="C76" i="1"/>
  <c r="E77" i="1" s="1"/>
  <c r="N77" i="1" s="1"/>
  <c r="B76" i="1"/>
  <c r="D77" i="1" s="1"/>
  <c r="H77" i="1" s="1"/>
  <c r="I77" i="1" s="1"/>
  <c r="L311" i="2" l="1"/>
  <c r="C311" i="2" s="1"/>
  <c r="E312" i="2" s="1"/>
  <c r="J311" i="2"/>
  <c r="F311" i="2"/>
  <c r="G311" i="2" s="1"/>
  <c r="Y311" i="2" s="1"/>
  <c r="O77" i="1"/>
  <c r="J77" i="1"/>
  <c r="F77" i="1"/>
  <c r="G77" i="1" s="1"/>
  <c r="M77" i="1" s="1"/>
  <c r="K311" i="2" l="1"/>
  <c r="B311" i="2" s="1"/>
  <c r="D312" i="2" s="1"/>
  <c r="H312" i="2" s="1"/>
  <c r="I312" i="2" s="1"/>
  <c r="Z312" i="2" s="1"/>
  <c r="N311" i="2"/>
  <c r="C77" i="1"/>
  <c r="E78" i="1" s="1"/>
  <c r="N78" i="1" s="1"/>
  <c r="B77" i="1"/>
  <c r="D78" i="1" s="1"/>
  <c r="H78" i="1" s="1"/>
  <c r="I78" i="1" s="1"/>
  <c r="F312" i="2" l="1"/>
  <c r="G312" i="2" s="1"/>
  <c r="Y312" i="2" s="1"/>
  <c r="J312" i="2"/>
  <c r="L312" i="2"/>
  <c r="C312" i="2" s="1"/>
  <c r="E313" i="2" s="1"/>
  <c r="O78" i="1"/>
  <c r="F78" i="1"/>
  <c r="G78" i="1" s="1"/>
  <c r="M78" i="1" s="1"/>
  <c r="J78" i="1"/>
  <c r="N312" i="2" l="1"/>
  <c r="K312" i="2"/>
  <c r="B312" i="2" s="1"/>
  <c r="D313" i="2" s="1"/>
  <c r="H313" i="2" s="1"/>
  <c r="I313" i="2" s="1"/>
  <c r="Z313" i="2" s="1"/>
  <c r="B78" i="1"/>
  <c r="D79" i="1" s="1"/>
  <c r="C78" i="1"/>
  <c r="E79" i="1" s="1"/>
  <c r="N79" i="1" s="1"/>
  <c r="J313" i="2" l="1"/>
  <c r="L313" i="2"/>
  <c r="C313" i="2" s="1"/>
  <c r="E314" i="2" s="1"/>
  <c r="F313" i="2"/>
  <c r="G313" i="2" s="1"/>
  <c r="Y313" i="2" s="1"/>
  <c r="H79" i="1"/>
  <c r="I79" i="1" s="1"/>
  <c r="K313" i="2" l="1"/>
  <c r="B313" i="2" s="1"/>
  <c r="D314" i="2" s="1"/>
  <c r="H314" i="2" s="1"/>
  <c r="I314" i="2" s="1"/>
  <c r="Z314" i="2" s="1"/>
  <c r="N313" i="2"/>
  <c r="O79" i="1"/>
  <c r="F79" i="1"/>
  <c r="G79" i="1" s="1"/>
  <c r="M79" i="1" s="1"/>
  <c r="J79" i="1"/>
  <c r="L314" i="2" l="1"/>
  <c r="C314" i="2" s="1"/>
  <c r="E315" i="2" s="1"/>
  <c r="F314" i="2"/>
  <c r="G314" i="2" s="1"/>
  <c r="Y314" i="2" s="1"/>
  <c r="J314" i="2"/>
  <c r="B79" i="1"/>
  <c r="D80" i="1" s="1"/>
  <c r="C79" i="1"/>
  <c r="E80" i="1" s="1"/>
  <c r="N80" i="1" s="1"/>
  <c r="N314" i="2" l="1"/>
  <c r="K314" i="2"/>
  <c r="B314" i="2" s="1"/>
  <c r="D315" i="2" s="1"/>
  <c r="H315" i="2" s="1"/>
  <c r="I315" i="2" s="1"/>
  <c r="Z315" i="2" s="1"/>
  <c r="H80" i="1"/>
  <c r="I80" i="1" s="1"/>
  <c r="F315" i="2" l="1"/>
  <c r="G315" i="2" s="1"/>
  <c r="Y315" i="2" s="1"/>
  <c r="J315" i="2"/>
  <c r="L315" i="2"/>
  <c r="C315" i="2" s="1"/>
  <c r="E316" i="2" s="1"/>
  <c r="O80" i="1"/>
  <c r="J80" i="1"/>
  <c r="F80" i="1"/>
  <c r="G80" i="1" s="1"/>
  <c r="M80" i="1" s="1"/>
  <c r="K315" i="2" l="1"/>
  <c r="B315" i="2" s="1"/>
  <c r="D316" i="2" s="1"/>
  <c r="H316" i="2" s="1"/>
  <c r="I316" i="2" s="1"/>
  <c r="Z316" i="2" s="1"/>
  <c r="N315" i="2"/>
  <c r="B80" i="1"/>
  <c r="D81" i="1" s="1"/>
  <c r="C80" i="1"/>
  <c r="E81" i="1" s="1"/>
  <c r="N81" i="1" s="1"/>
  <c r="J316" i="2" l="1"/>
  <c r="L316" i="2"/>
  <c r="C316" i="2" s="1"/>
  <c r="E317" i="2" s="1"/>
  <c r="F316" i="2"/>
  <c r="G316" i="2" s="1"/>
  <c r="Y316" i="2" s="1"/>
  <c r="H81" i="1"/>
  <c r="I81" i="1" s="1"/>
  <c r="K316" i="2" l="1"/>
  <c r="B316" i="2" s="1"/>
  <c r="D317" i="2" s="1"/>
  <c r="H317" i="2" s="1"/>
  <c r="I317" i="2" s="1"/>
  <c r="Z317" i="2" s="1"/>
  <c r="N316" i="2"/>
  <c r="O81" i="1"/>
  <c r="J81" i="1"/>
  <c r="F81" i="1"/>
  <c r="G81" i="1" s="1"/>
  <c r="M81" i="1" s="1"/>
  <c r="F317" i="2" l="1"/>
  <c r="G317" i="2" s="1"/>
  <c r="Y317" i="2" s="1"/>
  <c r="J317" i="2"/>
  <c r="L317" i="2"/>
  <c r="C317" i="2" s="1"/>
  <c r="E318" i="2" s="1"/>
  <c r="C81" i="1"/>
  <c r="E82" i="1" s="1"/>
  <c r="N82" i="1" s="1"/>
  <c r="B81" i="1"/>
  <c r="D82" i="1" s="1"/>
  <c r="H82" i="1" s="1"/>
  <c r="I82" i="1" s="1"/>
  <c r="N317" i="2" l="1"/>
  <c r="K317" i="2"/>
  <c r="B317" i="2" s="1"/>
  <c r="D318" i="2" s="1"/>
  <c r="H318" i="2" s="1"/>
  <c r="I318" i="2" s="1"/>
  <c r="Z318" i="2" s="1"/>
  <c r="O82" i="1"/>
  <c r="J82" i="1"/>
  <c r="F82" i="1"/>
  <c r="G82" i="1" s="1"/>
  <c r="M82" i="1" s="1"/>
  <c r="J318" i="2" l="1"/>
  <c r="F318" i="2"/>
  <c r="G318" i="2" s="1"/>
  <c r="Y318" i="2" s="1"/>
  <c r="L318" i="2"/>
  <c r="C318" i="2" s="1"/>
  <c r="E319" i="2" s="1"/>
  <c r="B82" i="1"/>
  <c r="D83" i="1" s="1"/>
  <c r="C82" i="1"/>
  <c r="E83" i="1" s="1"/>
  <c r="N83" i="1" s="1"/>
  <c r="N318" i="2" l="1"/>
  <c r="K318" i="2"/>
  <c r="B318" i="2" s="1"/>
  <c r="D319" i="2" s="1"/>
  <c r="H319" i="2" s="1"/>
  <c r="I319" i="2" s="1"/>
  <c r="Z319" i="2" s="1"/>
  <c r="H83" i="1"/>
  <c r="I83" i="1" s="1"/>
  <c r="L319" i="2" l="1"/>
  <c r="C319" i="2" s="1"/>
  <c r="E320" i="2" s="1"/>
  <c r="F319" i="2"/>
  <c r="G319" i="2" s="1"/>
  <c r="Y319" i="2" s="1"/>
  <c r="J319" i="2"/>
  <c r="O83" i="1"/>
  <c r="J83" i="1"/>
  <c r="F83" i="1"/>
  <c r="G83" i="1" s="1"/>
  <c r="M83" i="1" s="1"/>
  <c r="K319" i="2" l="1"/>
  <c r="B319" i="2" s="1"/>
  <c r="D320" i="2" s="1"/>
  <c r="H320" i="2" s="1"/>
  <c r="I320" i="2" s="1"/>
  <c r="Z320" i="2" s="1"/>
  <c r="N319" i="2"/>
  <c r="B83" i="1"/>
  <c r="D84" i="1" s="1"/>
  <c r="C83" i="1"/>
  <c r="E84" i="1" s="1"/>
  <c r="N84" i="1" s="1"/>
  <c r="F320" i="2" l="1"/>
  <c r="G320" i="2" s="1"/>
  <c r="Y320" i="2" s="1"/>
  <c r="L320" i="2"/>
  <c r="C320" i="2" s="1"/>
  <c r="E321" i="2" s="1"/>
  <c r="J320" i="2"/>
  <c r="H84" i="1"/>
  <c r="I84" i="1" s="1"/>
  <c r="N320" i="2" l="1"/>
  <c r="K320" i="2"/>
  <c r="B320" i="2" s="1"/>
  <c r="D321" i="2" s="1"/>
  <c r="H321" i="2" s="1"/>
  <c r="I321" i="2" s="1"/>
  <c r="Z321" i="2" s="1"/>
  <c r="O84" i="1"/>
  <c r="F84" i="1"/>
  <c r="G84" i="1" s="1"/>
  <c r="M84" i="1" s="1"/>
  <c r="J84" i="1"/>
  <c r="J321" i="2" l="1"/>
  <c r="F321" i="2"/>
  <c r="G321" i="2" s="1"/>
  <c r="Y321" i="2" s="1"/>
  <c r="L321" i="2"/>
  <c r="C321" i="2" s="1"/>
  <c r="E322" i="2" s="1"/>
  <c r="B84" i="1"/>
  <c r="D85" i="1" s="1"/>
  <c r="C84" i="1"/>
  <c r="E85" i="1" s="1"/>
  <c r="N85" i="1" s="1"/>
  <c r="K321" i="2" l="1"/>
  <c r="B321" i="2" s="1"/>
  <c r="D322" i="2" s="1"/>
  <c r="H322" i="2" s="1"/>
  <c r="I322" i="2" s="1"/>
  <c r="Z322" i="2" s="1"/>
  <c r="N321" i="2"/>
  <c r="H85" i="1"/>
  <c r="I85" i="1" s="1"/>
  <c r="L322" i="2" l="1"/>
  <c r="C322" i="2" s="1"/>
  <c r="E323" i="2" s="1"/>
  <c r="F322" i="2"/>
  <c r="G322" i="2" s="1"/>
  <c r="Y322" i="2" s="1"/>
  <c r="J322" i="2"/>
  <c r="O85" i="1"/>
  <c r="J85" i="1"/>
  <c r="F85" i="1"/>
  <c r="G85" i="1" s="1"/>
  <c r="M85" i="1" s="1"/>
  <c r="N322" i="2" l="1"/>
  <c r="K322" i="2"/>
  <c r="B322" i="2" s="1"/>
  <c r="D323" i="2" s="1"/>
  <c r="H323" i="2" s="1"/>
  <c r="I323" i="2" s="1"/>
  <c r="Z323" i="2" s="1"/>
  <c r="B85" i="1"/>
  <c r="D86" i="1" s="1"/>
  <c r="C85" i="1"/>
  <c r="E86" i="1" s="1"/>
  <c r="N86" i="1" s="1"/>
  <c r="L323" i="2" l="1"/>
  <c r="C323" i="2" s="1"/>
  <c r="E324" i="2" s="1"/>
  <c r="F323" i="2"/>
  <c r="G323" i="2" s="1"/>
  <c r="Y323" i="2" s="1"/>
  <c r="J323" i="2"/>
  <c r="H86" i="1"/>
  <c r="I86" i="1" s="1"/>
  <c r="N323" i="2" l="1"/>
  <c r="K323" i="2"/>
  <c r="B323" i="2" s="1"/>
  <c r="D324" i="2" s="1"/>
  <c r="H324" i="2" s="1"/>
  <c r="I324" i="2" s="1"/>
  <c r="Z324" i="2" s="1"/>
  <c r="O86" i="1"/>
  <c r="F86" i="1"/>
  <c r="G86" i="1" s="1"/>
  <c r="M86" i="1" s="1"/>
  <c r="J86" i="1"/>
  <c r="J324" i="2" l="1"/>
  <c r="L324" i="2"/>
  <c r="C324" i="2" s="1"/>
  <c r="E325" i="2" s="1"/>
  <c r="F324" i="2"/>
  <c r="G324" i="2" s="1"/>
  <c r="Y324" i="2" s="1"/>
  <c r="B86" i="1"/>
  <c r="D87" i="1" s="1"/>
  <c r="C86" i="1"/>
  <c r="E87" i="1" s="1"/>
  <c r="N87" i="1" s="1"/>
  <c r="K324" i="2" l="1"/>
  <c r="B324" i="2" s="1"/>
  <c r="D325" i="2" s="1"/>
  <c r="H325" i="2" s="1"/>
  <c r="I325" i="2" s="1"/>
  <c r="Z325" i="2" s="1"/>
  <c r="N324" i="2"/>
  <c r="H87" i="1"/>
  <c r="I87" i="1" s="1"/>
  <c r="F325" i="2" l="1"/>
  <c r="G325" i="2" s="1"/>
  <c r="Y325" i="2" s="1"/>
  <c r="L325" i="2"/>
  <c r="C325" i="2" s="1"/>
  <c r="E326" i="2" s="1"/>
  <c r="J325" i="2"/>
  <c r="O87" i="1"/>
  <c r="J87" i="1"/>
  <c r="F87" i="1"/>
  <c r="G87" i="1" s="1"/>
  <c r="M87" i="1" s="1"/>
  <c r="N325" i="2" l="1"/>
  <c r="K325" i="2"/>
  <c r="B325" i="2" s="1"/>
  <c r="D326" i="2" s="1"/>
  <c r="H326" i="2" s="1"/>
  <c r="I326" i="2" s="1"/>
  <c r="Z326" i="2" s="1"/>
  <c r="B87" i="1"/>
  <c r="D88" i="1" s="1"/>
  <c r="C87" i="1"/>
  <c r="E88" i="1" s="1"/>
  <c r="N88" i="1" s="1"/>
  <c r="J326" i="2" l="1"/>
  <c r="L326" i="2"/>
  <c r="C326" i="2" s="1"/>
  <c r="E327" i="2" s="1"/>
  <c r="F326" i="2"/>
  <c r="G326" i="2" s="1"/>
  <c r="Y326" i="2" s="1"/>
  <c r="H88" i="1"/>
  <c r="I88" i="1" s="1"/>
  <c r="N326" i="2" l="1"/>
  <c r="K326" i="2"/>
  <c r="B326" i="2" s="1"/>
  <c r="D327" i="2" s="1"/>
  <c r="H327" i="2" s="1"/>
  <c r="I327" i="2" s="1"/>
  <c r="Z327" i="2" s="1"/>
  <c r="O88" i="1"/>
  <c r="F88" i="1"/>
  <c r="G88" i="1" s="1"/>
  <c r="M88" i="1" s="1"/>
  <c r="J88" i="1"/>
  <c r="L327" i="2" l="1"/>
  <c r="C327" i="2" s="1"/>
  <c r="E328" i="2" s="1"/>
  <c r="J327" i="2"/>
  <c r="F327" i="2"/>
  <c r="G327" i="2" s="1"/>
  <c r="Y327" i="2" s="1"/>
  <c r="B88" i="1"/>
  <c r="D89" i="1" s="1"/>
  <c r="C88" i="1"/>
  <c r="E89" i="1" s="1"/>
  <c r="N89" i="1" s="1"/>
  <c r="K327" i="2" l="1"/>
  <c r="B327" i="2" s="1"/>
  <c r="D328" i="2" s="1"/>
  <c r="H328" i="2" s="1"/>
  <c r="I328" i="2" s="1"/>
  <c r="Z328" i="2" s="1"/>
  <c r="N327" i="2"/>
  <c r="H89" i="1"/>
  <c r="I89" i="1" s="1"/>
  <c r="F328" i="2" l="1"/>
  <c r="G328" i="2" s="1"/>
  <c r="Y328" i="2" s="1"/>
  <c r="J328" i="2"/>
  <c r="L328" i="2"/>
  <c r="C328" i="2" s="1"/>
  <c r="E329" i="2" s="1"/>
  <c r="O89" i="1"/>
  <c r="J89" i="1"/>
  <c r="F89" i="1"/>
  <c r="G89" i="1" s="1"/>
  <c r="M89" i="1" s="1"/>
  <c r="K328" i="2" l="1"/>
  <c r="B328" i="2" s="1"/>
  <c r="D329" i="2" s="1"/>
  <c r="H329" i="2" s="1"/>
  <c r="I329" i="2" s="1"/>
  <c r="Z329" i="2" s="1"/>
  <c r="N328" i="2"/>
  <c r="B89" i="1"/>
  <c r="D90" i="1" s="1"/>
  <c r="C89" i="1"/>
  <c r="E90" i="1" s="1"/>
  <c r="N90" i="1" s="1"/>
  <c r="J329" i="2" l="1"/>
  <c r="F329" i="2"/>
  <c r="G329" i="2" s="1"/>
  <c r="Y329" i="2" s="1"/>
  <c r="L329" i="2"/>
  <c r="C329" i="2" s="1"/>
  <c r="E330" i="2" s="1"/>
  <c r="H90" i="1"/>
  <c r="I90" i="1" s="1"/>
  <c r="N329" i="2" l="1"/>
  <c r="K329" i="2"/>
  <c r="B329" i="2" s="1"/>
  <c r="D330" i="2" s="1"/>
  <c r="H330" i="2" s="1"/>
  <c r="I330" i="2" s="1"/>
  <c r="Z330" i="2" s="1"/>
  <c r="O90" i="1"/>
  <c r="J90" i="1"/>
  <c r="F90" i="1"/>
  <c r="G90" i="1" s="1"/>
  <c r="M90" i="1" s="1"/>
  <c r="J330" i="2" l="1"/>
  <c r="L330" i="2"/>
  <c r="C330" i="2" s="1"/>
  <c r="E331" i="2" s="1"/>
  <c r="F330" i="2"/>
  <c r="G330" i="2" s="1"/>
  <c r="Y330" i="2" s="1"/>
  <c r="B90" i="1"/>
  <c r="D91" i="1" s="1"/>
  <c r="C90" i="1"/>
  <c r="E91" i="1" s="1"/>
  <c r="N91" i="1" s="1"/>
  <c r="K330" i="2" l="1"/>
  <c r="B330" i="2" s="1"/>
  <c r="D331" i="2" s="1"/>
  <c r="H331" i="2" s="1"/>
  <c r="I331" i="2" s="1"/>
  <c r="Z331" i="2" s="1"/>
  <c r="N330" i="2"/>
  <c r="H91" i="1"/>
  <c r="I91" i="1" s="1"/>
  <c r="F331" i="2" l="1"/>
  <c r="G331" i="2" s="1"/>
  <c r="Y331" i="2" s="1"/>
  <c r="J331" i="2"/>
  <c r="L331" i="2"/>
  <c r="C331" i="2" s="1"/>
  <c r="E332" i="2" s="1"/>
  <c r="O91" i="1"/>
  <c r="F91" i="1"/>
  <c r="G91" i="1" s="1"/>
  <c r="M91" i="1" s="1"/>
  <c r="J91" i="1"/>
  <c r="N331" i="2" l="1"/>
  <c r="K331" i="2"/>
  <c r="B331" i="2" s="1"/>
  <c r="D332" i="2" s="1"/>
  <c r="H332" i="2" s="1"/>
  <c r="I332" i="2" s="1"/>
  <c r="Z332" i="2" s="1"/>
  <c r="C91" i="1"/>
  <c r="E92" i="1" s="1"/>
  <c r="N92" i="1" s="1"/>
  <c r="B91" i="1"/>
  <c r="D92" i="1" s="1"/>
  <c r="H92" i="1" s="1"/>
  <c r="I92" i="1" s="1"/>
  <c r="J332" i="2" l="1"/>
  <c r="L332" i="2"/>
  <c r="C332" i="2" s="1"/>
  <c r="E333" i="2" s="1"/>
  <c r="F332" i="2"/>
  <c r="G332" i="2" s="1"/>
  <c r="Y332" i="2" s="1"/>
  <c r="O92" i="1"/>
  <c r="J92" i="1"/>
  <c r="F92" i="1"/>
  <c r="G92" i="1" s="1"/>
  <c r="M92" i="1" s="1"/>
  <c r="K332" i="2" l="1"/>
  <c r="B332" i="2" s="1"/>
  <c r="D333" i="2" s="1"/>
  <c r="H333" i="2" s="1"/>
  <c r="I333" i="2" s="1"/>
  <c r="Z333" i="2" s="1"/>
  <c r="N332" i="2"/>
  <c r="C92" i="1"/>
  <c r="E93" i="1" s="1"/>
  <c r="N93" i="1" s="1"/>
  <c r="B92" i="1"/>
  <c r="D93" i="1" s="1"/>
  <c r="H93" i="1" s="1"/>
  <c r="I93" i="1" s="1"/>
  <c r="F333" i="2" l="1"/>
  <c r="G333" i="2" s="1"/>
  <c r="Y333" i="2" s="1"/>
  <c r="L333" i="2"/>
  <c r="C333" i="2" s="1"/>
  <c r="E334" i="2" s="1"/>
  <c r="J333" i="2"/>
  <c r="O93" i="1"/>
  <c r="J93" i="1"/>
  <c r="F93" i="1"/>
  <c r="G93" i="1" s="1"/>
  <c r="M93" i="1" s="1"/>
  <c r="N333" i="2" l="1"/>
  <c r="K333" i="2"/>
  <c r="B333" i="2" s="1"/>
  <c r="D334" i="2" s="1"/>
  <c r="H334" i="2" s="1"/>
  <c r="I334" i="2" s="1"/>
  <c r="Z334" i="2" s="1"/>
  <c r="C93" i="1"/>
  <c r="E94" i="1" s="1"/>
  <c r="N94" i="1" s="1"/>
  <c r="B93" i="1"/>
  <c r="D94" i="1" s="1"/>
  <c r="H94" i="1" s="1"/>
  <c r="I94" i="1" s="1"/>
  <c r="L334" i="2" l="1"/>
  <c r="C334" i="2" s="1"/>
  <c r="E335" i="2" s="1"/>
  <c r="F334" i="2"/>
  <c r="G334" i="2" s="1"/>
  <c r="Y334" i="2" s="1"/>
  <c r="J334" i="2"/>
  <c r="O94" i="1"/>
  <c r="F94" i="1"/>
  <c r="G94" i="1" s="1"/>
  <c r="M94" i="1" s="1"/>
  <c r="J94" i="1"/>
  <c r="N334" i="2" l="1"/>
  <c r="K334" i="2"/>
  <c r="B334" i="2" s="1"/>
  <c r="D335" i="2" s="1"/>
  <c r="H335" i="2" s="1"/>
  <c r="I335" i="2" s="1"/>
  <c r="Z335" i="2" s="1"/>
  <c r="C94" i="1"/>
  <c r="E95" i="1" s="1"/>
  <c r="N95" i="1" s="1"/>
  <c r="B94" i="1"/>
  <c r="D95" i="1" s="1"/>
  <c r="H95" i="1" s="1"/>
  <c r="I95" i="1" s="1"/>
  <c r="L335" i="2" l="1"/>
  <c r="C335" i="2" s="1"/>
  <c r="E336" i="2" s="1"/>
  <c r="J335" i="2"/>
  <c r="F335" i="2"/>
  <c r="G335" i="2" s="1"/>
  <c r="Y335" i="2" s="1"/>
  <c r="O95" i="1"/>
  <c r="F95" i="1"/>
  <c r="G95" i="1" s="1"/>
  <c r="M95" i="1" s="1"/>
  <c r="J95" i="1"/>
  <c r="K335" i="2" l="1"/>
  <c r="B335" i="2" s="1"/>
  <c r="D336" i="2" s="1"/>
  <c r="H336" i="2" s="1"/>
  <c r="I336" i="2" s="1"/>
  <c r="Z336" i="2" s="1"/>
  <c r="N335" i="2"/>
  <c r="C95" i="1"/>
  <c r="E96" i="1" s="1"/>
  <c r="N96" i="1" s="1"/>
  <c r="B95" i="1"/>
  <c r="D96" i="1" s="1"/>
  <c r="H96" i="1" s="1"/>
  <c r="I96" i="1" s="1"/>
  <c r="F336" i="2" l="1"/>
  <c r="G336" i="2" s="1"/>
  <c r="Y336" i="2" s="1"/>
  <c r="L336" i="2"/>
  <c r="C336" i="2" s="1"/>
  <c r="E337" i="2" s="1"/>
  <c r="J336" i="2"/>
  <c r="O96" i="1"/>
  <c r="F96" i="1"/>
  <c r="G96" i="1" s="1"/>
  <c r="M96" i="1" s="1"/>
  <c r="J96" i="1"/>
  <c r="N336" i="2" l="1"/>
  <c r="K336" i="2"/>
  <c r="B336" i="2" s="1"/>
  <c r="D337" i="2" s="1"/>
  <c r="H337" i="2" s="1"/>
  <c r="I337" i="2" s="1"/>
  <c r="Z337" i="2" s="1"/>
  <c r="C96" i="1"/>
  <c r="E97" i="1" s="1"/>
  <c r="N97" i="1" s="1"/>
  <c r="B96" i="1"/>
  <c r="D97" i="1" s="1"/>
  <c r="H97" i="1" s="1"/>
  <c r="I97" i="1" s="1"/>
  <c r="J337" i="2" l="1"/>
  <c r="L337" i="2"/>
  <c r="C337" i="2" s="1"/>
  <c r="E338" i="2" s="1"/>
  <c r="F337" i="2"/>
  <c r="G337" i="2" s="1"/>
  <c r="Y337" i="2" s="1"/>
  <c r="O97" i="1"/>
  <c r="F97" i="1"/>
  <c r="G97" i="1" s="1"/>
  <c r="M97" i="1" s="1"/>
  <c r="J97" i="1"/>
  <c r="K337" i="2" l="1"/>
  <c r="B337" i="2" s="1"/>
  <c r="D338" i="2" s="1"/>
  <c r="H338" i="2" s="1"/>
  <c r="I338" i="2" s="1"/>
  <c r="Z338" i="2" s="1"/>
  <c r="N337" i="2"/>
  <c r="C97" i="1"/>
  <c r="E98" i="1" s="1"/>
  <c r="N98" i="1" s="1"/>
  <c r="B97" i="1"/>
  <c r="D98" i="1" s="1"/>
  <c r="H98" i="1" s="1"/>
  <c r="I98" i="1" s="1"/>
  <c r="F338" i="2" l="1"/>
  <c r="G338" i="2" s="1"/>
  <c r="Y338" i="2" s="1"/>
  <c r="L338" i="2"/>
  <c r="C338" i="2" s="1"/>
  <c r="E339" i="2" s="1"/>
  <c r="J338" i="2"/>
  <c r="O98" i="1"/>
  <c r="J98" i="1"/>
  <c r="F98" i="1"/>
  <c r="G98" i="1" s="1"/>
  <c r="M98" i="1" s="1"/>
  <c r="N338" i="2" l="1"/>
  <c r="K338" i="2"/>
  <c r="B338" i="2" s="1"/>
  <c r="D339" i="2" s="1"/>
  <c r="H339" i="2" s="1"/>
  <c r="I339" i="2" s="1"/>
  <c r="Z339" i="2" s="1"/>
  <c r="B98" i="1"/>
  <c r="D99" i="1" s="1"/>
  <c r="C98" i="1"/>
  <c r="E99" i="1" s="1"/>
  <c r="N99" i="1" s="1"/>
  <c r="J339" i="2" l="1"/>
  <c r="L339" i="2"/>
  <c r="C339" i="2" s="1"/>
  <c r="E340" i="2" s="1"/>
  <c r="F339" i="2"/>
  <c r="G339" i="2" s="1"/>
  <c r="Y339" i="2" s="1"/>
  <c r="H99" i="1"/>
  <c r="I99" i="1" s="1"/>
  <c r="K339" i="2" l="1"/>
  <c r="B339" i="2" s="1"/>
  <c r="D340" i="2" s="1"/>
  <c r="H340" i="2" s="1"/>
  <c r="I340" i="2" s="1"/>
  <c r="Z340" i="2" s="1"/>
  <c r="N339" i="2"/>
  <c r="O99" i="1"/>
  <c r="F99" i="1"/>
  <c r="G99" i="1" s="1"/>
  <c r="M99" i="1" s="1"/>
  <c r="J99" i="1"/>
  <c r="F340" i="2" l="1"/>
  <c r="G340" i="2" s="1"/>
  <c r="Y340" i="2" s="1"/>
  <c r="J340" i="2"/>
  <c r="L340" i="2"/>
  <c r="C340" i="2" s="1"/>
  <c r="E341" i="2" s="1"/>
  <c r="B99" i="1"/>
  <c r="D100" i="1" s="1"/>
  <c r="C99" i="1"/>
  <c r="E100" i="1" s="1"/>
  <c r="N100" i="1" s="1"/>
  <c r="K340" i="2" l="1"/>
  <c r="B340" i="2" s="1"/>
  <c r="D341" i="2" s="1"/>
  <c r="H341" i="2" s="1"/>
  <c r="I341" i="2" s="1"/>
  <c r="Z341" i="2" s="1"/>
  <c r="N340" i="2"/>
  <c r="H100" i="1"/>
  <c r="I100" i="1" s="1"/>
  <c r="F341" i="2" l="1"/>
  <c r="G341" i="2" s="1"/>
  <c r="Y341" i="2" s="1"/>
  <c r="L341" i="2"/>
  <c r="C341" i="2" s="1"/>
  <c r="E342" i="2" s="1"/>
  <c r="J341" i="2"/>
  <c r="O100" i="1"/>
  <c r="F100" i="1"/>
  <c r="G100" i="1" s="1"/>
  <c r="M100" i="1" s="1"/>
  <c r="J100" i="1"/>
  <c r="K341" i="2" l="1"/>
  <c r="B341" i="2" s="1"/>
  <c r="D342" i="2" s="1"/>
  <c r="H342" i="2" s="1"/>
  <c r="I342" i="2" s="1"/>
  <c r="Z342" i="2" s="1"/>
  <c r="N341" i="2"/>
  <c r="C100" i="1"/>
  <c r="E101" i="1" s="1"/>
  <c r="N101" i="1" s="1"/>
  <c r="B100" i="1"/>
  <c r="D101" i="1" s="1"/>
  <c r="H101" i="1" s="1"/>
  <c r="I101" i="1" s="1"/>
  <c r="F342" i="2" l="1"/>
  <c r="G342" i="2" s="1"/>
  <c r="Y342" i="2" s="1"/>
  <c r="L342" i="2"/>
  <c r="C342" i="2" s="1"/>
  <c r="E343" i="2" s="1"/>
  <c r="J342" i="2"/>
  <c r="O101" i="1"/>
  <c r="F101" i="1"/>
  <c r="G101" i="1" s="1"/>
  <c r="M101" i="1" s="1"/>
  <c r="J101" i="1"/>
  <c r="N342" i="2" l="1"/>
  <c r="K342" i="2"/>
  <c r="B342" i="2" s="1"/>
  <c r="D343" i="2" s="1"/>
  <c r="H343" i="2" s="1"/>
  <c r="I343" i="2" s="1"/>
  <c r="Z343" i="2" s="1"/>
  <c r="B101" i="1"/>
  <c r="D102" i="1" s="1"/>
  <c r="C101" i="1"/>
  <c r="E102" i="1" s="1"/>
  <c r="N102" i="1" s="1"/>
  <c r="J343" i="2" l="1"/>
  <c r="L343" i="2"/>
  <c r="C343" i="2" s="1"/>
  <c r="E344" i="2" s="1"/>
  <c r="F343" i="2"/>
  <c r="G343" i="2" s="1"/>
  <c r="Y343" i="2" s="1"/>
  <c r="H102" i="1"/>
  <c r="I102" i="1" s="1"/>
  <c r="K343" i="2" l="1"/>
  <c r="B343" i="2" s="1"/>
  <c r="D344" i="2" s="1"/>
  <c r="H344" i="2" s="1"/>
  <c r="I344" i="2" s="1"/>
  <c r="Z344" i="2" s="1"/>
  <c r="N343" i="2"/>
  <c r="O102" i="1"/>
  <c r="F102" i="1"/>
  <c r="G102" i="1" s="1"/>
  <c r="M102" i="1" s="1"/>
  <c r="J102" i="1"/>
  <c r="L344" i="2" l="1"/>
  <c r="C344" i="2" s="1"/>
  <c r="E345" i="2" s="1"/>
  <c r="F344" i="2"/>
  <c r="G344" i="2" s="1"/>
  <c r="Y344" i="2" s="1"/>
  <c r="J344" i="2"/>
  <c r="C102" i="1"/>
  <c r="E103" i="1" s="1"/>
  <c r="N103" i="1" s="1"/>
  <c r="B102" i="1"/>
  <c r="D103" i="1" s="1"/>
  <c r="H103" i="1" s="1"/>
  <c r="I103" i="1" s="1"/>
  <c r="N344" i="2" l="1"/>
  <c r="K344" i="2"/>
  <c r="B344" i="2" s="1"/>
  <c r="D345" i="2" s="1"/>
  <c r="H345" i="2" s="1"/>
  <c r="I345" i="2" s="1"/>
  <c r="Z345" i="2" s="1"/>
  <c r="O103" i="1"/>
  <c r="J103" i="1"/>
  <c r="F103" i="1"/>
  <c r="G103" i="1" s="1"/>
  <c r="M103" i="1" s="1"/>
  <c r="F345" i="2" l="1"/>
  <c r="G345" i="2" s="1"/>
  <c r="Y345" i="2" s="1"/>
  <c r="J345" i="2"/>
  <c r="L345" i="2"/>
  <c r="C345" i="2" s="1"/>
  <c r="E346" i="2" s="1"/>
  <c r="B103" i="1"/>
  <c r="D104" i="1" s="1"/>
  <c r="C103" i="1"/>
  <c r="E104" i="1" s="1"/>
  <c r="N104" i="1" s="1"/>
  <c r="N345" i="2" l="1"/>
  <c r="K345" i="2"/>
  <c r="B345" i="2" s="1"/>
  <c r="D346" i="2" s="1"/>
  <c r="H346" i="2" s="1"/>
  <c r="I346" i="2" s="1"/>
  <c r="Z346" i="2" s="1"/>
  <c r="H104" i="1"/>
  <c r="I104" i="1" s="1"/>
  <c r="J346" i="2" l="1"/>
  <c r="L346" i="2"/>
  <c r="C346" i="2" s="1"/>
  <c r="E347" i="2" s="1"/>
  <c r="F346" i="2"/>
  <c r="G346" i="2" s="1"/>
  <c r="Y346" i="2" s="1"/>
  <c r="O104" i="1"/>
  <c r="J104" i="1"/>
  <c r="F104" i="1"/>
  <c r="G104" i="1" s="1"/>
  <c r="M104" i="1" s="1"/>
  <c r="K346" i="2" l="1"/>
  <c r="B346" i="2" s="1"/>
  <c r="D347" i="2" s="1"/>
  <c r="H347" i="2" s="1"/>
  <c r="I347" i="2" s="1"/>
  <c r="Z347" i="2" s="1"/>
  <c r="N346" i="2"/>
  <c r="B104" i="1"/>
  <c r="D105" i="1" s="1"/>
  <c r="C104" i="1"/>
  <c r="E105" i="1" s="1"/>
  <c r="N105" i="1" s="1"/>
  <c r="F347" i="2" l="1"/>
  <c r="G347" i="2" s="1"/>
  <c r="Y347" i="2" s="1"/>
  <c r="L347" i="2"/>
  <c r="C347" i="2" s="1"/>
  <c r="E348" i="2" s="1"/>
  <c r="J347" i="2"/>
  <c r="H105" i="1"/>
  <c r="I105" i="1" s="1"/>
  <c r="N347" i="2" l="1"/>
  <c r="K347" i="2"/>
  <c r="B347" i="2" s="1"/>
  <c r="D348" i="2" s="1"/>
  <c r="H348" i="2" s="1"/>
  <c r="I348" i="2" s="1"/>
  <c r="Z348" i="2" s="1"/>
  <c r="O105" i="1"/>
  <c r="J105" i="1"/>
  <c r="F105" i="1"/>
  <c r="G105" i="1" s="1"/>
  <c r="M105" i="1" s="1"/>
  <c r="J348" i="2" l="1"/>
  <c r="F348" i="2"/>
  <c r="G348" i="2" s="1"/>
  <c r="Y348" i="2" s="1"/>
  <c r="L348" i="2"/>
  <c r="C348" i="2" s="1"/>
  <c r="E349" i="2" s="1"/>
  <c r="B105" i="1"/>
  <c r="D106" i="1" s="1"/>
  <c r="C105" i="1"/>
  <c r="E106" i="1" s="1"/>
  <c r="N106" i="1" s="1"/>
  <c r="K348" i="2" l="1"/>
  <c r="B348" i="2" s="1"/>
  <c r="D349" i="2" s="1"/>
  <c r="H349" i="2" s="1"/>
  <c r="I349" i="2" s="1"/>
  <c r="Z349" i="2" s="1"/>
  <c r="N348" i="2"/>
  <c r="H106" i="1"/>
  <c r="I106" i="1" s="1"/>
  <c r="L349" i="2" l="1"/>
  <c r="C349" i="2" s="1"/>
  <c r="E350" i="2" s="1"/>
  <c r="J349" i="2"/>
  <c r="F349" i="2"/>
  <c r="G349" i="2" s="1"/>
  <c r="Y349" i="2" s="1"/>
  <c r="O106" i="1"/>
  <c r="J106" i="1"/>
  <c r="F106" i="1"/>
  <c r="G106" i="1" s="1"/>
  <c r="M106" i="1" s="1"/>
  <c r="K349" i="2" l="1"/>
  <c r="B349" i="2" s="1"/>
  <c r="D350" i="2" s="1"/>
  <c r="H350" i="2" s="1"/>
  <c r="I350" i="2" s="1"/>
  <c r="Z350" i="2" s="1"/>
  <c r="N349" i="2"/>
  <c r="B106" i="1"/>
  <c r="D107" i="1" s="1"/>
  <c r="C106" i="1"/>
  <c r="E107" i="1" s="1"/>
  <c r="N107" i="1" s="1"/>
  <c r="F350" i="2" l="1"/>
  <c r="G350" i="2" s="1"/>
  <c r="Y350" i="2" s="1"/>
  <c r="L350" i="2"/>
  <c r="C350" i="2" s="1"/>
  <c r="E351" i="2" s="1"/>
  <c r="J350" i="2"/>
  <c r="H107" i="1"/>
  <c r="I107" i="1" s="1"/>
  <c r="N350" i="2" l="1"/>
  <c r="K350" i="2"/>
  <c r="B350" i="2" s="1"/>
  <c r="D351" i="2" s="1"/>
  <c r="H351" i="2" s="1"/>
  <c r="I351" i="2" s="1"/>
  <c r="Z351" i="2" s="1"/>
  <c r="O107" i="1"/>
  <c r="F107" i="1"/>
  <c r="G107" i="1" s="1"/>
  <c r="M107" i="1" s="1"/>
  <c r="J107" i="1"/>
  <c r="J351" i="2" l="1"/>
  <c r="L351" i="2"/>
  <c r="C351" i="2" s="1"/>
  <c r="E352" i="2" s="1"/>
  <c r="F351" i="2"/>
  <c r="G351" i="2" s="1"/>
  <c r="Y351" i="2" s="1"/>
  <c r="C107" i="1"/>
  <c r="E108" i="1" s="1"/>
  <c r="N108" i="1" s="1"/>
  <c r="B107" i="1"/>
  <c r="D108" i="1" s="1"/>
  <c r="H108" i="1" s="1"/>
  <c r="I108" i="1" s="1"/>
  <c r="K351" i="2" l="1"/>
  <c r="B351" i="2" s="1"/>
  <c r="D352" i="2" s="1"/>
  <c r="H352" i="2" s="1"/>
  <c r="I352" i="2" s="1"/>
  <c r="Z352" i="2" s="1"/>
  <c r="N351" i="2"/>
  <c r="O108" i="1"/>
  <c r="J108" i="1"/>
  <c r="F108" i="1"/>
  <c r="G108" i="1" s="1"/>
  <c r="M108" i="1" s="1"/>
  <c r="L352" i="2" l="1"/>
  <c r="C352" i="2" s="1"/>
  <c r="E353" i="2" s="1"/>
  <c r="F352" i="2"/>
  <c r="G352" i="2" s="1"/>
  <c r="Y352" i="2" s="1"/>
  <c r="J352" i="2"/>
  <c r="B108" i="1"/>
  <c r="D109" i="1" s="1"/>
  <c r="C108" i="1"/>
  <c r="E109" i="1" s="1"/>
  <c r="N109" i="1" s="1"/>
  <c r="N352" i="2" l="1"/>
  <c r="K352" i="2"/>
  <c r="B352" i="2" s="1"/>
  <c r="D353" i="2" s="1"/>
  <c r="H353" i="2" s="1"/>
  <c r="I353" i="2" s="1"/>
  <c r="Z353" i="2" s="1"/>
  <c r="H109" i="1"/>
  <c r="I109" i="1" s="1"/>
  <c r="F353" i="2" l="1"/>
  <c r="G353" i="2" s="1"/>
  <c r="Y353" i="2" s="1"/>
  <c r="J353" i="2"/>
  <c r="L353" i="2"/>
  <c r="C353" i="2" s="1"/>
  <c r="E354" i="2" s="1"/>
  <c r="O109" i="1"/>
  <c r="F109" i="1"/>
  <c r="G109" i="1" s="1"/>
  <c r="M109" i="1" s="1"/>
  <c r="J109" i="1"/>
  <c r="N353" i="2" l="1"/>
  <c r="K353" i="2"/>
  <c r="B353" i="2" s="1"/>
  <c r="D354" i="2" s="1"/>
  <c r="H354" i="2" s="1"/>
  <c r="I354" i="2" s="1"/>
  <c r="Z354" i="2" s="1"/>
  <c r="B109" i="1"/>
  <c r="D110" i="1" s="1"/>
  <c r="C109" i="1"/>
  <c r="E110" i="1" s="1"/>
  <c r="N110" i="1" s="1"/>
  <c r="J354" i="2" l="1"/>
  <c r="L354" i="2"/>
  <c r="C354" i="2" s="1"/>
  <c r="E355" i="2" s="1"/>
  <c r="F354" i="2"/>
  <c r="G354" i="2" s="1"/>
  <c r="Y354" i="2" s="1"/>
  <c r="H110" i="1"/>
  <c r="I110" i="1" s="1"/>
  <c r="K354" i="2" l="1"/>
  <c r="B354" i="2" s="1"/>
  <c r="D355" i="2" s="1"/>
  <c r="H355" i="2" s="1"/>
  <c r="I355" i="2" s="1"/>
  <c r="Z355" i="2" s="1"/>
  <c r="N354" i="2"/>
  <c r="O110" i="1"/>
  <c r="J110" i="1"/>
  <c r="F110" i="1"/>
  <c r="G110" i="1" s="1"/>
  <c r="M110" i="1" s="1"/>
  <c r="F355" i="2" l="1"/>
  <c r="G355" i="2" s="1"/>
  <c r="Y355" i="2" s="1"/>
  <c r="L355" i="2"/>
  <c r="C355" i="2" s="1"/>
  <c r="E356" i="2" s="1"/>
  <c r="J355" i="2"/>
  <c r="B110" i="1"/>
  <c r="D111" i="1" s="1"/>
  <c r="C110" i="1"/>
  <c r="E111" i="1" s="1"/>
  <c r="N111" i="1" s="1"/>
  <c r="N355" i="2" l="1"/>
  <c r="K355" i="2"/>
  <c r="B355" i="2" s="1"/>
  <c r="D356" i="2" s="1"/>
  <c r="H356" i="2" s="1"/>
  <c r="I356" i="2" s="1"/>
  <c r="Z356" i="2" s="1"/>
  <c r="H111" i="1"/>
  <c r="I111" i="1" s="1"/>
  <c r="J356" i="2" l="1"/>
  <c r="F356" i="2"/>
  <c r="G356" i="2" s="1"/>
  <c r="Y356" i="2" s="1"/>
  <c r="L356" i="2"/>
  <c r="C356" i="2" s="1"/>
  <c r="E357" i="2" s="1"/>
  <c r="O111" i="1"/>
  <c r="J111" i="1"/>
  <c r="F111" i="1"/>
  <c r="G111" i="1" s="1"/>
  <c r="M111" i="1" s="1"/>
  <c r="K356" i="2" l="1"/>
  <c r="B356" i="2" s="1"/>
  <c r="D357" i="2" s="1"/>
  <c r="H357" i="2" s="1"/>
  <c r="I357" i="2" s="1"/>
  <c r="Z357" i="2" s="1"/>
  <c r="N356" i="2"/>
  <c r="B111" i="1"/>
  <c r="D112" i="1" s="1"/>
  <c r="C111" i="1"/>
  <c r="E112" i="1" s="1"/>
  <c r="N112" i="1" s="1"/>
  <c r="L357" i="2" l="1"/>
  <c r="C357" i="2" s="1"/>
  <c r="E358" i="2" s="1"/>
  <c r="J357" i="2"/>
  <c r="F357" i="2"/>
  <c r="G357" i="2" s="1"/>
  <c r="Y357" i="2" s="1"/>
  <c r="H112" i="1"/>
  <c r="I112" i="1" s="1"/>
  <c r="K357" i="2" l="1"/>
  <c r="B357" i="2" s="1"/>
  <c r="D358" i="2" s="1"/>
  <c r="H358" i="2" s="1"/>
  <c r="I358" i="2" s="1"/>
  <c r="Z358" i="2" s="1"/>
  <c r="N357" i="2"/>
  <c r="O112" i="1"/>
  <c r="J112" i="1"/>
  <c r="F112" i="1"/>
  <c r="G112" i="1" s="1"/>
  <c r="M112" i="1" s="1"/>
  <c r="F358" i="2" l="1"/>
  <c r="G358" i="2" s="1"/>
  <c r="Y358" i="2" s="1"/>
  <c r="J358" i="2"/>
  <c r="L358" i="2"/>
  <c r="C358" i="2" s="1"/>
  <c r="E359" i="2" s="1"/>
  <c r="C112" i="1"/>
  <c r="E113" i="1" s="1"/>
  <c r="N113" i="1" s="1"/>
  <c r="B112" i="1"/>
  <c r="D113" i="1" s="1"/>
  <c r="H113" i="1" s="1"/>
  <c r="I113" i="1" s="1"/>
  <c r="N358" i="2" l="1"/>
  <c r="K358" i="2"/>
  <c r="B358" i="2" s="1"/>
  <c r="D359" i="2" s="1"/>
  <c r="H359" i="2" s="1"/>
  <c r="I359" i="2" s="1"/>
  <c r="Z359" i="2" s="1"/>
  <c r="O113" i="1"/>
  <c r="F113" i="1"/>
  <c r="G113" i="1" s="1"/>
  <c r="M113" i="1" s="1"/>
  <c r="J113" i="1"/>
  <c r="J359" i="2" l="1"/>
  <c r="L359" i="2"/>
  <c r="C359" i="2" s="1"/>
  <c r="E360" i="2" s="1"/>
  <c r="F359" i="2"/>
  <c r="G359" i="2" s="1"/>
  <c r="Y359" i="2" s="1"/>
  <c r="B113" i="1"/>
  <c r="D114" i="1" s="1"/>
  <c r="C113" i="1"/>
  <c r="E114" i="1" s="1"/>
  <c r="N114" i="1" s="1"/>
  <c r="K359" i="2" l="1"/>
  <c r="B359" i="2" s="1"/>
  <c r="D360" i="2" s="1"/>
  <c r="H360" i="2" s="1"/>
  <c r="I360" i="2" s="1"/>
  <c r="Z360" i="2" s="1"/>
  <c r="N359" i="2"/>
  <c r="H114" i="1"/>
  <c r="I114" i="1" s="1"/>
  <c r="F360" i="2" l="1"/>
  <c r="G360" i="2" s="1"/>
  <c r="Y360" i="2" s="1"/>
  <c r="J360" i="2"/>
  <c r="L360" i="2"/>
  <c r="C360" i="2" s="1"/>
  <c r="E361" i="2" s="1"/>
  <c r="O114" i="1"/>
  <c r="J114" i="1"/>
  <c r="F114" i="1"/>
  <c r="G114" i="1" s="1"/>
  <c r="M114" i="1" s="1"/>
  <c r="N360" i="2" l="1"/>
  <c r="K360" i="2"/>
  <c r="B360" i="2" s="1"/>
  <c r="D361" i="2" s="1"/>
  <c r="H361" i="2" s="1"/>
  <c r="I361" i="2" s="1"/>
  <c r="Z361" i="2" s="1"/>
  <c r="B114" i="1"/>
  <c r="D115" i="1" s="1"/>
  <c r="C114" i="1"/>
  <c r="E115" i="1" s="1"/>
  <c r="N115" i="1" s="1"/>
  <c r="F361" i="2" l="1"/>
  <c r="G361" i="2" s="1"/>
  <c r="Y361" i="2" s="1"/>
  <c r="L361" i="2"/>
  <c r="C361" i="2" s="1"/>
  <c r="E362" i="2" s="1"/>
  <c r="J361" i="2"/>
  <c r="H115" i="1"/>
  <c r="I115" i="1" s="1"/>
  <c r="N361" i="2" l="1"/>
  <c r="K361" i="2"/>
  <c r="B361" i="2" s="1"/>
  <c r="D362" i="2" s="1"/>
  <c r="H362" i="2" s="1"/>
  <c r="I362" i="2" s="1"/>
  <c r="Z362" i="2" s="1"/>
  <c r="O115" i="1"/>
  <c r="J115" i="1"/>
  <c r="F115" i="1"/>
  <c r="G115" i="1" s="1"/>
  <c r="M115" i="1" s="1"/>
  <c r="J362" i="2" l="1"/>
  <c r="L362" i="2"/>
  <c r="C362" i="2" s="1"/>
  <c r="E363" i="2" s="1"/>
  <c r="F362" i="2"/>
  <c r="G362" i="2" s="1"/>
  <c r="Y362" i="2" s="1"/>
  <c r="B115" i="1"/>
  <c r="D116" i="1" s="1"/>
  <c r="C115" i="1"/>
  <c r="E116" i="1" s="1"/>
  <c r="N116" i="1" s="1"/>
  <c r="K362" i="2" l="1"/>
  <c r="B362" i="2" s="1"/>
  <c r="D363" i="2" s="1"/>
  <c r="H363" i="2" s="1"/>
  <c r="I363" i="2" s="1"/>
  <c r="Z363" i="2" s="1"/>
  <c r="N362" i="2"/>
  <c r="H116" i="1"/>
  <c r="I116" i="1" s="1"/>
  <c r="F363" i="2" l="1"/>
  <c r="G363" i="2" s="1"/>
  <c r="Y363" i="2" s="1"/>
  <c r="L363" i="2"/>
  <c r="C363" i="2" s="1"/>
  <c r="E364" i="2" s="1"/>
  <c r="J363" i="2"/>
  <c r="O116" i="1"/>
  <c r="J116" i="1"/>
  <c r="F116" i="1"/>
  <c r="G116" i="1" s="1"/>
  <c r="M116" i="1" s="1"/>
  <c r="N363" i="2" l="1"/>
  <c r="K363" i="2"/>
  <c r="B363" i="2" s="1"/>
  <c r="D364" i="2" s="1"/>
  <c r="H364" i="2" s="1"/>
  <c r="I364" i="2" s="1"/>
  <c r="Z364" i="2" s="1"/>
  <c r="B116" i="1"/>
  <c r="D117" i="1" s="1"/>
  <c r="C116" i="1"/>
  <c r="E117" i="1" s="1"/>
  <c r="N117" i="1" s="1"/>
  <c r="J364" i="2" l="1"/>
  <c r="F364" i="2"/>
  <c r="G364" i="2" s="1"/>
  <c r="Y364" i="2" s="1"/>
  <c r="L364" i="2"/>
  <c r="C364" i="2" s="1"/>
  <c r="E365" i="2" s="1"/>
  <c r="H117" i="1"/>
  <c r="I117" i="1" s="1"/>
  <c r="N364" i="2" l="1"/>
  <c r="K364" i="2"/>
  <c r="B364" i="2" s="1"/>
  <c r="D365" i="2" s="1"/>
  <c r="H365" i="2" s="1"/>
  <c r="I365" i="2" s="1"/>
  <c r="Z365" i="2" s="1"/>
  <c r="O117" i="1"/>
  <c r="J117" i="1"/>
  <c r="F117" i="1"/>
  <c r="G117" i="1" s="1"/>
  <c r="M117" i="1" s="1"/>
  <c r="L365" i="2" l="1"/>
  <c r="C365" i="2" s="1"/>
  <c r="E366" i="2" s="1"/>
  <c r="F365" i="2"/>
  <c r="G365" i="2" s="1"/>
  <c r="Y365" i="2" s="1"/>
  <c r="J365" i="2"/>
  <c r="B117" i="1"/>
  <c r="D118" i="1" s="1"/>
  <c r="C117" i="1"/>
  <c r="E118" i="1" s="1"/>
  <c r="N118" i="1" s="1"/>
  <c r="K365" i="2" l="1"/>
  <c r="B365" i="2" s="1"/>
  <c r="D366" i="2" s="1"/>
  <c r="H366" i="2" s="1"/>
  <c r="I366" i="2" s="1"/>
  <c r="Z366" i="2" s="1"/>
  <c r="N365" i="2"/>
  <c r="H118" i="1"/>
  <c r="I118" i="1" s="1"/>
  <c r="F366" i="2" l="1"/>
  <c r="G366" i="2" s="1"/>
  <c r="Y366" i="2" s="1"/>
  <c r="L366" i="2"/>
  <c r="C366" i="2" s="1"/>
  <c r="E367" i="2" s="1"/>
  <c r="J366" i="2"/>
  <c r="O118" i="1"/>
  <c r="J118" i="1"/>
  <c r="F118" i="1"/>
  <c r="G118" i="1" s="1"/>
  <c r="M118" i="1" s="1"/>
  <c r="N366" i="2" l="1"/>
  <c r="K366" i="2"/>
  <c r="B366" i="2" s="1"/>
  <c r="D367" i="2" s="1"/>
  <c r="H367" i="2" s="1"/>
  <c r="I367" i="2" s="1"/>
  <c r="Z367" i="2" s="1"/>
  <c r="B118" i="1"/>
  <c r="D119" i="1" s="1"/>
  <c r="C118" i="1"/>
  <c r="E119" i="1" s="1"/>
  <c r="N119" i="1" s="1"/>
  <c r="J367" i="2" l="1"/>
  <c r="L367" i="2"/>
  <c r="C367" i="2" s="1"/>
  <c r="E368" i="2" s="1"/>
  <c r="F367" i="2"/>
  <c r="G367" i="2" s="1"/>
  <c r="Y367" i="2" s="1"/>
  <c r="H119" i="1"/>
  <c r="I119" i="1" s="1"/>
  <c r="K367" i="2" l="1"/>
  <c r="B367" i="2" s="1"/>
  <c r="D368" i="2" s="1"/>
  <c r="H368" i="2" s="1"/>
  <c r="I368" i="2" s="1"/>
  <c r="Z368" i="2" s="1"/>
  <c r="N367" i="2"/>
  <c r="O119" i="1"/>
  <c r="J119" i="1"/>
  <c r="F119" i="1"/>
  <c r="G119" i="1" s="1"/>
  <c r="M119" i="1" s="1"/>
  <c r="L368" i="2" l="1"/>
  <c r="C368" i="2" s="1"/>
  <c r="E369" i="2" s="1"/>
  <c r="F368" i="2"/>
  <c r="G368" i="2" s="1"/>
  <c r="Y368" i="2" s="1"/>
  <c r="J368" i="2"/>
  <c r="B119" i="1"/>
  <c r="D120" i="1" s="1"/>
  <c r="C119" i="1"/>
  <c r="E120" i="1" s="1"/>
  <c r="N120" i="1" s="1"/>
  <c r="N368" i="2" l="1"/>
  <c r="K368" i="2"/>
  <c r="B368" i="2" s="1"/>
  <c r="D369" i="2" s="1"/>
  <c r="H369" i="2" s="1"/>
  <c r="I369" i="2" s="1"/>
  <c r="Z369" i="2" s="1"/>
  <c r="H120" i="1"/>
  <c r="I120" i="1" s="1"/>
  <c r="L369" i="2" l="1"/>
  <c r="C369" i="2" s="1"/>
  <c r="E370" i="2" s="1"/>
  <c r="F369" i="2"/>
  <c r="G369" i="2" s="1"/>
  <c r="Y369" i="2" s="1"/>
  <c r="J369" i="2"/>
  <c r="O120" i="1"/>
  <c r="J120" i="1"/>
  <c r="F120" i="1"/>
  <c r="G120" i="1" s="1"/>
  <c r="M120" i="1" s="1"/>
  <c r="N369" i="2" l="1"/>
  <c r="K369" i="2"/>
  <c r="B369" i="2" s="1"/>
  <c r="D370" i="2" s="1"/>
  <c r="H370" i="2" s="1"/>
  <c r="I370" i="2" s="1"/>
  <c r="Z370" i="2" s="1"/>
  <c r="C120" i="1"/>
  <c r="E121" i="1" s="1"/>
  <c r="N121" i="1" s="1"/>
  <c r="B120" i="1"/>
  <c r="D121" i="1" s="1"/>
  <c r="H121" i="1" s="1"/>
  <c r="I121" i="1" s="1"/>
  <c r="J370" i="2" l="1"/>
  <c r="L370" i="2"/>
  <c r="C370" i="2" s="1"/>
  <c r="E371" i="2" s="1"/>
  <c r="F370" i="2"/>
  <c r="G370" i="2" s="1"/>
  <c r="Y370" i="2" s="1"/>
  <c r="O121" i="1"/>
  <c r="J121" i="1"/>
  <c r="F121" i="1"/>
  <c r="G121" i="1" s="1"/>
  <c r="M121" i="1" s="1"/>
  <c r="K370" i="2" l="1"/>
  <c r="B370" i="2" s="1"/>
  <c r="D371" i="2" s="1"/>
  <c r="H371" i="2" s="1"/>
  <c r="I371" i="2" s="1"/>
  <c r="Z371" i="2" s="1"/>
  <c r="N370" i="2"/>
  <c r="B121" i="1"/>
  <c r="D122" i="1" s="1"/>
  <c r="C121" i="1"/>
  <c r="E122" i="1" s="1"/>
  <c r="N122" i="1" s="1"/>
  <c r="F371" i="2" l="1"/>
  <c r="G371" i="2" s="1"/>
  <c r="Y371" i="2" s="1"/>
  <c r="J371" i="2"/>
  <c r="L371" i="2"/>
  <c r="C371" i="2" s="1"/>
  <c r="E372" i="2" s="1"/>
  <c r="H122" i="1"/>
  <c r="I122" i="1" s="1"/>
  <c r="N371" i="2" l="1"/>
  <c r="K371" i="2"/>
  <c r="B371" i="2" s="1"/>
  <c r="D372" i="2" s="1"/>
  <c r="H372" i="2" s="1"/>
  <c r="I372" i="2" s="1"/>
  <c r="Z372" i="2" s="1"/>
  <c r="O122" i="1"/>
  <c r="J122" i="1"/>
  <c r="F122" i="1"/>
  <c r="G122" i="1" s="1"/>
  <c r="M122" i="1" s="1"/>
  <c r="F372" i="2" l="1"/>
  <c r="G372" i="2" s="1"/>
  <c r="Y372" i="2" s="1"/>
  <c r="J372" i="2"/>
  <c r="L372" i="2"/>
  <c r="C372" i="2" s="1"/>
  <c r="E373" i="2" s="1"/>
  <c r="B122" i="1"/>
  <c r="D123" i="1" s="1"/>
  <c r="C122" i="1"/>
  <c r="E123" i="1" s="1"/>
  <c r="N123" i="1" s="1"/>
  <c r="K372" i="2" l="1"/>
  <c r="B372" i="2" s="1"/>
  <c r="D373" i="2" s="1"/>
  <c r="H373" i="2" s="1"/>
  <c r="I373" i="2" s="1"/>
  <c r="Z373" i="2" s="1"/>
  <c r="N372" i="2"/>
  <c r="H123" i="1"/>
  <c r="I123" i="1" s="1"/>
  <c r="L373" i="2" l="1"/>
  <c r="C373" i="2" s="1"/>
  <c r="E374" i="2" s="1"/>
  <c r="F373" i="2"/>
  <c r="G373" i="2" s="1"/>
  <c r="Y373" i="2" s="1"/>
  <c r="J373" i="2"/>
  <c r="O123" i="1"/>
  <c r="J123" i="1"/>
  <c r="F123" i="1"/>
  <c r="G123" i="1" s="1"/>
  <c r="M123" i="1" s="1"/>
  <c r="K373" i="2" l="1"/>
  <c r="B373" i="2" s="1"/>
  <c r="D374" i="2" s="1"/>
  <c r="H374" i="2" s="1"/>
  <c r="I374" i="2" s="1"/>
  <c r="Z374" i="2" s="1"/>
  <c r="N373" i="2"/>
  <c r="B123" i="1"/>
  <c r="D124" i="1" s="1"/>
  <c r="C123" i="1"/>
  <c r="E124" i="1" s="1"/>
  <c r="N124" i="1" s="1"/>
  <c r="F374" i="2" l="1"/>
  <c r="G374" i="2" s="1"/>
  <c r="Y374" i="2" s="1"/>
  <c r="L374" i="2"/>
  <c r="C374" i="2" s="1"/>
  <c r="E375" i="2" s="1"/>
  <c r="J374" i="2"/>
  <c r="H124" i="1"/>
  <c r="I124" i="1" s="1"/>
  <c r="N374" i="2" l="1"/>
  <c r="K374" i="2"/>
  <c r="B374" i="2" s="1"/>
  <c r="D375" i="2" s="1"/>
  <c r="H375" i="2" s="1"/>
  <c r="I375" i="2" s="1"/>
  <c r="Z375" i="2" s="1"/>
  <c r="O124" i="1"/>
  <c r="J124" i="1"/>
  <c r="F124" i="1"/>
  <c r="G124" i="1" s="1"/>
  <c r="M124" i="1" s="1"/>
  <c r="J375" i="2" l="1"/>
  <c r="L375" i="2"/>
  <c r="C375" i="2" s="1"/>
  <c r="E376" i="2" s="1"/>
  <c r="F375" i="2"/>
  <c r="G375" i="2" s="1"/>
  <c r="Y375" i="2" s="1"/>
  <c r="B124" i="1"/>
  <c r="D125" i="1" s="1"/>
  <c r="C124" i="1"/>
  <c r="E125" i="1" s="1"/>
  <c r="N125" i="1" s="1"/>
  <c r="K375" i="2" l="1"/>
  <c r="B375" i="2" s="1"/>
  <c r="D376" i="2" s="1"/>
  <c r="H376" i="2" s="1"/>
  <c r="I376" i="2" s="1"/>
  <c r="Z376" i="2" s="1"/>
  <c r="N375" i="2"/>
  <c r="H125" i="1"/>
  <c r="I125" i="1" s="1"/>
  <c r="L376" i="2" l="1"/>
  <c r="C376" i="2" s="1"/>
  <c r="E377" i="2" s="1"/>
  <c r="J376" i="2"/>
  <c r="F376" i="2"/>
  <c r="G376" i="2" s="1"/>
  <c r="Y376" i="2" s="1"/>
  <c r="O125" i="1"/>
  <c r="F125" i="1"/>
  <c r="G125" i="1" s="1"/>
  <c r="M125" i="1" s="1"/>
  <c r="J125" i="1"/>
  <c r="N376" i="2" l="1"/>
  <c r="K376" i="2"/>
  <c r="B376" i="2" s="1"/>
  <c r="D377" i="2" s="1"/>
  <c r="H377" i="2" s="1"/>
  <c r="I377" i="2" s="1"/>
  <c r="Z377" i="2" s="1"/>
  <c r="B125" i="1"/>
  <c r="D126" i="1" s="1"/>
  <c r="C125" i="1"/>
  <c r="E126" i="1" s="1"/>
  <c r="N126" i="1" s="1"/>
  <c r="F377" i="2" l="1"/>
  <c r="G377" i="2" s="1"/>
  <c r="Y377" i="2" s="1"/>
  <c r="L377" i="2"/>
  <c r="C377" i="2" s="1"/>
  <c r="E378" i="2" s="1"/>
  <c r="J377" i="2"/>
  <c r="H126" i="1"/>
  <c r="I126" i="1" s="1"/>
  <c r="N377" i="2" l="1"/>
  <c r="K377" i="2"/>
  <c r="B377" i="2" s="1"/>
  <c r="D378" i="2" s="1"/>
  <c r="H378" i="2" s="1"/>
  <c r="I378" i="2" s="1"/>
  <c r="Z378" i="2" s="1"/>
  <c r="O126" i="1"/>
  <c r="J126" i="1"/>
  <c r="F126" i="1"/>
  <c r="G126" i="1" s="1"/>
  <c r="M126" i="1" s="1"/>
  <c r="J378" i="2" l="1"/>
  <c r="L378" i="2"/>
  <c r="C378" i="2" s="1"/>
  <c r="E379" i="2" s="1"/>
  <c r="F378" i="2"/>
  <c r="G378" i="2" s="1"/>
  <c r="Y378" i="2" s="1"/>
  <c r="B126" i="1"/>
  <c r="D127" i="1" s="1"/>
  <c r="C126" i="1"/>
  <c r="E127" i="1" s="1"/>
  <c r="N127" i="1" s="1"/>
  <c r="K378" i="2" l="1"/>
  <c r="B378" i="2" s="1"/>
  <c r="D379" i="2" s="1"/>
  <c r="H379" i="2" s="1"/>
  <c r="I379" i="2" s="1"/>
  <c r="Z379" i="2" s="1"/>
  <c r="N378" i="2"/>
  <c r="H127" i="1"/>
  <c r="I127" i="1" s="1"/>
  <c r="F379" i="2" l="1"/>
  <c r="G379" i="2" s="1"/>
  <c r="Y379" i="2" s="1"/>
  <c r="J379" i="2"/>
  <c r="L379" i="2"/>
  <c r="C379" i="2" s="1"/>
  <c r="E380" i="2" s="1"/>
  <c r="O127" i="1"/>
  <c r="J127" i="1"/>
  <c r="F127" i="1"/>
  <c r="G127" i="1" s="1"/>
  <c r="M127" i="1" s="1"/>
  <c r="N379" i="2" l="1"/>
  <c r="K379" i="2"/>
  <c r="B379" i="2" s="1"/>
  <c r="D380" i="2" s="1"/>
  <c r="H380" i="2" s="1"/>
  <c r="I380" i="2" s="1"/>
  <c r="Z380" i="2" s="1"/>
  <c r="B127" i="1"/>
  <c r="D128" i="1" s="1"/>
  <c r="C127" i="1"/>
  <c r="E128" i="1" s="1"/>
  <c r="N128" i="1" s="1"/>
  <c r="F380" i="2" l="1"/>
  <c r="G380" i="2" s="1"/>
  <c r="Y380" i="2" s="1"/>
  <c r="J380" i="2"/>
  <c r="L380" i="2"/>
  <c r="C380" i="2" s="1"/>
  <c r="E381" i="2" s="1"/>
  <c r="H128" i="1"/>
  <c r="I128" i="1" s="1"/>
  <c r="N380" i="2" l="1"/>
  <c r="K380" i="2"/>
  <c r="B380" i="2" s="1"/>
  <c r="D381" i="2" s="1"/>
  <c r="H381" i="2" s="1"/>
  <c r="I381" i="2" s="1"/>
  <c r="Z381" i="2" s="1"/>
  <c r="O128" i="1"/>
  <c r="J128" i="1"/>
  <c r="F128" i="1"/>
  <c r="G128" i="1" s="1"/>
  <c r="M128" i="1" s="1"/>
  <c r="L381" i="2" l="1"/>
  <c r="C381" i="2" s="1"/>
  <c r="E382" i="2" s="1"/>
  <c r="F381" i="2"/>
  <c r="G381" i="2" s="1"/>
  <c r="Y381" i="2" s="1"/>
  <c r="J381" i="2"/>
  <c r="B128" i="1"/>
  <c r="D129" i="1" s="1"/>
  <c r="C128" i="1"/>
  <c r="E129" i="1" s="1"/>
  <c r="N129" i="1" s="1"/>
  <c r="K381" i="2" l="1"/>
  <c r="B381" i="2" s="1"/>
  <c r="D382" i="2" s="1"/>
  <c r="H382" i="2" s="1"/>
  <c r="I382" i="2" s="1"/>
  <c r="Z382" i="2" s="1"/>
  <c r="N381" i="2"/>
  <c r="H129" i="1"/>
  <c r="I129" i="1" s="1"/>
  <c r="F382" i="2" l="1"/>
  <c r="G382" i="2" s="1"/>
  <c r="Y382" i="2" s="1"/>
  <c r="J382" i="2"/>
  <c r="L382" i="2"/>
  <c r="C382" i="2" s="1"/>
  <c r="E383" i="2" s="1"/>
  <c r="O129" i="1"/>
  <c r="F129" i="1"/>
  <c r="G129" i="1" s="1"/>
  <c r="M129" i="1" s="1"/>
  <c r="J129" i="1"/>
  <c r="N382" i="2" l="1"/>
  <c r="K382" i="2"/>
  <c r="B382" i="2" s="1"/>
  <c r="D383" i="2" s="1"/>
  <c r="H383" i="2" s="1"/>
  <c r="I383" i="2" s="1"/>
  <c r="Z383" i="2" s="1"/>
  <c r="C129" i="1"/>
  <c r="E130" i="1" s="1"/>
  <c r="N130" i="1" s="1"/>
  <c r="B129" i="1"/>
  <c r="D130" i="1" s="1"/>
  <c r="H130" i="1" s="1"/>
  <c r="I130" i="1" s="1"/>
  <c r="F383" i="2" l="1"/>
  <c r="G383" i="2" s="1"/>
  <c r="Y383" i="2" s="1"/>
  <c r="J383" i="2"/>
  <c r="L383" i="2"/>
  <c r="C383" i="2" s="1"/>
  <c r="E384" i="2" s="1"/>
  <c r="O130" i="1"/>
  <c r="F130" i="1"/>
  <c r="G130" i="1" s="1"/>
  <c r="M130" i="1" s="1"/>
  <c r="J130" i="1"/>
  <c r="N383" i="2" l="1"/>
  <c r="K383" i="2"/>
  <c r="B383" i="2" s="1"/>
  <c r="D384" i="2" s="1"/>
  <c r="H384" i="2" s="1"/>
  <c r="I384" i="2" s="1"/>
  <c r="Z384" i="2" s="1"/>
  <c r="C130" i="1"/>
  <c r="E131" i="1" s="1"/>
  <c r="N131" i="1" s="1"/>
  <c r="B130" i="1"/>
  <c r="D131" i="1" s="1"/>
  <c r="H131" i="1" s="1"/>
  <c r="I131" i="1" s="1"/>
  <c r="L384" i="2" l="1"/>
  <c r="C384" i="2" s="1"/>
  <c r="E385" i="2" s="1"/>
  <c r="F384" i="2"/>
  <c r="G384" i="2" s="1"/>
  <c r="Y384" i="2" s="1"/>
  <c r="J384" i="2"/>
  <c r="O131" i="1"/>
  <c r="F131" i="1"/>
  <c r="G131" i="1" s="1"/>
  <c r="M131" i="1" s="1"/>
  <c r="J131" i="1"/>
  <c r="K384" i="2" l="1"/>
  <c r="B384" i="2" s="1"/>
  <c r="D385" i="2" s="1"/>
  <c r="H385" i="2" s="1"/>
  <c r="I385" i="2" s="1"/>
  <c r="Z385" i="2" s="1"/>
  <c r="N384" i="2"/>
  <c r="B131" i="1"/>
  <c r="D132" i="1" s="1"/>
  <c r="C131" i="1"/>
  <c r="E132" i="1" s="1"/>
  <c r="N132" i="1" s="1"/>
  <c r="F385" i="2" l="1"/>
  <c r="G385" i="2" s="1"/>
  <c r="Y385" i="2" s="1"/>
  <c r="J385" i="2"/>
  <c r="L385" i="2"/>
  <c r="C385" i="2" s="1"/>
  <c r="E386" i="2" s="1"/>
  <c r="H132" i="1"/>
  <c r="I132" i="1" s="1"/>
  <c r="N385" i="2" l="1"/>
  <c r="K385" i="2"/>
  <c r="B385" i="2" s="1"/>
  <c r="D386" i="2" s="1"/>
  <c r="H386" i="2" s="1"/>
  <c r="I386" i="2" s="1"/>
  <c r="Z386" i="2" s="1"/>
  <c r="O132" i="1"/>
  <c r="F132" i="1"/>
  <c r="G132" i="1" s="1"/>
  <c r="M132" i="1" s="1"/>
  <c r="J132" i="1"/>
  <c r="J386" i="2" l="1"/>
  <c r="L386" i="2"/>
  <c r="C386" i="2" s="1"/>
  <c r="E387" i="2" s="1"/>
  <c r="F386" i="2"/>
  <c r="G386" i="2" s="1"/>
  <c r="Y386" i="2" s="1"/>
  <c r="C132" i="1"/>
  <c r="E133" i="1" s="1"/>
  <c r="N133" i="1" s="1"/>
  <c r="B132" i="1"/>
  <c r="D133" i="1" s="1"/>
  <c r="H133" i="1" s="1"/>
  <c r="I133" i="1" s="1"/>
  <c r="K386" i="2" l="1"/>
  <c r="B386" i="2" s="1"/>
  <c r="D387" i="2" s="1"/>
  <c r="H387" i="2" s="1"/>
  <c r="I387" i="2" s="1"/>
  <c r="Z387" i="2" s="1"/>
  <c r="N386" i="2"/>
  <c r="O133" i="1"/>
  <c r="J133" i="1"/>
  <c r="F133" i="1"/>
  <c r="G133" i="1" s="1"/>
  <c r="M133" i="1" s="1"/>
  <c r="F387" i="2" l="1"/>
  <c r="G387" i="2" s="1"/>
  <c r="Y387" i="2" s="1"/>
  <c r="J387" i="2"/>
  <c r="L387" i="2"/>
  <c r="C387" i="2" s="1"/>
  <c r="E388" i="2" s="1"/>
  <c r="B133" i="1"/>
  <c r="D134" i="1" s="1"/>
  <c r="C133" i="1"/>
  <c r="E134" i="1" s="1"/>
  <c r="N134" i="1" s="1"/>
  <c r="K387" i="2" l="1"/>
  <c r="B387" i="2" s="1"/>
  <c r="D388" i="2" s="1"/>
  <c r="H388" i="2" s="1"/>
  <c r="I388" i="2" s="1"/>
  <c r="Z388" i="2" s="1"/>
  <c r="N387" i="2"/>
  <c r="H134" i="1"/>
  <c r="I134" i="1" s="1"/>
  <c r="L388" i="2" l="1"/>
  <c r="C388" i="2" s="1"/>
  <c r="E389" i="2" s="1"/>
  <c r="J388" i="2"/>
  <c r="F388" i="2"/>
  <c r="G388" i="2" s="1"/>
  <c r="Y388" i="2" s="1"/>
  <c r="O134" i="1"/>
  <c r="J134" i="1"/>
  <c r="F134" i="1"/>
  <c r="G134" i="1" s="1"/>
  <c r="M134" i="1" s="1"/>
  <c r="K388" i="2" l="1"/>
  <c r="B388" i="2" s="1"/>
  <c r="D389" i="2" s="1"/>
  <c r="H389" i="2" s="1"/>
  <c r="I389" i="2" s="1"/>
  <c r="Z389" i="2" s="1"/>
  <c r="N388" i="2"/>
  <c r="B134" i="1"/>
  <c r="D135" i="1" s="1"/>
  <c r="C134" i="1"/>
  <c r="E135" i="1" s="1"/>
  <c r="N135" i="1" s="1"/>
  <c r="F389" i="2" l="1"/>
  <c r="G389" i="2" s="1"/>
  <c r="Y389" i="2" s="1"/>
  <c r="J389" i="2"/>
  <c r="L389" i="2"/>
  <c r="C389" i="2" s="1"/>
  <c r="E390" i="2" s="1"/>
  <c r="H135" i="1"/>
  <c r="I135" i="1" s="1"/>
  <c r="K389" i="2" l="1"/>
  <c r="B389" i="2" s="1"/>
  <c r="D390" i="2" s="1"/>
  <c r="H390" i="2" s="1"/>
  <c r="I390" i="2" s="1"/>
  <c r="Z390" i="2" s="1"/>
  <c r="N389" i="2"/>
  <c r="O135" i="1"/>
  <c r="J135" i="1"/>
  <c r="F135" i="1"/>
  <c r="G135" i="1" s="1"/>
  <c r="M135" i="1" s="1"/>
  <c r="F390" i="2" l="1"/>
  <c r="G390" i="2" s="1"/>
  <c r="Y390" i="2" s="1"/>
  <c r="L390" i="2"/>
  <c r="C390" i="2" s="1"/>
  <c r="E391" i="2" s="1"/>
  <c r="J390" i="2"/>
  <c r="B135" i="1"/>
  <c r="D136" i="1" s="1"/>
  <c r="C135" i="1"/>
  <c r="E136" i="1" s="1"/>
  <c r="N136" i="1" s="1"/>
  <c r="N390" i="2" l="1"/>
  <c r="K390" i="2"/>
  <c r="B390" i="2" s="1"/>
  <c r="D391" i="2" s="1"/>
  <c r="H391" i="2" s="1"/>
  <c r="I391" i="2" s="1"/>
  <c r="Z391" i="2" s="1"/>
  <c r="H136" i="1"/>
  <c r="I136" i="1" s="1"/>
  <c r="J391" i="2" l="1"/>
  <c r="F391" i="2"/>
  <c r="G391" i="2" s="1"/>
  <c r="Y391" i="2" s="1"/>
  <c r="L391" i="2"/>
  <c r="C391" i="2" s="1"/>
  <c r="E392" i="2" s="1"/>
  <c r="O136" i="1"/>
  <c r="J136" i="1"/>
  <c r="F136" i="1"/>
  <c r="G136" i="1" s="1"/>
  <c r="M136" i="1" s="1"/>
  <c r="N391" i="2" l="1"/>
  <c r="K391" i="2"/>
  <c r="B391" i="2" s="1"/>
  <c r="D392" i="2" s="1"/>
  <c r="H392" i="2" s="1"/>
  <c r="I392" i="2" s="1"/>
  <c r="Z392" i="2" s="1"/>
  <c r="B136" i="1"/>
  <c r="D137" i="1" s="1"/>
  <c r="C136" i="1"/>
  <c r="E137" i="1" s="1"/>
  <c r="N137" i="1" s="1"/>
  <c r="L392" i="2" l="1"/>
  <c r="C392" i="2" s="1"/>
  <c r="E393" i="2" s="1"/>
  <c r="F392" i="2"/>
  <c r="G392" i="2" s="1"/>
  <c r="Y392" i="2" s="1"/>
  <c r="J392" i="2"/>
  <c r="H137" i="1"/>
  <c r="I137" i="1" s="1"/>
  <c r="N392" i="2" l="1"/>
  <c r="K392" i="2"/>
  <c r="B392" i="2" s="1"/>
  <c r="D393" i="2" s="1"/>
  <c r="H393" i="2" s="1"/>
  <c r="I393" i="2" s="1"/>
  <c r="Z393" i="2" s="1"/>
  <c r="O137" i="1"/>
  <c r="F137" i="1"/>
  <c r="G137" i="1" s="1"/>
  <c r="M137" i="1" s="1"/>
  <c r="J137" i="1"/>
  <c r="F393" i="2" l="1"/>
  <c r="G393" i="2" s="1"/>
  <c r="Y393" i="2" s="1"/>
  <c r="L393" i="2"/>
  <c r="C393" i="2" s="1"/>
  <c r="E394" i="2" s="1"/>
  <c r="J393" i="2"/>
  <c r="B137" i="1"/>
  <c r="D138" i="1" s="1"/>
  <c r="C137" i="1"/>
  <c r="E138" i="1" s="1"/>
  <c r="N138" i="1" s="1"/>
  <c r="N393" i="2" l="1"/>
  <c r="K393" i="2"/>
  <c r="B393" i="2" s="1"/>
  <c r="D394" i="2" s="1"/>
  <c r="H394" i="2" s="1"/>
  <c r="I394" i="2" s="1"/>
  <c r="Z394" i="2" s="1"/>
  <c r="H138" i="1"/>
  <c r="I138" i="1" s="1"/>
  <c r="J394" i="2" l="1"/>
  <c r="L394" i="2"/>
  <c r="C394" i="2" s="1"/>
  <c r="E395" i="2" s="1"/>
  <c r="F394" i="2"/>
  <c r="G394" i="2" s="1"/>
  <c r="Y394" i="2" s="1"/>
  <c r="O138" i="1"/>
  <c r="F138" i="1"/>
  <c r="G138" i="1" s="1"/>
  <c r="M138" i="1" s="1"/>
  <c r="J138" i="1"/>
  <c r="K394" i="2" l="1"/>
  <c r="B394" i="2" s="1"/>
  <c r="D395" i="2" s="1"/>
  <c r="H395" i="2" s="1"/>
  <c r="I395" i="2" s="1"/>
  <c r="Z395" i="2" s="1"/>
  <c r="N394" i="2"/>
  <c r="C138" i="1"/>
  <c r="E139" i="1" s="1"/>
  <c r="N139" i="1" s="1"/>
  <c r="B138" i="1"/>
  <c r="D139" i="1" s="1"/>
  <c r="H139" i="1" s="1"/>
  <c r="I139" i="1" s="1"/>
  <c r="F395" i="2" l="1"/>
  <c r="G395" i="2" s="1"/>
  <c r="Y395" i="2" s="1"/>
  <c r="L395" i="2"/>
  <c r="C395" i="2" s="1"/>
  <c r="E396" i="2" s="1"/>
  <c r="J395" i="2"/>
  <c r="O139" i="1"/>
  <c r="F139" i="1"/>
  <c r="G139" i="1" s="1"/>
  <c r="M139" i="1" s="1"/>
  <c r="J139" i="1"/>
  <c r="N395" i="2" l="1"/>
  <c r="K395" i="2"/>
  <c r="B395" i="2" s="1"/>
  <c r="D396" i="2" s="1"/>
  <c r="H396" i="2" s="1"/>
  <c r="I396" i="2" s="1"/>
  <c r="Z396" i="2" s="1"/>
  <c r="B139" i="1"/>
  <c r="D140" i="1" s="1"/>
  <c r="C139" i="1"/>
  <c r="E140" i="1" s="1"/>
  <c r="N140" i="1" s="1"/>
  <c r="J396" i="2" l="1"/>
  <c r="F396" i="2"/>
  <c r="G396" i="2" s="1"/>
  <c r="Y396" i="2" s="1"/>
  <c r="L396" i="2"/>
  <c r="C396" i="2" s="1"/>
  <c r="E397" i="2" s="1"/>
  <c r="H140" i="1"/>
  <c r="I140" i="1" s="1"/>
  <c r="N396" i="2" l="1"/>
  <c r="K396" i="2"/>
  <c r="B396" i="2" s="1"/>
  <c r="D397" i="2" s="1"/>
  <c r="H397" i="2" s="1"/>
  <c r="I397" i="2" s="1"/>
  <c r="Z397" i="2" s="1"/>
  <c r="O140" i="1"/>
  <c r="F140" i="1"/>
  <c r="G140" i="1" s="1"/>
  <c r="M140" i="1" s="1"/>
  <c r="J140" i="1"/>
  <c r="L397" i="2" l="1"/>
  <c r="C397" i="2" s="1"/>
  <c r="E398" i="2" s="1"/>
  <c r="J397" i="2"/>
  <c r="F397" i="2"/>
  <c r="G397" i="2" s="1"/>
  <c r="Y397" i="2" s="1"/>
  <c r="C140" i="1"/>
  <c r="E141" i="1" s="1"/>
  <c r="N141" i="1" s="1"/>
  <c r="B140" i="1"/>
  <c r="D141" i="1" s="1"/>
  <c r="H141" i="1" s="1"/>
  <c r="I141" i="1" s="1"/>
  <c r="K397" i="2" l="1"/>
  <c r="B397" i="2" s="1"/>
  <c r="D398" i="2" s="1"/>
  <c r="H398" i="2" s="1"/>
  <c r="I398" i="2" s="1"/>
  <c r="Z398" i="2" s="1"/>
  <c r="N397" i="2"/>
  <c r="O141" i="1"/>
  <c r="J141" i="1"/>
  <c r="F141" i="1"/>
  <c r="G141" i="1" s="1"/>
  <c r="M141" i="1" s="1"/>
  <c r="F398" i="2" l="1"/>
  <c r="G398" i="2" s="1"/>
  <c r="Y398" i="2" s="1"/>
  <c r="J398" i="2"/>
  <c r="L398" i="2"/>
  <c r="C398" i="2" s="1"/>
  <c r="E399" i="2" s="1"/>
  <c r="B141" i="1"/>
  <c r="D142" i="1" s="1"/>
  <c r="C141" i="1"/>
  <c r="E142" i="1" s="1"/>
  <c r="N142" i="1" s="1"/>
  <c r="N398" i="2" l="1"/>
  <c r="K398" i="2"/>
  <c r="B398" i="2" s="1"/>
  <c r="D399" i="2" s="1"/>
  <c r="H399" i="2" s="1"/>
  <c r="I399" i="2" s="1"/>
  <c r="Z399" i="2" s="1"/>
  <c r="H142" i="1"/>
  <c r="I142" i="1" s="1"/>
  <c r="J399" i="2" l="1"/>
  <c r="F399" i="2"/>
  <c r="G399" i="2" s="1"/>
  <c r="Y399" i="2" s="1"/>
  <c r="L399" i="2"/>
  <c r="C399" i="2" s="1"/>
  <c r="E400" i="2" s="1"/>
  <c r="O142" i="1"/>
  <c r="J142" i="1"/>
  <c r="F142" i="1"/>
  <c r="G142" i="1" s="1"/>
  <c r="M142" i="1" s="1"/>
  <c r="K399" i="2" l="1"/>
  <c r="B399" i="2" s="1"/>
  <c r="D400" i="2" s="1"/>
  <c r="H400" i="2" s="1"/>
  <c r="I400" i="2" s="1"/>
  <c r="Z400" i="2" s="1"/>
  <c r="N399" i="2"/>
  <c r="B142" i="1"/>
  <c r="D143" i="1" s="1"/>
  <c r="C142" i="1"/>
  <c r="E143" i="1" s="1"/>
  <c r="N143" i="1" s="1"/>
  <c r="L400" i="2" l="1"/>
  <c r="C400" i="2" s="1"/>
  <c r="E401" i="2" s="1"/>
  <c r="J400" i="2"/>
  <c r="F400" i="2"/>
  <c r="G400" i="2" s="1"/>
  <c r="Y400" i="2" s="1"/>
  <c r="H143" i="1"/>
  <c r="I143" i="1" s="1"/>
  <c r="N400" i="2" l="1"/>
  <c r="K400" i="2"/>
  <c r="B400" i="2" s="1"/>
  <c r="D401" i="2" s="1"/>
  <c r="H401" i="2" s="1"/>
  <c r="I401" i="2" s="1"/>
  <c r="Z401" i="2" s="1"/>
  <c r="O143" i="1"/>
  <c r="J143" i="1"/>
  <c r="F143" i="1"/>
  <c r="G143" i="1" s="1"/>
  <c r="M143" i="1" s="1"/>
  <c r="F401" i="2" l="1"/>
  <c r="G401" i="2" s="1"/>
  <c r="Y401" i="2" s="1"/>
  <c r="J401" i="2"/>
  <c r="L401" i="2"/>
  <c r="C401" i="2" s="1"/>
  <c r="E402" i="2" s="1"/>
  <c r="B143" i="1"/>
  <c r="D144" i="1" s="1"/>
  <c r="C143" i="1"/>
  <c r="E144" i="1" s="1"/>
  <c r="N144" i="1" s="1"/>
  <c r="N401" i="2" l="1"/>
  <c r="K401" i="2"/>
  <c r="B401" i="2" s="1"/>
  <c r="D402" i="2" s="1"/>
  <c r="H402" i="2" s="1"/>
  <c r="I402" i="2" s="1"/>
  <c r="Z402" i="2" s="1"/>
  <c r="H144" i="1"/>
  <c r="I144" i="1" s="1"/>
  <c r="J402" i="2" l="1"/>
  <c r="L402" i="2"/>
  <c r="C402" i="2" s="1"/>
  <c r="E403" i="2" s="1"/>
  <c r="F402" i="2"/>
  <c r="G402" i="2" s="1"/>
  <c r="Y402" i="2" s="1"/>
  <c r="O144" i="1"/>
  <c r="J144" i="1"/>
  <c r="F144" i="1"/>
  <c r="G144" i="1" s="1"/>
  <c r="M144" i="1" s="1"/>
  <c r="K402" i="2" l="1"/>
  <c r="B402" i="2" s="1"/>
  <c r="D403" i="2" s="1"/>
  <c r="H403" i="2" s="1"/>
  <c r="I403" i="2" s="1"/>
  <c r="Z403" i="2" s="1"/>
  <c r="N402" i="2"/>
  <c r="B144" i="1"/>
  <c r="D145" i="1" s="1"/>
  <c r="C144" i="1"/>
  <c r="E145" i="1" s="1"/>
  <c r="N145" i="1" s="1"/>
  <c r="F403" i="2" l="1"/>
  <c r="G403" i="2" s="1"/>
  <c r="Y403" i="2" s="1"/>
  <c r="L403" i="2"/>
  <c r="C403" i="2" s="1"/>
  <c r="E404" i="2" s="1"/>
  <c r="J403" i="2"/>
  <c r="H145" i="1"/>
  <c r="I145" i="1" s="1"/>
  <c r="N403" i="2" l="1"/>
  <c r="K403" i="2"/>
  <c r="B403" i="2" s="1"/>
  <c r="D404" i="2" s="1"/>
  <c r="H404" i="2" s="1"/>
  <c r="I404" i="2" s="1"/>
  <c r="Z404" i="2" s="1"/>
  <c r="O145" i="1"/>
  <c r="F145" i="1"/>
  <c r="G145" i="1" s="1"/>
  <c r="M145" i="1" s="1"/>
  <c r="J145" i="1"/>
  <c r="J404" i="2" l="1"/>
  <c r="F404" i="2"/>
  <c r="G404" i="2" s="1"/>
  <c r="Y404" i="2" s="1"/>
  <c r="L404" i="2"/>
  <c r="C404" i="2" s="1"/>
  <c r="E405" i="2" s="1"/>
  <c r="C145" i="1"/>
  <c r="E146" i="1" s="1"/>
  <c r="N146" i="1" s="1"/>
  <c r="B145" i="1"/>
  <c r="D146" i="1" s="1"/>
  <c r="H146" i="1" s="1"/>
  <c r="I146" i="1" s="1"/>
  <c r="N404" i="2" l="1"/>
  <c r="K404" i="2"/>
  <c r="B404" i="2" s="1"/>
  <c r="D405" i="2" s="1"/>
  <c r="H405" i="2" s="1"/>
  <c r="I405" i="2" s="1"/>
  <c r="Z405" i="2" s="1"/>
  <c r="O146" i="1"/>
  <c r="F146" i="1"/>
  <c r="G146" i="1" s="1"/>
  <c r="M146" i="1" s="1"/>
  <c r="J146" i="1"/>
  <c r="L405" i="2" l="1"/>
  <c r="C405" i="2" s="1"/>
  <c r="E406" i="2" s="1"/>
  <c r="J405" i="2"/>
  <c r="F405" i="2"/>
  <c r="G405" i="2" s="1"/>
  <c r="Y405" i="2" s="1"/>
  <c r="C146" i="1"/>
  <c r="E147" i="1" s="1"/>
  <c r="N147" i="1" s="1"/>
  <c r="B146" i="1"/>
  <c r="D147" i="1" s="1"/>
  <c r="H147" i="1" s="1"/>
  <c r="I147" i="1" s="1"/>
  <c r="K405" i="2" l="1"/>
  <c r="B405" i="2" s="1"/>
  <c r="D406" i="2" s="1"/>
  <c r="H406" i="2" s="1"/>
  <c r="I406" i="2" s="1"/>
  <c r="Z406" i="2" s="1"/>
  <c r="N405" i="2"/>
  <c r="O147" i="1"/>
  <c r="F147" i="1"/>
  <c r="G147" i="1" s="1"/>
  <c r="M147" i="1" s="1"/>
  <c r="J147" i="1"/>
  <c r="F406" i="2" l="1"/>
  <c r="G406" i="2" s="1"/>
  <c r="Y406" i="2" s="1"/>
  <c r="J406" i="2"/>
  <c r="L406" i="2"/>
  <c r="C406" i="2" s="1"/>
  <c r="E407" i="2" s="1"/>
  <c r="B147" i="1"/>
  <c r="D148" i="1" s="1"/>
  <c r="C147" i="1"/>
  <c r="E148" i="1" s="1"/>
  <c r="N148" i="1" s="1"/>
  <c r="N406" i="2" l="1"/>
  <c r="K406" i="2"/>
  <c r="B406" i="2" s="1"/>
  <c r="D407" i="2" s="1"/>
  <c r="H407" i="2" s="1"/>
  <c r="I407" i="2" s="1"/>
  <c r="Z407" i="2" s="1"/>
  <c r="H148" i="1"/>
  <c r="I148" i="1" s="1"/>
  <c r="J407" i="2" l="1"/>
  <c r="F407" i="2"/>
  <c r="G407" i="2" s="1"/>
  <c r="Y407" i="2" s="1"/>
  <c r="L407" i="2"/>
  <c r="C407" i="2" s="1"/>
  <c r="E408" i="2" s="1"/>
  <c r="O148" i="1"/>
  <c r="F148" i="1"/>
  <c r="G148" i="1" s="1"/>
  <c r="M148" i="1" s="1"/>
  <c r="J148" i="1"/>
  <c r="K407" i="2" l="1"/>
  <c r="B407" i="2" s="1"/>
  <c r="D408" i="2" s="1"/>
  <c r="H408" i="2" s="1"/>
  <c r="I408" i="2" s="1"/>
  <c r="Z408" i="2" s="1"/>
  <c r="N407" i="2"/>
  <c r="B148" i="1"/>
  <c r="D149" i="1" s="1"/>
  <c r="C148" i="1"/>
  <c r="E149" i="1" s="1"/>
  <c r="N149" i="1" s="1"/>
  <c r="L408" i="2" l="1"/>
  <c r="C408" i="2" s="1"/>
  <c r="E409" i="2" s="1"/>
  <c r="F408" i="2"/>
  <c r="G408" i="2" s="1"/>
  <c r="Y408" i="2" s="1"/>
  <c r="J408" i="2"/>
  <c r="H149" i="1"/>
  <c r="I149" i="1" s="1"/>
  <c r="N408" i="2" l="1"/>
  <c r="K408" i="2"/>
  <c r="B408" i="2" s="1"/>
  <c r="D409" i="2" s="1"/>
  <c r="H409" i="2" s="1"/>
  <c r="I409" i="2" s="1"/>
  <c r="Z409" i="2" s="1"/>
  <c r="O149" i="1"/>
  <c r="J149" i="1"/>
  <c r="F149" i="1"/>
  <c r="G149" i="1" s="1"/>
  <c r="M149" i="1" s="1"/>
  <c r="F409" i="2" l="1"/>
  <c r="G409" i="2" s="1"/>
  <c r="Y409" i="2" s="1"/>
  <c r="L409" i="2"/>
  <c r="C409" i="2" s="1"/>
  <c r="E410" i="2" s="1"/>
  <c r="J409" i="2"/>
  <c r="C149" i="1"/>
  <c r="E150" i="1" s="1"/>
  <c r="N150" i="1" s="1"/>
  <c r="B149" i="1"/>
  <c r="D150" i="1" s="1"/>
  <c r="H150" i="1" s="1"/>
  <c r="I150" i="1" s="1"/>
  <c r="K409" i="2" l="1"/>
  <c r="B409" i="2" s="1"/>
  <c r="D410" i="2" s="1"/>
  <c r="H410" i="2" s="1"/>
  <c r="I410" i="2" s="1"/>
  <c r="Z410" i="2" s="1"/>
  <c r="N409" i="2"/>
  <c r="O150" i="1"/>
  <c r="J150" i="1"/>
  <c r="F150" i="1"/>
  <c r="G150" i="1" s="1"/>
  <c r="M150" i="1" s="1"/>
  <c r="J410" i="2" l="1"/>
  <c r="L410" i="2"/>
  <c r="C410" i="2" s="1"/>
  <c r="E411" i="2" s="1"/>
  <c r="F410" i="2"/>
  <c r="G410" i="2" s="1"/>
  <c r="Y410" i="2" s="1"/>
  <c r="B150" i="1"/>
  <c r="D151" i="1" s="1"/>
  <c r="C150" i="1"/>
  <c r="E151" i="1" s="1"/>
  <c r="N151" i="1" s="1"/>
  <c r="N410" i="2" l="1"/>
  <c r="K410" i="2"/>
  <c r="B410" i="2" s="1"/>
  <c r="D411" i="2" s="1"/>
  <c r="H411" i="2" s="1"/>
  <c r="I411" i="2" s="1"/>
  <c r="Z411" i="2" s="1"/>
  <c r="H151" i="1"/>
  <c r="I151" i="1" s="1"/>
  <c r="F411" i="2" l="1"/>
  <c r="G411" i="2" s="1"/>
  <c r="Y411" i="2" s="1"/>
  <c r="J411" i="2"/>
  <c r="L411" i="2"/>
  <c r="C411" i="2" s="1"/>
  <c r="E412" i="2" s="1"/>
  <c r="O151" i="1"/>
  <c r="J151" i="1"/>
  <c r="F151" i="1"/>
  <c r="G151" i="1" s="1"/>
  <c r="M151" i="1" s="1"/>
  <c r="N411" i="2" l="1"/>
  <c r="K411" i="2"/>
  <c r="B411" i="2" s="1"/>
  <c r="D412" i="2" s="1"/>
  <c r="H412" i="2" s="1"/>
  <c r="I412" i="2" s="1"/>
  <c r="Z412" i="2" s="1"/>
  <c r="B151" i="1"/>
  <c r="D152" i="1" s="1"/>
  <c r="C151" i="1"/>
  <c r="E152" i="1" s="1"/>
  <c r="N152" i="1" s="1"/>
  <c r="J412" i="2" l="1"/>
  <c r="L412" i="2"/>
  <c r="C412" i="2" s="1"/>
  <c r="E413" i="2" s="1"/>
  <c r="F412" i="2"/>
  <c r="G412" i="2" s="1"/>
  <c r="Y412" i="2" s="1"/>
  <c r="H152" i="1"/>
  <c r="I152" i="1" s="1"/>
  <c r="K412" i="2" l="1"/>
  <c r="B412" i="2" s="1"/>
  <c r="D413" i="2" s="1"/>
  <c r="H413" i="2" s="1"/>
  <c r="I413" i="2" s="1"/>
  <c r="Z413" i="2" s="1"/>
  <c r="N412" i="2"/>
  <c r="O152" i="1"/>
  <c r="J152" i="1"/>
  <c r="F152" i="1"/>
  <c r="G152" i="1" s="1"/>
  <c r="M152" i="1" s="1"/>
  <c r="L413" i="2" l="1"/>
  <c r="C413" i="2" s="1"/>
  <c r="E414" i="2" s="1"/>
  <c r="J413" i="2"/>
  <c r="F413" i="2"/>
  <c r="G413" i="2" s="1"/>
  <c r="Y413" i="2" s="1"/>
  <c r="B152" i="1"/>
  <c r="D153" i="1" s="1"/>
  <c r="C152" i="1"/>
  <c r="E153" i="1" s="1"/>
  <c r="N153" i="1" s="1"/>
  <c r="K413" i="2" l="1"/>
  <c r="B413" i="2" s="1"/>
  <c r="D414" i="2" s="1"/>
  <c r="H414" i="2" s="1"/>
  <c r="I414" i="2" s="1"/>
  <c r="Z414" i="2" s="1"/>
  <c r="N413" i="2"/>
  <c r="H153" i="1"/>
  <c r="I153" i="1" s="1"/>
  <c r="F414" i="2" l="1"/>
  <c r="G414" i="2" s="1"/>
  <c r="Y414" i="2" s="1"/>
  <c r="L414" i="2"/>
  <c r="C414" i="2" s="1"/>
  <c r="E415" i="2" s="1"/>
  <c r="J414" i="2"/>
  <c r="O153" i="1"/>
  <c r="F153" i="1"/>
  <c r="G153" i="1" s="1"/>
  <c r="M153" i="1" s="1"/>
  <c r="J153" i="1"/>
  <c r="N414" i="2" l="1"/>
  <c r="K414" i="2"/>
  <c r="B414" i="2" s="1"/>
  <c r="D415" i="2" s="1"/>
  <c r="H415" i="2" s="1"/>
  <c r="I415" i="2" s="1"/>
  <c r="Z415" i="2" s="1"/>
  <c r="C153" i="1"/>
  <c r="E154" i="1" s="1"/>
  <c r="N154" i="1" s="1"/>
  <c r="B153" i="1"/>
  <c r="D154" i="1" s="1"/>
  <c r="H154" i="1" s="1"/>
  <c r="I154" i="1" s="1"/>
  <c r="J415" i="2" l="1"/>
  <c r="F415" i="2"/>
  <c r="G415" i="2" s="1"/>
  <c r="Y415" i="2" s="1"/>
  <c r="L415" i="2"/>
  <c r="C415" i="2" s="1"/>
  <c r="E416" i="2" s="1"/>
  <c r="O154" i="1"/>
  <c r="F154" i="1"/>
  <c r="G154" i="1" s="1"/>
  <c r="M154" i="1" s="1"/>
  <c r="J154" i="1"/>
  <c r="N415" i="2" l="1"/>
  <c r="K415" i="2"/>
  <c r="B415" i="2" s="1"/>
  <c r="D416" i="2" s="1"/>
  <c r="H416" i="2" s="1"/>
  <c r="I416" i="2" s="1"/>
  <c r="Z416" i="2" s="1"/>
  <c r="B154" i="1"/>
  <c r="D155" i="1" s="1"/>
  <c r="C154" i="1"/>
  <c r="E155" i="1" s="1"/>
  <c r="N155" i="1" s="1"/>
  <c r="L416" i="2" l="1"/>
  <c r="C416" i="2" s="1"/>
  <c r="E417" i="2" s="1"/>
  <c r="F416" i="2"/>
  <c r="G416" i="2" s="1"/>
  <c r="Y416" i="2" s="1"/>
  <c r="J416" i="2"/>
  <c r="H155" i="1"/>
  <c r="I155" i="1" s="1"/>
  <c r="N416" i="2" l="1"/>
  <c r="K416" i="2"/>
  <c r="B416" i="2" s="1"/>
  <c r="D417" i="2" s="1"/>
  <c r="H417" i="2" s="1"/>
  <c r="I417" i="2" s="1"/>
  <c r="Z417" i="2" s="1"/>
  <c r="O155" i="1"/>
  <c r="F155" i="1"/>
  <c r="G155" i="1" s="1"/>
  <c r="M155" i="1" s="1"/>
  <c r="J155" i="1"/>
  <c r="F417" i="2" l="1"/>
  <c r="G417" i="2" s="1"/>
  <c r="Y417" i="2" s="1"/>
  <c r="J417" i="2"/>
  <c r="L417" i="2"/>
  <c r="C417" i="2" s="1"/>
  <c r="E418" i="2" s="1"/>
  <c r="B155" i="1"/>
  <c r="D156" i="1" s="1"/>
  <c r="C155" i="1"/>
  <c r="E156" i="1" s="1"/>
  <c r="N156" i="1" s="1"/>
  <c r="N417" i="2" l="1"/>
  <c r="K417" i="2"/>
  <c r="B417" i="2" s="1"/>
  <c r="D418" i="2" s="1"/>
  <c r="H418" i="2" s="1"/>
  <c r="I418" i="2" s="1"/>
  <c r="Z418" i="2" s="1"/>
  <c r="H156" i="1"/>
  <c r="I156" i="1" s="1"/>
  <c r="J418" i="2" l="1"/>
  <c r="L418" i="2"/>
  <c r="C418" i="2" s="1"/>
  <c r="E419" i="2" s="1"/>
  <c r="F418" i="2"/>
  <c r="G418" i="2" s="1"/>
  <c r="Y418" i="2" s="1"/>
  <c r="O156" i="1"/>
  <c r="J156" i="1"/>
  <c r="F156" i="1"/>
  <c r="G156" i="1" s="1"/>
  <c r="M156" i="1" s="1"/>
  <c r="K418" i="2" l="1"/>
  <c r="B418" i="2" s="1"/>
  <c r="D419" i="2" s="1"/>
  <c r="H419" i="2" s="1"/>
  <c r="I419" i="2" s="1"/>
  <c r="Z419" i="2" s="1"/>
  <c r="N418" i="2"/>
  <c r="B156" i="1"/>
  <c r="D157" i="1" s="1"/>
  <c r="C156" i="1"/>
  <c r="E157" i="1" s="1"/>
  <c r="N157" i="1" s="1"/>
  <c r="F419" i="2" l="1"/>
  <c r="G419" i="2" s="1"/>
  <c r="Y419" i="2" s="1"/>
  <c r="J419" i="2"/>
  <c r="L419" i="2"/>
  <c r="C419" i="2" s="1"/>
  <c r="E420" i="2" s="1"/>
  <c r="H157" i="1"/>
  <c r="I157" i="1" s="1"/>
  <c r="K419" i="2" l="1"/>
  <c r="B419" i="2" s="1"/>
  <c r="D420" i="2" s="1"/>
  <c r="H420" i="2" s="1"/>
  <c r="I420" i="2" s="1"/>
  <c r="Z420" i="2" s="1"/>
  <c r="N419" i="2"/>
  <c r="O157" i="1"/>
  <c r="J157" i="1"/>
  <c r="F157" i="1"/>
  <c r="G157" i="1" s="1"/>
  <c r="M157" i="1" s="1"/>
  <c r="J420" i="2" l="1"/>
  <c r="F420" i="2"/>
  <c r="G420" i="2" s="1"/>
  <c r="Y420" i="2" s="1"/>
  <c r="L420" i="2"/>
  <c r="C420" i="2" s="1"/>
  <c r="E421" i="2" s="1"/>
  <c r="C157" i="1"/>
  <c r="E158" i="1" s="1"/>
  <c r="N158" i="1" s="1"/>
  <c r="B157" i="1"/>
  <c r="D158" i="1" s="1"/>
  <c r="H158" i="1" s="1"/>
  <c r="I158" i="1" s="1"/>
  <c r="N420" i="2" l="1"/>
  <c r="K420" i="2"/>
  <c r="B420" i="2" s="1"/>
  <c r="D421" i="2" s="1"/>
  <c r="H421" i="2" s="1"/>
  <c r="I421" i="2" s="1"/>
  <c r="Z421" i="2" s="1"/>
  <c r="O158" i="1"/>
  <c r="F158" i="1"/>
  <c r="G158" i="1" s="1"/>
  <c r="M158" i="1" s="1"/>
  <c r="J158" i="1"/>
  <c r="L421" i="2" l="1"/>
  <c r="C421" i="2" s="1"/>
  <c r="E422" i="2" s="1"/>
  <c r="F421" i="2"/>
  <c r="G421" i="2" s="1"/>
  <c r="Y421" i="2" s="1"/>
  <c r="J421" i="2"/>
  <c r="C158" i="1"/>
  <c r="E159" i="1" s="1"/>
  <c r="N159" i="1" s="1"/>
  <c r="B158" i="1"/>
  <c r="D159" i="1" s="1"/>
  <c r="H159" i="1" s="1"/>
  <c r="I159" i="1" s="1"/>
  <c r="K421" i="2" l="1"/>
  <c r="B421" i="2" s="1"/>
  <c r="D422" i="2" s="1"/>
  <c r="H422" i="2" s="1"/>
  <c r="I422" i="2" s="1"/>
  <c r="Z422" i="2" s="1"/>
  <c r="N421" i="2"/>
  <c r="O159" i="1"/>
  <c r="J159" i="1"/>
  <c r="F159" i="1"/>
  <c r="G159" i="1" s="1"/>
  <c r="M159" i="1" s="1"/>
  <c r="F422" i="2" l="1"/>
  <c r="G422" i="2" s="1"/>
  <c r="Y422" i="2" s="1"/>
  <c r="J422" i="2"/>
  <c r="L422" i="2"/>
  <c r="C422" i="2" s="1"/>
  <c r="E423" i="2" s="1"/>
  <c r="B159" i="1"/>
  <c r="D160" i="1" s="1"/>
  <c r="C159" i="1"/>
  <c r="E160" i="1" s="1"/>
  <c r="N160" i="1" s="1"/>
  <c r="N422" i="2" l="1"/>
  <c r="K422" i="2"/>
  <c r="B422" i="2" s="1"/>
  <c r="D423" i="2" s="1"/>
  <c r="H423" i="2" s="1"/>
  <c r="I423" i="2" s="1"/>
  <c r="Z423" i="2" s="1"/>
  <c r="H160" i="1"/>
  <c r="I160" i="1" s="1"/>
  <c r="J423" i="2" l="1"/>
  <c r="L423" i="2"/>
  <c r="C423" i="2" s="1"/>
  <c r="E424" i="2" s="1"/>
  <c r="F423" i="2"/>
  <c r="G423" i="2" s="1"/>
  <c r="Y423" i="2" s="1"/>
  <c r="O160" i="1"/>
  <c r="J160" i="1"/>
  <c r="F160" i="1"/>
  <c r="G160" i="1" s="1"/>
  <c r="M160" i="1" s="1"/>
  <c r="K423" i="2" l="1"/>
  <c r="B423" i="2" s="1"/>
  <c r="D424" i="2" s="1"/>
  <c r="H424" i="2" s="1"/>
  <c r="I424" i="2" s="1"/>
  <c r="Z424" i="2" s="1"/>
  <c r="N423" i="2"/>
  <c r="C160" i="1"/>
  <c r="E161" i="1" s="1"/>
  <c r="N161" i="1" s="1"/>
  <c r="B160" i="1"/>
  <c r="D161" i="1" s="1"/>
  <c r="H161" i="1" s="1"/>
  <c r="I161" i="1" s="1"/>
  <c r="L424" i="2" l="1"/>
  <c r="C424" i="2" s="1"/>
  <c r="E425" i="2" s="1"/>
  <c r="F424" i="2"/>
  <c r="G424" i="2" s="1"/>
  <c r="Y424" i="2" s="1"/>
  <c r="J424" i="2"/>
  <c r="O161" i="1"/>
  <c r="J161" i="1"/>
  <c r="F161" i="1"/>
  <c r="G161" i="1" s="1"/>
  <c r="M161" i="1" s="1"/>
  <c r="N424" i="2" l="1"/>
  <c r="K424" i="2"/>
  <c r="B424" i="2" s="1"/>
  <c r="D425" i="2" s="1"/>
  <c r="H425" i="2" s="1"/>
  <c r="I425" i="2" s="1"/>
  <c r="Z425" i="2" s="1"/>
  <c r="C161" i="1"/>
  <c r="E162" i="1" s="1"/>
  <c r="N162" i="1" s="1"/>
  <c r="B161" i="1"/>
  <c r="D162" i="1" s="1"/>
  <c r="L425" i="2" l="1"/>
  <c r="C425" i="2" s="1"/>
  <c r="E426" i="2" s="1"/>
  <c r="F425" i="2"/>
  <c r="G425" i="2" s="1"/>
  <c r="Y425" i="2" s="1"/>
  <c r="J425" i="2"/>
  <c r="H162" i="1"/>
  <c r="I162" i="1" s="1"/>
  <c r="K425" i="2" l="1"/>
  <c r="B425" i="2" s="1"/>
  <c r="D426" i="2" s="1"/>
  <c r="H426" i="2" s="1"/>
  <c r="I426" i="2" s="1"/>
  <c r="Z426" i="2" s="1"/>
  <c r="N425" i="2"/>
  <c r="J162" i="1"/>
  <c r="O162" i="1"/>
  <c r="F162" i="1"/>
  <c r="G162" i="1" s="1"/>
  <c r="M162" i="1" s="1"/>
  <c r="J426" i="2" l="1"/>
  <c r="L426" i="2"/>
  <c r="C426" i="2" s="1"/>
  <c r="E427" i="2" s="1"/>
  <c r="F426" i="2"/>
  <c r="G426" i="2" s="1"/>
  <c r="Y426" i="2" s="1"/>
  <c r="C162" i="1"/>
  <c r="E163" i="1" s="1"/>
  <c r="N163" i="1" s="1"/>
  <c r="B162" i="1"/>
  <c r="D163" i="1" s="1"/>
  <c r="H163" i="1" s="1"/>
  <c r="I163" i="1" s="1"/>
  <c r="K426" i="2" l="1"/>
  <c r="B426" i="2" s="1"/>
  <c r="D427" i="2" s="1"/>
  <c r="H427" i="2" s="1"/>
  <c r="I427" i="2" s="1"/>
  <c r="Z427" i="2" s="1"/>
  <c r="N426" i="2"/>
  <c r="O163" i="1"/>
  <c r="F163" i="1"/>
  <c r="G163" i="1" s="1"/>
  <c r="M163" i="1" s="1"/>
  <c r="J163" i="1"/>
  <c r="F427" i="2" l="1"/>
  <c r="G427" i="2" s="1"/>
  <c r="Y427" i="2" s="1"/>
  <c r="J427" i="2"/>
  <c r="L427" i="2"/>
  <c r="C427" i="2" s="1"/>
  <c r="E428" i="2" s="1"/>
  <c r="C163" i="1"/>
  <c r="E164" i="1" s="1"/>
  <c r="N164" i="1" s="1"/>
  <c r="B163" i="1"/>
  <c r="D164" i="1" s="1"/>
  <c r="H164" i="1" s="1"/>
  <c r="I164" i="1" s="1"/>
  <c r="N427" i="2" l="1"/>
  <c r="K427" i="2"/>
  <c r="B427" i="2" s="1"/>
  <c r="D428" i="2" s="1"/>
  <c r="H428" i="2" s="1"/>
  <c r="I428" i="2" s="1"/>
  <c r="Z428" i="2" s="1"/>
  <c r="O164" i="1"/>
  <c r="J164" i="1"/>
  <c r="F164" i="1"/>
  <c r="G164" i="1" s="1"/>
  <c r="M164" i="1" s="1"/>
  <c r="J428" i="2" l="1"/>
  <c r="L428" i="2"/>
  <c r="C428" i="2" s="1"/>
  <c r="E429" i="2" s="1"/>
  <c r="F428" i="2"/>
  <c r="G428" i="2" s="1"/>
  <c r="Y428" i="2" s="1"/>
  <c r="C164" i="1"/>
  <c r="E165" i="1" s="1"/>
  <c r="N165" i="1" s="1"/>
  <c r="B164" i="1"/>
  <c r="D165" i="1" s="1"/>
  <c r="H165" i="1" s="1"/>
  <c r="I165" i="1" s="1"/>
  <c r="K428" i="2" l="1"/>
  <c r="B428" i="2" s="1"/>
  <c r="D429" i="2" s="1"/>
  <c r="H429" i="2" s="1"/>
  <c r="I429" i="2" s="1"/>
  <c r="Z429" i="2" s="1"/>
  <c r="N428" i="2"/>
  <c r="O165" i="1"/>
  <c r="J165" i="1"/>
  <c r="F165" i="1"/>
  <c r="G165" i="1" s="1"/>
  <c r="M165" i="1" s="1"/>
  <c r="L429" i="2" l="1"/>
  <c r="C429" i="2" s="1"/>
  <c r="E430" i="2" s="1"/>
  <c r="J429" i="2"/>
  <c r="F429" i="2"/>
  <c r="G429" i="2" s="1"/>
  <c r="Y429" i="2" s="1"/>
  <c r="C165" i="1"/>
  <c r="E166" i="1" s="1"/>
  <c r="N166" i="1" s="1"/>
  <c r="B165" i="1"/>
  <c r="D166" i="1" s="1"/>
  <c r="H166" i="1" s="1"/>
  <c r="I166" i="1" s="1"/>
  <c r="K429" i="2" l="1"/>
  <c r="B429" i="2" s="1"/>
  <c r="D430" i="2" s="1"/>
  <c r="H430" i="2" s="1"/>
  <c r="I430" i="2" s="1"/>
  <c r="Z430" i="2" s="1"/>
  <c r="N429" i="2"/>
  <c r="O166" i="1"/>
  <c r="J166" i="1"/>
  <c r="F166" i="1"/>
  <c r="G166" i="1" s="1"/>
  <c r="M166" i="1" s="1"/>
  <c r="F430" i="2" l="1"/>
  <c r="G430" i="2" s="1"/>
  <c r="Y430" i="2" s="1"/>
  <c r="J430" i="2"/>
  <c r="L430" i="2"/>
  <c r="C430" i="2" s="1"/>
  <c r="E431" i="2" s="1"/>
  <c r="C166" i="1"/>
  <c r="E167" i="1" s="1"/>
  <c r="N167" i="1" s="1"/>
  <c r="B166" i="1"/>
  <c r="D167" i="1" s="1"/>
  <c r="H167" i="1" s="1"/>
  <c r="I167" i="1" s="1"/>
  <c r="N430" i="2" l="1"/>
  <c r="K430" i="2"/>
  <c r="B430" i="2" s="1"/>
  <c r="D431" i="2" s="1"/>
  <c r="H431" i="2" s="1"/>
  <c r="I431" i="2" s="1"/>
  <c r="Z431" i="2" s="1"/>
  <c r="O167" i="1"/>
  <c r="J167" i="1"/>
  <c r="F167" i="1"/>
  <c r="G167" i="1" s="1"/>
  <c r="M167" i="1" s="1"/>
  <c r="J431" i="2" l="1"/>
  <c r="F431" i="2"/>
  <c r="G431" i="2" s="1"/>
  <c r="Y431" i="2" s="1"/>
  <c r="L431" i="2"/>
  <c r="C431" i="2" s="1"/>
  <c r="E432" i="2" s="1"/>
  <c r="B167" i="1"/>
  <c r="D168" i="1" s="1"/>
  <c r="C167" i="1"/>
  <c r="E168" i="1" s="1"/>
  <c r="N168" i="1" s="1"/>
  <c r="K431" i="2" l="1"/>
  <c r="B431" i="2" s="1"/>
  <c r="D432" i="2" s="1"/>
  <c r="H432" i="2" s="1"/>
  <c r="I432" i="2" s="1"/>
  <c r="Z432" i="2" s="1"/>
  <c r="N431" i="2"/>
  <c r="H168" i="1"/>
  <c r="I168" i="1" s="1"/>
  <c r="L432" i="2" l="1"/>
  <c r="C432" i="2" s="1"/>
  <c r="E433" i="2" s="1"/>
  <c r="F432" i="2"/>
  <c r="G432" i="2" s="1"/>
  <c r="Y432" i="2" s="1"/>
  <c r="J432" i="2"/>
  <c r="O168" i="1"/>
  <c r="F168" i="1"/>
  <c r="G168" i="1" s="1"/>
  <c r="M168" i="1" s="1"/>
  <c r="J168" i="1"/>
  <c r="N432" i="2" l="1"/>
  <c r="K432" i="2"/>
  <c r="B432" i="2" s="1"/>
  <c r="D433" i="2" s="1"/>
  <c r="H433" i="2" s="1"/>
  <c r="I433" i="2" s="1"/>
  <c r="Z433" i="2" s="1"/>
  <c r="B168" i="1"/>
  <c r="D169" i="1" s="1"/>
  <c r="C168" i="1"/>
  <c r="E169" i="1" s="1"/>
  <c r="N169" i="1" s="1"/>
  <c r="F433" i="2" l="1"/>
  <c r="G433" i="2" s="1"/>
  <c r="Y433" i="2" s="1"/>
  <c r="L433" i="2"/>
  <c r="C433" i="2" s="1"/>
  <c r="E434" i="2" s="1"/>
  <c r="J433" i="2"/>
  <c r="H169" i="1"/>
  <c r="I169" i="1" s="1"/>
  <c r="N433" i="2" l="1"/>
  <c r="K433" i="2"/>
  <c r="B433" i="2" s="1"/>
  <c r="D434" i="2" s="1"/>
  <c r="H434" i="2" s="1"/>
  <c r="I434" i="2" s="1"/>
  <c r="Z434" i="2" s="1"/>
  <c r="O169" i="1"/>
  <c r="J169" i="1"/>
  <c r="F169" i="1"/>
  <c r="G169" i="1" s="1"/>
  <c r="M169" i="1" s="1"/>
  <c r="J434" i="2" l="1"/>
  <c r="L434" i="2"/>
  <c r="C434" i="2" s="1"/>
  <c r="E435" i="2" s="1"/>
  <c r="F434" i="2"/>
  <c r="G434" i="2" s="1"/>
  <c r="Y434" i="2" s="1"/>
  <c r="C169" i="1"/>
  <c r="E170" i="1" s="1"/>
  <c r="N170" i="1" s="1"/>
  <c r="B169" i="1"/>
  <c r="D170" i="1" s="1"/>
  <c r="H170" i="1" s="1"/>
  <c r="I170" i="1" s="1"/>
  <c r="K434" i="2" l="1"/>
  <c r="B434" i="2" s="1"/>
  <c r="D435" i="2" s="1"/>
  <c r="H435" i="2" s="1"/>
  <c r="I435" i="2" s="1"/>
  <c r="Z435" i="2" s="1"/>
  <c r="N434" i="2"/>
  <c r="O170" i="1"/>
  <c r="J170" i="1"/>
  <c r="F170" i="1"/>
  <c r="G170" i="1" s="1"/>
  <c r="M170" i="1" s="1"/>
  <c r="F435" i="2" l="1"/>
  <c r="G435" i="2" s="1"/>
  <c r="Y435" i="2" s="1"/>
  <c r="J435" i="2"/>
  <c r="L435" i="2"/>
  <c r="C435" i="2" s="1"/>
  <c r="E436" i="2" s="1"/>
  <c r="B170" i="1"/>
  <c r="D171" i="1" s="1"/>
  <c r="C170" i="1"/>
  <c r="E171" i="1" s="1"/>
  <c r="N171" i="1" s="1"/>
  <c r="N435" i="2" l="1"/>
  <c r="K435" i="2"/>
  <c r="B435" i="2" s="1"/>
  <c r="D436" i="2" s="1"/>
  <c r="H436" i="2" s="1"/>
  <c r="I436" i="2" s="1"/>
  <c r="Z436" i="2" s="1"/>
  <c r="H171" i="1"/>
  <c r="I171" i="1" s="1"/>
  <c r="J436" i="2" l="1"/>
  <c r="L436" i="2"/>
  <c r="C436" i="2" s="1"/>
  <c r="E437" i="2" s="1"/>
  <c r="F436" i="2"/>
  <c r="G436" i="2" s="1"/>
  <c r="Y436" i="2" s="1"/>
  <c r="O171" i="1"/>
  <c r="F171" i="1"/>
  <c r="G171" i="1" s="1"/>
  <c r="M171" i="1" s="1"/>
  <c r="J171" i="1"/>
  <c r="N436" i="2" l="1"/>
  <c r="K436" i="2"/>
  <c r="B436" i="2" s="1"/>
  <c r="D437" i="2" s="1"/>
  <c r="H437" i="2" s="1"/>
  <c r="I437" i="2" s="1"/>
  <c r="Z437" i="2" s="1"/>
  <c r="B171" i="1"/>
  <c r="D172" i="1" s="1"/>
  <c r="C171" i="1"/>
  <c r="E172" i="1" s="1"/>
  <c r="N172" i="1" s="1"/>
  <c r="L437" i="2" l="1"/>
  <c r="C437" i="2" s="1"/>
  <c r="E438" i="2" s="1"/>
  <c r="F437" i="2"/>
  <c r="G437" i="2" s="1"/>
  <c r="Y437" i="2" s="1"/>
  <c r="J437" i="2"/>
  <c r="H172" i="1"/>
  <c r="I172" i="1" s="1"/>
  <c r="K437" i="2" l="1"/>
  <c r="B437" i="2" s="1"/>
  <c r="D438" i="2" s="1"/>
  <c r="H438" i="2" s="1"/>
  <c r="I438" i="2" s="1"/>
  <c r="Z438" i="2" s="1"/>
  <c r="N437" i="2"/>
  <c r="O172" i="1"/>
  <c r="J172" i="1"/>
  <c r="F172" i="1"/>
  <c r="G172" i="1" s="1"/>
  <c r="M172" i="1" s="1"/>
  <c r="F438" i="2" l="1"/>
  <c r="G438" i="2" s="1"/>
  <c r="Y438" i="2" s="1"/>
  <c r="L438" i="2"/>
  <c r="C438" i="2" s="1"/>
  <c r="E439" i="2" s="1"/>
  <c r="J438" i="2"/>
  <c r="B172" i="1"/>
  <c r="D173" i="1" s="1"/>
  <c r="C172" i="1"/>
  <c r="E173" i="1" s="1"/>
  <c r="N173" i="1" s="1"/>
  <c r="N438" i="2" l="1"/>
  <c r="K438" i="2"/>
  <c r="B438" i="2" s="1"/>
  <c r="D439" i="2" s="1"/>
  <c r="H439" i="2" s="1"/>
  <c r="I439" i="2" s="1"/>
  <c r="Z439" i="2" s="1"/>
  <c r="H173" i="1"/>
  <c r="I173" i="1" s="1"/>
  <c r="J439" i="2" l="1"/>
  <c r="L439" i="2"/>
  <c r="C439" i="2" s="1"/>
  <c r="E440" i="2" s="1"/>
  <c r="F439" i="2"/>
  <c r="G439" i="2" s="1"/>
  <c r="Y439" i="2" s="1"/>
  <c r="O173" i="1"/>
  <c r="F173" i="1"/>
  <c r="G173" i="1" s="1"/>
  <c r="M173" i="1" s="1"/>
  <c r="J173" i="1"/>
  <c r="K439" i="2" l="1"/>
  <c r="B439" i="2" s="1"/>
  <c r="D440" i="2" s="1"/>
  <c r="H440" i="2" s="1"/>
  <c r="I440" i="2" s="1"/>
  <c r="Z440" i="2" s="1"/>
  <c r="N439" i="2"/>
  <c r="C173" i="1"/>
  <c r="E174" i="1" s="1"/>
  <c r="N174" i="1" s="1"/>
  <c r="B173" i="1"/>
  <c r="D174" i="1" s="1"/>
  <c r="H174" i="1" s="1"/>
  <c r="I174" i="1" s="1"/>
  <c r="L440" i="2" l="1"/>
  <c r="C440" i="2" s="1"/>
  <c r="E441" i="2" s="1"/>
  <c r="F440" i="2"/>
  <c r="G440" i="2" s="1"/>
  <c r="Y440" i="2" s="1"/>
  <c r="J440" i="2"/>
  <c r="O174" i="1"/>
  <c r="F174" i="1"/>
  <c r="G174" i="1" s="1"/>
  <c r="M174" i="1" s="1"/>
  <c r="J174" i="1"/>
  <c r="N440" i="2" l="1"/>
  <c r="K440" i="2"/>
  <c r="B440" i="2" s="1"/>
  <c r="D441" i="2" s="1"/>
  <c r="H441" i="2" s="1"/>
  <c r="I441" i="2" s="1"/>
  <c r="Z441" i="2" s="1"/>
  <c r="B174" i="1"/>
  <c r="D175" i="1" s="1"/>
  <c r="C174" i="1"/>
  <c r="E175" i="1" s="1"/>
  <c r="N175" i="1" s="1"/>
  <c r="L441" i="2" l="1"/>
  <c r="C441" i="2" s="1"/>
  <c r="E442" i="2" s="1"/>
  <c r="J441" i="2"/>
  <c r="F441" i="2"/>
  <c r="G441" i="2" s="1"/>
  <c r="Y441" i="2" s="1"/>
  <c r="H175" i="1"/>
  <c r="I175" i="1" s="1"/>
  <c r="N441" i="2" l="1"/>
  <c r="K441" i="2"/>
  <c r="B441" i="2" s="1"/>
  <c r="D442" i="2" s="1"/>
  <c r="H442" i="2" s="1"/>
  <c r="I442" i="2" s="1"/>
  <c r="Z442" i="2" s="1"/>
  <c r="O175" i="1"/>
  <c r="J175" i="1"/>
  <c r="F175" i="1"/>
  <c r="G175" i="1" s="1"/>
  <c r="M175" i="1" s="1"/>
  <c r="J442" i="2" l="1"/>
  <c r="L442" i="2"/>
  <c r="C442" i="2" s="1"/>
  <c r="E443" i="2" s="1"/>
  <c r="F442" i="2"/>
  <c r="G442" i="2" s="1"/>
  <c r="Y442" i="2" s="1"/>
  <c r="B175" i="1"/>
  <c r="D176" i="1" s="1"/>
  <c r="C175" i="1"/>
  <c r="E176" i="1" s="1"/>
  <c r="N176" i="1" s="1"/>
  <c r="K442" i="2" l="1"/>
  <c r="B442" i="2" s="1"/>
  <c r="D443" i="2" s="1"/>
  <c r="H443" i="2" s="1"/>
  <c r="I443" i="2" s="1"/>
  <c r="Z443" i="2" s="1"/>
  <c r="N442" i="2"/>
  <c r="H176" i="1"/>
  <c r="I176" i="1" s="1"/>
  <c r="F443" i="2" l="1"/>
  <c r="G443" i="2" s="1"/>
  <c r="Y443" i="2" s="1"/>
  <c r="J443" i="2"/>
  <c r="L443" i="2"/>
  <c r="C443" i="2" s="1"/>
  <c r="E444" i="2" s="1"/>
  <c r="O176" i="1"/>
  <c r="F176" i="1"/>
  <c r="G176" i="1" s="1"/>
  <c r="M176" i="1" s="1"/>
  <c r="J176" i="1"/>
  <c r="N443" i="2" l="1"/>
  <c r="K443" i="2"/>
  <c r="B443" i="2" s="1"/>
  <c r="D444" i="2" s="1"/>
  <c r="H444" i="2" s="1"/>
  <c r="I444" i="2" s="1"/>
  <c r="Z444" i="2" s="1"/>
  <c r="C176" i="1"/>
  <c r="E177" i="1" s="1"/>
  <c r="N177" i="1" s="1"/>
  <c r="B176" i="1"/>
  <c r="D177" i="1" s="1"/>
  <c r="F444" i="2" l="1"/>
  <c r="G444" i="2" s="1"/>
  <c r="Y444" i="2" s="1"/>
  <c r="J444" i="2"/>
  <c r="L444" i="2"/>
  <c r="C444" i="2" s="1"/>
  <c r="E445" i="2" s="1"/>
  <c r="H177" i="1"/>
  <c r="I177" i="1" s="1"/>
  <c r="N444" i="2" l="1"/>
  <c r="K444" i="2"/>
  <c r="B444" i="2" s="1"/>
  <c r="D445" i="2" s="1"/>
  <c r="H445" i="2" s="1"/>
  <c r="I445" i="2" s="1"/>
  <c r="Z445" i="2" s="1"/>
  <c r="O177" i="1"/>
  <c r="F177" i="1"/>
  <c r="G177" i="1" s="1"/>
  <c r="M177" i="1" s="1"/>
  <c r="J177" i="1"/>
  <c r="L445" i="2" l="1"/>
  <c r="C445" i="2" s="1"/>
  <c r="E446" i="2" s="1"/>
  <c r="F445" i="2"/>
  <c r="G445" i="2" s="1"/>
  <c r="Y445" i="2" s="1"/>
  <c r="J445" i="2"/>
  <c r="C177" i="1"/>
  <c r="E178" i="1" s="1"/>
  <c r="N178" i="1" s="1"/>
  <c r="B177" i="1"/>
  <c r="D178" i="1" s="1"/>
  <c r="H178" i="1" s="1"/>
  <c r="I178" i="1" s="1"/>
  <c r="K445" i="2" l="1"/>
  <c r="B445" i="2" s="1"/>
  <c r="D446" i="2" s="1"/>
  <c r="H446" i="2" s="1"/>
  <c r="I446" i="2" s="1"/>
  <c r="Z446" i="2" s="1"/>
  <c r="N445" i="2"/>
  <c r="O178" i="1"/>
  <c r="F178" i="1"/>
  <c r="G178" i="1" s="1"/>
  <c r="M178" i="1" s="1"/>
  <c r="J178" i="1"/>
  <c r="F446" i="2" l="1"/>
  <c r="G446" i="2" s="1"/>
  <c r="Y446" i="2" s="1"/>
  <c r="L446" i="2"/>
  <c r="C446" i="2" s="1"/>
  <c r="E447" i="2" s="1"/>
  <c r="J446" i="2"/>
  <c r="C178" i="1"/>
  <c r="E179" i="1" s="1"/>
  <c r="N179" i="1" s="1"/>
  <c r="B178" i="1"/>
  <c r="D179" i="1" s="1"/>
  <c r="H179" i="1" s="1"/>
  <c r="I179" i="1" s="1"/>
  <c r="K446" i="2" l="1"/>
  <c r="B446" i="2" s="1"/>
  <c r="D447" i="2" s="1"/>
  <c r="H447" i="2" s="1"/>
  <c r="I447" i="2" s="1"/>
  <c r="Z447" i="2" s="1"/>
  <c r="N446" i="2"/>
  <c r="O179" i="1"/>
  <c r="F179" i="1"/>
  <c r="G179" i="1" s="1"/>
  <c r="M179" i="1" s="1"/>
  <c r="J179" i="1"/>
  <c r="J447" i="2" l="1"/>
  <c r="F447" i="2"/>
  <c r="G447" i="2" s="1"/>
  <c r="Y447" i="2" s="1"/>
  <c r="L447" i="2"/>
  <c r="C447" i="2" s="1"/>
  <c r="E448" i="2" s="1"/>
  <c r="C179" i="1"/>
  <c r="E180" i="1" s="1"/>
  <c r="N180" i="1" s="1"/>
  <c r="B179" i="1"/>
  <c r="D180" i="1" s="1"/>
  <c r="H180" i="1" s="1"/>
  <c r="I180" i="1" s="1"/>
  <c r="K447" i="2" l="1"/>
  <c r="B447" i="2" s="1"/>
  <c r="D448" i="2" s="1"/>
  <c r="H448" i="2" s="1"/>
  <c r="I448" i="2" s="1"/>
  <c r="Z448" i="2" s="1"/>
  <c r="N447" i="2"/>
  <c r="O180" i="1"/>
  <c r="F180" i="1"/>
  <c r="G180" i="1" s="1"/>
  <c r="M180" i="1" s="1"/>
  <c r="J180" i="1"/>
  <c r="L448" i="2" l="1"/>
  <c r="C448" i="2" s="1"/>
  <c r="E449" i="2" s="1"/>
  <c r="F448" i="2"/>
  <c r="G448" i="2" s="1"/>
  <c r="Y448" i="2" s="1"/>
  <c r="J448" i="2"/>
  <c r="C180" i="1"/>
  <c r="E181" i="1" s="1"/>
  <c r="N181" i="1" s="1"/>
  <c r="B180" i="1"/>
  <c r="D181" i="1" s="1"/>
  <c r="H181" i="1" s="1"/>
  <c r="I181" i="1" s="1"/>
  <c r="K448" i="2" l="1"/>
  <c r="B448" i="2" s="1"/>
  <c r="D449" i="2" s="1"/>
  <c r="H449" i="2" s="1"/>
  <c r="I449" i="2" s="1"/>
  <c r="Z449" i="2" s="1"/>
  <c r="N448" i="2"/>
  <c r="O181" i="1"/>
  <c r="F181" i="1"/>
  <c r="G181" i="1" s="1"/>
  <c r="M181" i="1" s="1"/>
  <c r="J181" i="1"/>
  <c r="J449" i="2" l="1"/>
  <c r="F449" i="2"/>
  <c r="G449" i="2" s="1"/>
  <c r="Y449" i="2" s="1"/>
  <c r="L449" i="2"/>
  <c r="C449" i="2" s="1"/>
  <c r="E450" i="2" s="1"/>
  <c r="C181" i="1"/>
  <c r="E182" i="1" s="1"/>
  <c r="N182" i="1" s="1"/>
  <c r="B181" i="1"/>
  <c r="D182" i="1" s="1"/>
  <c r="H182" i="1" s="1"/>
  <c r="I182" i="1" s="1"/>
  <c r="K449" i="2" l="1"/>
  <c r="B449" i="2" s="1"/>
  <c r="D450" i="2" s="1"/>
  <c r="H450" i="2" s="1"/>
  <c r="I450" i="2" s="1"/>
  <c r="Z450" i="2" s="1"/>
  <c r="N449" i="2"/>
  <c r="O182" i="1"/>
  <c r="F182" i="1"/>
  <c r="G182" i="1" s="1"/>
  <c r="M182" i="1" s="1"/>
  <c r="J182" i="1"/>
  <c r="F450" i="2" l="1"/>
  <c r="G450" i="2" s="1"/>
  <c r="Y450" i="2" s="1"/>
  <c r="J450" i="2"/>
  <c r="L450" i="2"/>
  <c r="C450" i="2" s="1"/>
  <c r="E451" i="2" s="1"/>
  <c r="C182" i="1"/>
  <c r="E183" i="1" s="1"/>
  <c r="N183" i="1" s="1"/>
  <c r="B182" i="1"/>
  <c r="D183" i="1" s="1"/>
  <c r="H183" i="1" s="1"/>
  <c r="I183" i="1" s="1"/>
  <c r="K450" i="2" l="1"/>
  <c r="B450" i="2" s="1"/>
  <c r="D451" i="2" s="1"/>
  <c r="H451" i="2" s="1"/>
  <c r="I451" i="2" s="1"/>
  <c r="Z451" i="2" s="1"/>
  <c r="N450" i="2"/>
  <c r="O183" i="1"/>
  <c r="J183" i="1"/>
  <c r="F183" i="1"/>
  <c r="G183" i="1" s="1"/>
  <c r="M183" i="1" s="1"/>
  <c r="F451" i="2" l="1"/>
  <c r="G451" i="2" s="1"/>
  <c r="Y451" i="2" s="1"/>
  <c r="J451" i="2"/>
  <c r="L451" i="2"/>
  <c r="C451" i="2" s="1"/>
  <c r="E452" i="2" s="1"/>
  <c r="B183" i="1"/>
  <c r="D184" i="1" s="1"/>
  <c r="C183" i="1"/>
  <c r="E184" i="1" s="1"/>
  <c r="N184" i="1" s="1"/>
  <c r="N451" i="2" l="1"/>
  <c r="K451" i="2"/>
  <c r="B451" i="2" s="1"/>
  <c r="D452" i="2" s="1"/>
  <c r="H452" i="2" s="1"/>
  <c r="I452" i="2" s="1"/>
  <c r="Z452" i="2" s="1"/>
  <c r="H184" i="1"/>
  <c r="I184" i="1" s="1"/>
  <c r="J452" i="2" l="1"/>
  <c r="L452" i="2"/>
  <c r="C452" i="2" s="1"/>
  <c r="E453" i="2" s="1"/>
  <c r="F452" i="2"/>
  <c r="G452" i="2" s="1"/>
  <c r="Y452" i="2" s="1"/>
  <c r="O184" i="1"/>
  <c r="F184" i="1"/>
  <c r="G184" i="1" s="1"/>
  <c r="M184" i="1" s="1"/>
  <c r="J184" i="1"/>
  <c r="N452" i="2" l="1"/>
  <c r="K452" i="2"/>
  <c r="B452" i="2" s="1"/>
  <c r="D453" i="2" s="1"/>
  <c r="H453" i="2" s="1"/>
  <c r="I453" i="2" s="1"/>
  <c r="Z453" i="2" s="1"/>
  <c r="B184" i="1"/>
  <c r="D185" i="1" s="1"/>
  <c r="C184" i="1"/>
  <c r="E185" i="1" s="1"/>
  <c r="N185" i="1" s="1"/>
  <c r="J453" i="2" l="1"/>
  <c r="L453" i="2"/>
  <c r="C453" i="2" s="1"/>
  <c r="E454" i="2" s="1"/>
  <c r="F453" i="2"/>
  <c r="G453" i="2" s="1"/>
  <c r="Y453" i="2" s="1"/>
  <c r="H185" i="1"/>
  <c r="I185" i="1" s="1"/>
  <c r="K453" i="2" l="1"/>
  <c r="B453" i="2" s="1"/>
  <c r="D454" i="2" s="1"/>
  <c r="H454" i="2" s="1"/>
  <c r="I454" i="2" s="1"/>
  <c r="Z454" i="2" s="1"/>
  <c r="N453" i="2"/>
  <c r="O185" i="1"/>
  <c r="F185" i="1"/>
  <c r="G185" i="1" s="1"/>
  <c r="M185" i="1" s="1"/>
  <c r="J185" i="1"/>
  <c r="L454" i="2" l="1"/>
  <c r="C454" i="2" s="1"/>
  <c r="E455" i="2" s="1"/>
  <c r="J454" i="2"/>
  <c r="F454" i="2"/>
  <c r="G454" i="2" s="1"/>
  <c r="Y454" i="2" s="1"/>
  <c r="B185" i="1"/>
  <c r="D186" i="1" s="1"/>
  <c r="C185" i="1"/>
  <c r="E186" i="1" s="1"/>
  <c r="N186" i="1" s="1"/>
  <c r="K454" i="2" l="1"/>
  <c r="B454" i="2" s="1"/>
  <c r="D455" i="2" s="1"/>
  <c r="H455" i="2" s="1"/>
  <c r="I455" i="2" s="1"/>
  <c r="Z455" i="2" s="1"/>
  <c r="N454" i="2"/>
  <c r="H186" i="1"/>
  <c r="I186" i="1" s="1"/>
  <c r="F455" i="2" l="1"/>
  <c r="G455" i="2" s="1"/>
  <c r="Y455" i="2" s="1"/>
  <c r="J455" i="2"/>
  <c r="L455" i="2"/>
  <c r="C455" i="2" s="1"/>
  <c r="E456" i="2" s="1"/>
  <c r="O186" i="1"/>
  <c r="F186" i="1"/>
  <c r="G186" i="1" s="1"/>
  <c r="M186" i="1" s="1"/>
  <c r="J186" i="1"/>
  <c r="N455" i="2" l="1"/>
  <c r="K455" i="2"/>
  <c r="B455" i="2" s="1"/>
  <c r="D456" i="2" s="1"/>
  <c r="H456" i="2" s="1"/>
  <c r="I456" i="2" s="1"/>
  <c r="Z456" i="2" s="1"/>
  <c r="B186" i="1"/>
  <c r="D187" i="1" s="1"/>
  <c r="C186" i="1"/>
  <c r="E187" i="1" s="1"/>
  <c r="N187" i="1" s="1"/>
  <c r="J456" i="2" l="1"/>
  <c r="F456" i="2"/>
  <c r="G456" i="2" s="1"/>
  <c r="Y456" i="2" s="1"/>
  <c r="L456" i="2"/>
  <c r="C456" i="2" s="1"/>
  <c r="E457" i="2" s="1"/>
  <c r="H187" i="1"/>
  <c r="I187" i="1" s="1"/>
  <c r="K456" i="2" l="1"/>
  <c r="B456" i="2" s="1"/>
  <c r="D457" i="2" s="1"/>
  <c r="H457" i="2" s="1"/>
  <c r="I457" i="2" s="1"/>
  <c r="Z457" i="2" s="1"/>
  <c r="N456" i="2"/>
  <c r="O187" i="1"/>
  <c r="F187" i="1"/>
  <c r="G187" i="1" s="1"/>
  <c r="M187" i="1" s="1"/>
  <c r="J187" i="1"/>
  <c r="L457" i="2" l="1"/>
  <c r="C457" i="2" s="1"/>
  <c r="E458" i="2" s="1"/>
  <c r="F457" i="2"/>
  <c r="G457" i="2" s="1"/>
  <c r="Y457" i="2" s="1"/>
  <c r="J457" i="2"/>
  <c r="B187" i="1"/>
  <c r="D188" i="1" s="1"/>
  <c r="C187" i="1"/>
  <c r="E188" i="1" s="1"/>
  <c r="N188" i="1" s="1"/>
  <c r="N457" i="2" l="1"/>
  <c r="K457" i="2"/>
  <c r="B457" i="2" s="1"/>
  <c r="D458" i="2" s="1"/>
  <c r="H458" i="2" s="1"/>
  <c r="I458" i="2" s="1"/>
  <c r="Z458" i="2" s="1"/>
  <c r="H188" i="1"/>
  <c r="I188" i="1" s="1"/>
  <c r="F458" i="2" l="1"/>
  <c r="G458" i="2" s="1"/>
  <c r="Y458" i="2" s="1"/>
  <c r="J458" i="2"/>
  <c r="L458" i="2"/>
  <c r="C458" i="2" s="1"/>
  <c r="E459" i="2" s="1"/>
  <c r="O188" i="1"/>
  <c r="F188" i="1"/>
  <c r="G188" i="1" s="1"/>
  <c r="M188" i="1" s="1"/>
  <c r="J188" i="1"/>
  <c r="N458" i="2" l="1"/>
  <c r="K458" i="2"/>
  <c r="B458" i="2" s="1"/>
  <c r="D459" i="2" s="1"/>
  <c r="H459" i="2" s="1"/>
  <c r="I459" i="2" s="1"/>
  <c r="Z459" i="2" s="1"/>
  <c r="B188" i="1"/>
  <c r="D189" i="1" s="1"/>
  <c r="C188" i="1"/>
  <c r="E189" i="1" s="1"/>
  <c r="N189" i="1" s="1"/>
  <c r="J459" i="2" l="1"/>
  <c r="L459" i="2"/>
  <c r="C459" i="2" s="1"/>
  <c r="E460" i="2" s="1"/>
  <c r="F459" i="2"/>
  <c r="G459" i="2" s="1"/>
  <c r="Y459" i="2" s="1"/>
  <c r="H189" i="1"/>
  <c r="I189" i="1" s="1"/>
  <c r="K459" i="2" l="1"/>
  <c r="B459" i="2" s="1"/>
  <c r="D460" i="2" s="1"/>
  <c r="H460" i="2" s="1"/>
  <c r="I460" i="2" s="1"/>
  <c r="Z460" i="2" s="1"/>
  <c r="N459" i="2"/>
  <c r="O189" i="1"/>
  <c r="J189" i="1"/>
  <c r="F189" i="1"/>
  <c r="G189" i="1" s="1"/>
  <c r="M189" i="1" s="1"/>
  <c r="F460" i="2" l="1"/>
  <c r="G460" i="2" s="1"/>
  <c r="Y460" i="2" s="1"/>
  <c r="L460" i="2"/>
  <c r="C460" i="2" s="1"/>
  <c r="E461" i="2" s="1"/>
  <c r="J460" i="2"/>
  <c r="B189" i="1"/>
  <c r="D190" i="1" s="1"/>
  <c r="C189" i="1"/>
  <c r="E190" i="1" s="1"/>
  <c r="N190" i="1" s="1"/>
  <c r="N460" i="2" l="1"/>
  <c r="K460" i="2"/>
  <c r="B460" i="2" s="1"/>
  <c r="D461" i="2" s="1"/>
  <c r="H461" i="2" s="1"/>
  <c r="I461" i="2" s="1"/>
  <c r="Z461" i="2" s="1"/>
  <c r="H190" i="1"/>
  <c r="I190" i="1" s="1"/>
  <c r="J461" i="2" l="1"/>
  <c r="F461" i="2"/>
  <c r="G461" i="2" s="1"/>
  <c r="Y461" i="2" s="1"/>
  <c r="L461" i="2"/>
  <c r="C461" i="2" s="1"/>
  <c r="E462" i="2" s="1"/>
  <c r="O190" i="1"/>
  <c r="F190" i="1"/>
  <c r="G190" i="1" s="1"/>
  <c r="M190" i="1" s="1"/>
  <c r="J190" i="1"/>
  <c r="N461" i="2" l="1"/>
  <c r="K461" i="2"/>
  <c r="B461" i="2" s="1"/>
  <c r="D462" i="2" s="1"/>
  <c r="H462" i="2" s="1"/>
  <c r="I462" i="2" s="1"/>
  <c r="Z462" i="2" s="1"/>
  <c r="B190" i="1"/>
  <c r="D191" i="1" s="1"/>
  <c r="C190" i="1"/>
  <c r="E191" i="1" s="1"/>
  <c r="N191" i="1" s="1"/>
  <c r="L462" i="2" l="1"/>
  <c r="C462" i="2" s="1"/>
  <c r="E463" i="2" s="1"/>
  <c r="F462" i="2"/>
  <c r="G462" i="2" s="1"/>
  <c r="Y462" i="2" s="1"/>
  <c r="J462" i="2"/>
  <c r="H191" i="1"/>
  <c r="I191" i="1" s="1"/>
  <c r="K462" i="2" l="1"/>
  <c r="B462" i="2" s="1"/>
  <c r="D463" i="2" s="1"/>
  <c r="H463" i="2" s="1"/>
  <c r="I463" i="2" s="1"/>
  <c r="Z463" i="2" s="1"/>
  <c r="N462" i="2"/>
  <c r="O191" i="1"/>
  <c r="J191" i="1"/>
  <c r="F191" i="1"/>
  <c r="G191" i="1" s="1"/>
  <c r="M191" i="1" s="1"/>
  <c r="F463" i="2" l="1"/>
  <c r="G463" i="2" s="1"/>
  <c r="Y463" i="2" s="1"/>
  <c r="L463" i="2"/>
  <c r="C463" i="2" s="1"/>
  <c r="E464" i="2" s="1"/>
  <c r="J463" i="2"/>
  <c r="B191" i="1"/>
  <c r="D192" i="1" s="1"/>
  <c r="C191" i="1"/>
  <c r="E192" i="1" s="1"/>
  <c r="N192" i="1" s="1"/>
  <c r="N463" i="2" l="1"/>
  <c r="K463" i="2"/>
  <c r="B463" i="2" s="1"/>
  <c r="D464" i="2" s="1"/>
  <c r="H464" i="2" s="1"/>
  <c r="I464" i="2" s="1"/>
  <c r="Z464" i="2" s="1"/>
  <c r="H192" i="1"/>
  <c r="I192" i="1" s="1"/>
  <c r="J464" i="2" l="1"/>
  <c r="L464" i="2"/>
  <c r="C464" i="2" s="1"/>
  <c r="E465" i="2" s="1"/>
  <c r="F464" i="2"/>
  <c r="G464" i="2" s="1"/>
  <c r="Y464" i="2" s="1"/>
  <c r="O192" i="1"/>
  <c r="J192" i="1"/>
  <c r="F192" i="1"/>
  <c r="G192" i="1" s="1"/>
  <c r="M192" i="1" s="1"/>
  <c r="K464" i="2" l="1"/>
  <c r="B464" i="2" s="1"/>
  <c r="D465" i="2" s="1"/>
  <c r="H465" i="2" s="1"/>
  <c r="I465" i="2" s="1"/>
  <c r="Z465" i="2" s="1"/>
  <c r="N464" i="2"/>
  <c r="B192" i="1"/>
  <c r="D193" i="1" s="1"/>
  <c r="C192" i="1"/>
  <c r="E193" i="1" s="1"/>
  <c r="N193" i="1" s="1"/>
  <c r="L465" i="2" l="1"/>
  <c r="C465" i="2" s="1"/>
  <c r="E466" i="2" s="1"/>
  <c r="F465" i="2"/>
  <c r="G465" i="2" s="1"/>
  <c r="Y465" i="2" s="1"/>
  <c r="J465" i="2"/>
  <c r="H193" i="1"/>
  <c r="I193" i="1" s="1"/>
  <c r="N465" i="2" l="1"/>
  <c r="K465" i="2"/>
  <c r="B465" i="2" s="1"/>
  <c r="D466" i="2" s="1"/>
  <c r="H466" i="2" s="1"/>
  <c r="I466" i="2" s="1"/>
  <c r="Z466" i="2" s="1"/>
  <c r="O193" i="1"/>
  <c r="J193" i="1"/>
  <c r="F193" i="1"/>
  <c r="G193" i="1" s="1"/>
  <c r="M193" i="1" s="1"/>
  <c r="L466" i="2" l="1"/>
  <c r="C466" i="2" s="1"/>
  <c r="E467" i="2" s="1"/>
  <c r="J466" i="2"/>
  <c r="F466" i="2"/>
  <c r="G466" i="2" s="1"/>
  <c r="Y466" i="2" s="1"/>
  <c r="C193" i="1"/>
  <c r="E194" i="1" s="1"/>
  <c r="N194" i="1" s="1"/>
  <c r="B193" i="1"/>
  <c r="D194" i="1" s="1"/>
  <c r="H194" i="1" s="1"/>
  <c r="I194" i="1" s="1"/>
  <c r="K466" i="2" l="1"/>
  <c r="B466" i="2" s="1"/>
  <c r="D467" i="2" s="1"/>
  <c r="H467" i="2" s="1"/>
  <c r="I467" i="2" s="1"/>
  <c r="Z467" i="2" s="1"/>
  <c r="N466" i="2"/>
  <c r="O194" i="1"/>
  <c r="F194" i="1"/>
  <c r="G194" i="1" s="1"/>
  <c r="M194" i="1" s="1"/>
  <c r="J194" i="1"/>
  <c r="J467" i="2" l="1"/>
  <c r="L467" i="2"/>
  <c r="C467" i="2" s="1"/>
  <c r="E468" i="2" s="1"/>
  <c r="F467" i="2"/>
  <c r="G467" i="2" s="1"/>
  <c r="Y467" i="2" s="1"/>
  <c r="C194" i="1"/>
  <c r="E195" i="1" s="1"/>
  <c r="N195" i="1" s="1"/>
  <c r="B194" i="1"/>
  <c r="D195" i="1" s="1"/>
  <c r="H195" i="1" s="1"/>
  <c r="I195" i="1" s="1"/>
  <c r="K467" i="2" l="1"/>
  <c r="B467" i="2" s="1"/>
  <c r="D468" i="2" s="1"/>
  <c r="H468" i="2" s="1"/>
  <c r="I468" i="2" s="1"/>
  <c r="Z468" i="2" s="1"/>
  <c r="N467" i="2"/>
  <c r="O195" i="1"/>
  <c r="F195" i="1"/>
  <c r="G195" i="1" s="1"/>
  <c r="M195" i="1" s="1"/>
  <c r="J195" i="1"/>
  <c r="F468" i="2" l="1"/>
  <c r="G468" i="2" s="1"/>
  <c r="Y468" i="2" s="1"/>
  <c r="J468" i="2"/>
  <c r="L468" i="2"/>
  <c r="C468" i="2" s="1"/>
  <c r="E469" i="2" s="1"/>
  <c r="C195" i="1"/>
  <c r="E196" i="1" s="1"/>
  <c r="N196" i="1" s="1"/>
  <c r="B195" i="1"/>
  <c r="D196" i="1" s="1"/>
  <c r="H196" i="1" s="1"/>
  <c r="I196" i="1" s="1"/>
  <c r="N468" i="2" l="1"/>
  <c r="K468" i="2"/>
  <c r="B468" i="2" s="1"/>
  <c r="D469" i="2" s="1"/>
  <c r="H469" i="2" s="1"/>
  <c r="I469" i="2" s="1"/>
  <c r="Z469" i="2" s="1"/>
  <c r="O196" i="1"/>
  <c r="F196" i="1"/>
  <c r="G196" i="1" s="1"/>
  <c r="M196" i="1" s="1"/>
  <c r="J196" i="1"/>
  <c r="J469" i="2" l="1"/>
  <c r="L469" i="2"/>
  <c r="C469" i="2" s="1"/>
  <c r="E470" i="2" s="1"/>
  <c r="F469" i="2"/>
  <c r="G469" i="2" s="1"/>
  <c r="Y469" i="2" s="1"/>
  <c r="C196" i="1"/>
  <c r="E197" i="1" s="1"/>
  <c r="N197" i="1" s="1"/>
  <c r="B196" i="1"/>
  <c r="D197" i="1" s="1"/>
  <c r="H197" i="1" s="1"/>
  <c r="I197" i="1" s="1"/>
  <c r="K469" i="2" l="1"/>
  <c r="B469" i="2" s="1"/>
  <c r="D470" i="2" s="1"/>
  <c r="H470" i="2" s="1"/>
  <c r="I470" i="2" s="1"/>
  <c r="Z470" i="2" s="1"/>
  <c r="N469" i="2"/>
  <c r="O197" i="1"/>
  <c r="J197" i="1"/>
  <c r="F197" i="1"/>
  <c r="G197" i="1" s="1"/>
  <c r="M197" i="1" s="1"/>
  <c r="L470" i="2" l="1"/>
  <c r="C470" i="2" s="1"/>
  <c r="E471" i="2" s="1"/>
  <c r="J470" i="2"/>
  <c r="F470" i="2"/>
  <c r="G470" i="2" s="1"/>
  <c r="Y470" i="2" s="1"/>
  <c r="B197" i="1"/>
  <c r="D198" i="1" s="1"/>
  <c r="C197" i="1"/>
  <c r="E198" i="1" s="1"/>
  <c r="N198" i="1" s="1"/>
  <c r="K470" i="2" l="1"/>
  <c r="B470" i="2" s="1"/>
  <c r="D471" i="2" s="1"/>
  <c r="H471" i="2" s="1"/>
  <c r="I471" i="2" s="1"/>
  <c r="Z471" i="2" s="1"/>
  <c r="N470" i="2"/>
  <c r="H198" i="1"/>
  <c r="I198" i="1" s="1"/>
  <c r="F471" i="2" l="1"/>
  <c r="G471" i="2" s="1"/>
  <c r="Y471" i="2" s="1"/>
  <c r="J471" i="2"/>
  <c r="L471" i="2"/>
  <c r="C471" i="2" s="1"/>
  <c r="E472" i="2" s="1"/>
  <c r="O198" i="1"/>
  <c r="F198" i="1"/>
  <c r="G198" i="1" s="1"/>
  <c r="M198" i="1" s="1"/>
  <c r="J198" i="1"/>
  <c r="N471" i="2" l="1"/>
  <c r="K471" i="2"/>
  <c r="B471" i="2" s="1"/>
  <c r="D472" i="2" s="1"/>
  <c r="H472" i="2" s="1"/>
  <c r="I472" i="2" s="1"/>
  <c r="Z472" i="2" s="1"/>
  <c r="B198" i="1"/>
  <c r="D199" i="1" s="1"/>
  <c r="C198" i="1"/>
  <c r="E199" i="1" s="1"/>
  <c r="N199" i="1" s="1"/>
  <c r="J472" i="2" l="1"/>
  <c r="F472" i="2"/>
  <c r="G472" i="2" s="1"/>
  <c r="Y472" i="2" s="1"/>
  <c r="L472" i="2"/>
  <c r="C472" i="2" s="1"/>
  <c r="E473" i="2" s="1"/>
  <c r="H199" i="1"/>
  <c r="I199" i="1" s="1"/>
  <c r="K472" i="2" l="1"/>
  <c r="B472" i="2" s="1"/>
  <c r="D473" i="2" s="1"/>
  <c r="H473" i="2" s="1"/>
  <c r="I473" i="2" s="1"/>
  <c r="Z473" i="2" s="1"/>
  <c r="N472" i="2"/>
  <c r="O199" i="1"/>
  <c r="F199" i="1"/>
  <c r="G199" i="1" s="1"/>
  <c r="M199" i="1" s="1"/>
  <c r="J199" i="1"/>
  <c r="L473" i="2" l="1"/>
  <c r="C473" i="2" s="1"/>
  <c r="E474" i="2" s="1"/>
  <c r="F473" i="2"/>
  <c r="G473" i="2" s="1"/>
  <c r="Y473" i="2" s="1"/>
  <c r="J473" i="2"/>
  <c r="B199" i="1"/>
  <c r="D200" i="1" s="1"/>
  <c r="C199" i="1"/>
  <c r="E200" i="1" s="1"/>
  <c r="N200" i="1" s="1"/>
  <c r="N473" i="2" l="1"/>
  <c r="K473" i="2"/>
  <c r="B473" i="2" s="1"/>
  <c r="D474" i="2" s="1"/>
  <c r="H474" i="2" s="1"/>
  <c r="I474" i="2" s="1"/>
  <c r="Z474" i="2" s="1"/>
  <c r="H200" i="1"/>
  <c r="I200" i="1" s="1"/>
  <c r="F474" i="2" l="1"/>
  <c r="G474" i="2" s="1"/>
  <c r="Y474" i="2" s="1"/>
  <c r="L474" i="2"/>
  <c r="C474" i="2" s="1"/>
  <c r="E475" i="2" s="1"/>
  <c r="J474" i="2"/>
  <c r="O200" i="1"/>
  <c r="F200" i="1"/>
  <c r="G200" i="1" s="1"/>
  <c r="M200" i="1" s="1"/>
  <c r="J200" i="1"/>
  <c r="N474" i="2" l="1"/>
  <c r="K474" i="2"/>
  <c r="B474" i="2" s="1"/>
  <c r="D475" i="2" s="1"/>
  <c r="H475" i="2" s="1"/>
  <c r="I475" i="2" s="1"/>
  <c r="Z475" i="2" s="1"/>
  <c r="B200" i="1"/>
  <c r="D201" i="1" s="1"/>
  <c r="C200" i="1"/>
  <c r="E201" i="1" s="1"/>
  <c r="N201" i="1" s="1"/>
  <c r="J475" i="2" l="1"/>
  <c r="L475" i="2"/>
  <c r="C475" i="2" s="1"/>
  <c r="E476" i="2" s="1"/>
  <c r="F475" i="2"/>
  <c r="G475" i="2" s="1"/>
  <c r="Y475" i="2" s="1"/>
  <c r="H201" i="1"/>
  <c r="I201" i="1" s="1"/>
  <c r="K475" i="2" l="1"/>
  <c r="B475" i="2" s="1"/>
  <c r="D476" i="2" s="1"/>
  <c r="H476" i="2" s="1"/>
  <c r="I476" i="2" s="1"/>
  <c r="Z476" i="2" s="1"/>
  <c r="N475" i="2"/>
  <c r="O201" i="1"/>
  <c r="F201" i="1"/>
  <c r="G201" i="1" s="1"/>
  <c r="M201" i="1" s="1"/>
  <c r="J201" i="1"/>
  <c r="F476" i="2" l="1"/>
  <c r="G476" i="2" s="1"/>
  <c r="Y476" i="2" s="1"/>
  <c r="L476" i="2"/>
  <c r="C476" i="2" s="1"/>
  <c r="E477" i="2" s="1"/>
  <c r="J476" i="2"/>
  <c r="C201" i="1"/>
  <c r="E202" i="1" s="1"/>
  <c r="N202" i="1" s="1"/>
  <c r="B201" i="1"/>
  <c r="D202" i="1" s="1"/>
  <c r="H202" i="1" s="1"/>
  <c r="I202" i="1" s="1"/>
  <c r="N476" i="2" l="1"/>
  <c r="K476" i="2"/>
  <c r="B476" i="2" s="1"/>
  <c r="D477" i="2" s="1"/>
  <c r="H477" i="2" s="1"/>
  <c r="I477" i="2" s="1"/>
  <c r="Z477" i="2" s="1"/>
  <c r="O202" i="1"/>
  <c r="J202" i="1"/>
  <c r="F202" i="1"/>
  <c r="G202" i="1" s="1"/>
  <c r="M202" i="1" s="1"/>
  <c r="J477" i="2" l="1"/>
  <c r="F477" i="2"/>
  <c r="G477" i="2" s="1"/>
  <c r="Y477" i="2" s="1"/>
  <c r="L477" i="2"/>
  <c r="C477" i="2" s="1"/>
  <c r="E478" i="2" s="1"/>
  <c r="B202" i="1"/>
  <c r="D203" i="1" s="1"/>
  <c r="C202" i="1"/>
  <c r="E203" i="1" s="1"/>
  <c r="N203" i="1" s="1"/>
  <c r="N477" i="2" l="1"/>
  <c r="K477" i="2"/>
  <c r="B477" i="2" s="1"/>
  <c r="D478" i="2" s="1"/>
  <c r="H478" i="2" s="1"/>
  <c r="I478" i="2" s="1"/>
  <c r="Z478" i="2" s="1"/>
  <c r="H203" i="1"/>
  <c r="I203" i="1" s="1"/>
  <c r="L478" i="2" l="1"/>
  <c r="C478" i="2" s="1"/>
  <c r="E479" i="2" s="1"/>
  <c r="F478" i="2"/>
  <c r="G478" i="2" s="1"/>
  <c r="Y478" i="2" s="1"/>
  <c r="J478" i="2"/>
  <c r="O203" i="1"/>
  <c r="F203" i="1"/>
  <c r="G203" i="1" s="1"/>
  <c r="M203" i="1" s="1"/>
  <c r="J203" i="1"/>
  <c r="K478" i="2" l="1"/>
  <c r="B478" i="2" s="1"/>
  <c r="D479" i="2" s="1"/>
  <c r="H479" i="2" s="1"/>
  <c r="I479" i="2" s="1"/>
  <c r="Z479" i="2" s="1"/>
  <c r="N478" i="2"/>
  <c r="C203" i="1"/>
  <c r="E204" i="1" s="1"/>
  <c r="N204" i="1" s="1"/>
  <c r="B203" i="1"/>
  <c r="D204" i="1" s="1"/>
  <c r="H204" i="1" s="1"/>
  <c r="I204" i="1" s="1"/>
  <c r="F479" i="2" l="1"/>
  <c r="G479" i="2" s="1"/>
  <c r="Y479" i="2" s="1"/>
  <c r="L479" i="2"/>
  <c r="C479" i="2" s="1"/>
  <c r="E480" i="2" s="1"/>
  <c r="J479" i="2"/>
  <c r="O204" i="1"/>
  <c r="F204" i="1"/>
  <c r="G204" i="1" s="1"/>
  <c r="M204" i="1" s="1"/>
  <c r="J204" i="1"/>
  <c r="N479" i="2" l="1"/>
  <c r="K479" i="2"/>
  <c r="B479" i="2" s="1"/>
  <c r="D480" i="2" s="1"/>
  <c r="H480" i="2" s="1"/>
  <c r="I480" i="2" s="1"/>
  <c r="Z480" i="2" s="1"/>
  <c r="C204" i="1"/>
  <c r="E205" i="1" s="1"/>
  <c r="N205" i="1" s="1"/>
  <c r="B204" i="1"/>
  <c r="D205" i="1" s="1"/>
  <c r="H205" i="1" s="1"/>
  <c r="I205" i="1" s="1"/>
  <c r="J480" i="2" l="1"/>
  <c r="L480" i="2"/>
  <c r="C480" i="2" s="1"/>
  <c r="E481" i="2" s="1"/>
  <c r="F480" i="2"/>
  <c r="G480" i="2" s="1"/>
  <c r="Y480" i="2" s="1"/>
  <c r="O205" i="1"/>
  <c r="F205" i="1"/>
  <c r="G205" i="1" s="1"/>
  <c r="M205" i="1" s="1"/>
  <c r="J205" i="1"/>
  <c r="K480" i="2" l="1"/>
  <c r="B480" i="2" s="1"/>
  <c r="D481" i="2" s="1"/>
  <c r="H481" i="2" s="1"/>
  <c r="I481" i="2" s="1"/>
  <c r="Z481" i="2" s="1"/>
  <c r="N480" i="2"/>
  <c r="C205" i="1"/>
  <c r="E206" i="1" s="1"/>
  <c r="N206" i="1" s="1"/>
  <c r="B205" i="1"/>
  <c r="D206" i="1" s="1"/>
  <c r="H206" i="1" s="1"/>
  <c r="I206" i="1" s="1"/>
  <c r="L481" i="2" l="1"/>
  <c r="C481" i="2" s="1"/>
  <c r="E482" i="2" s="1"/>
  <c r="F481" i="2"/>
  <c r="G481" i="2" s="1"/>
  <c r="Y481" i="2" s="1"/>
  <c r="J481" i="2"/>
  <c r="O206" i="1"/>
  <c r="F206" i="1"/>
  <c r="G206" i="1" s="1"/>
  <c r="M206" i="1" s="1"/>
  <c r="J206" i="1"/>
  <c r="N481" i="2" l="1"/>
  <c r="K481" i="2"/>
  <c r="B481" i="2" s="1"/>
  <c r="D482" i="2" s="1"/>
  <c r="H482" i="2" s="1"/>
  <c r="I482" i="2" s="1"/>
  <c r="Z482" i="2" s="1"/>
  <c r="C206" i="1"/>
  <c r="E207" i="1" s="1"/>
  <c r="N207" i="1" s="1"/>
  <c r="B206" i="1"/>
  <c r="D207" i="1" s="1"/>
  <c r="H207" i="1" s="1"/>
  <c r="I207" i="1" s="1"/>
  <c r="L482" i="2" l="1"/>
  <c r="C482" i="2" s="1"/>
  <c r="E483" i="2" s="1"/>
  <c r="J482" i="2"/>
  <c r="F482" i="2"/>
  <c r="G482" i="2" s="1"/>
  <c r="Y482" i="2" s="1"/>
  <c r="O207" i="1"/>
  <c r="J207" i="1"/>
  <c r="F207" i="1"/>
  <c r="G207" i="1" s="1"/>
  <c r="M207" i="1" s="1"/>
  <c r="K482" i="2" l="1"/>
  <c r="B482" i="2" s="1"/>
  <c r="D483" i="2" s="1"/>
  <c r="H483" i="2" s="1"/>
  <c r="I483" i="2" s="1"/>
  <c r="Z483" i="2" s="1"/>
  <c r="N482" i="2"/>
  <c r="C207" i="1"/>
  <c r="E208" i="1" s="1"/>
  <c r="N208" i="1" s="1"/>
  <c r="B207" i="1"/>
  <c r="D208" i="1" s="1"/>
  <c r="H208" i="1" s="1"/>
  <c r="I208" i="1" s="1"/>
  <c r="J483" i="2" l="1"/>
  <c r="L483" i="2"/>
  <c r="C483" i="2" s="1"/>
  <c r="E484" i="2" s="1"/>
  <c r="F483" i="2"/>
  <c r="G483" i="2" s="1"/>
  <c r="Y483" i="2" s="1"/>
  <c r="O208" i="1"/>
  <c r="F208" i="1"/>
  <c r="G208" i="1" s="1"/>
  <c r="M208" i="1" s="1"/>
  <c r="J208" i="1"/>
  <c r="K483" i="2" l="1"/>
  <c r="B483" i="2" s="1"/>
  <c r="D484" i="2" s="1"/>
  <c r="H484" i="2" s="1"/>
  <c r="I484" i="2" s="1"/>
  <c r="Z484" i="2" s="1"/>
  <c r="N483" i="2"/>
  <c r="C208" i="1"/>
  <c r="E209" i="1" s="1"/>
  <c r="N209" i="1" s="1"/>
  <c r="B208" i="1"/>
  <c r="D209" i="1" s="1"/>
  <c r="H209" i="1" s="1"/>
  <c r="I209" i="1" s="1"/>
  <c r="F484" i="2" l="1"/>
  <c r="G484" i="2" s="1"/>
  <c r="Y484" i="2" s="1"/>
  <c r="J484" i="2"/>
  <c r="L484" i="2"/>
  <c r="C484" i="2" s="1"/>
  <c r="E485" i="2" s="1"/>
  <c r="O209" i="1"/>
  <c r="J209" i="1"/>
  <c r="F209" i="1"/>
  <c r="G209" i="1" s="1"/>
  <c r="M209" i="1" s="1"/>
  <c r="N484" i="2" l="1"/>
  <c r="K484" i="2"/>
  <c r="B484" i="2" s="1"/>
  <c r="D485" i="2" s="1"/>
  <c r="H485" i="2" s="1"/>
  <c r="I485" i="2" s="1"/>
  <c r="Z485" i="2" s="1"/>
  <c r="B209" i="1"/>
  <c r="D210" i="1" s="1"/>
  <c r="C209" i="1"/>
  <c r="E210" i="1" s="1"/>
  <c r="N210" i="1" s="1"/>
  <c r="J485" i="2" l="1"/>
  <c r="L485" i="2"/>
  <c r="C485" i="2" s="1"/>
  <c r="E486" i="2" s="1"/>
  <c r="F485" i="2"/>
  <c r="G485" i="2" s="1"/>
  <c r="Y485" i="2" s="1"/>
  <c r="H210" i="1"/>
  <c r="I210" i="1" s="1"/>
  <c r="K485" i="2" l="1"/>
  <c r="B485" i="2" s="1"/>
  <c r="D486" i="2" s="1"/>
  <c r="H486" i="2" s="1"/>
  <c r="I486" i="2" s="1"/>
  <c r="Z486" i="2" s="1"/>
  <c r="N485" i="2"/>
  <c r="O210" i="1"/>
  <c r="J210" i="1"/>
  <c r="F210" i="1"/>
  <c r="G210" i="1" s="1"/>
  <c r="M210" i="1" s="1"/>
  <c r="L486" i="2" l="1"/>
  <c r="C486" i="2" s="1"/>
  <c r="E487" i="2" s="1"/>
  <c r="J486" i="2"/>
  <c r="F486" i="2"/>
  <c r="G486" i="2" s="1"/>
  <c r="Y486" i="2" s="1"/>
  <c r="B210" i="1"/>
  <c r="D211" i="1" s="1"/>
  <c r="C210" i="1"/>
  <c r="E211" i="1" s="1"/>
  <c r="N211" i="1" s="1"/>
  <c r="K486" i="2" l="1"/>
  <c r="B486" i="2" s="1"/>
  <c r="D487" i="2" s="1"/>
  <c r="H487" i="2" s="1"/>
  <c r="I487" i="2" s="1"/>
  <c r="Z487" i="2" s="1"/>
  <c r="N486" i="2"/>
  <c r="H211" i="1"/>
  <c r="I211" i="1" s="1"/>
  <c r="F487" i="2" l="1"/>
  <c r="G487" i="2" s="1"/>
  <c r="Y487" i="2" s="1"/>
  <c r="J487" i="2"/>
  <c r="L487" i="2"/>
  <c r="C487" i="2" s="1"/>
  <c r="E488" i="2" s="1"/>
  <c r="O211" i="1"/>
  <c r="F211" i="1"/>
  <c r="G211" i="1" s="1"/>
  <c r="M211" i="1" s="1"/>
  <c r="J211" i="1"/>
  <c r="N487" i="2" l="1"/>
  <c r="K487" i="2"/>
  <c r="B487" i="2" s="1"/>
  <c r="D488" i="2" s="1"/>
  <c r="H488" i="2" s="1"/>
  <c r="I488" i="2" s="1"/>
  <c r="Z488" i="2" s="1"/>
  <c r="B211" i="1"/>
  <c r="D212" i="1" s="1"/>
  <c r="C211" i="1"/>
  <c r="E212" i="1" s="1"/>
  <c r="N212" i="1" s="1"/>
  <c r="J488" i="2" l="1"/>
  <c r="F488" i="2"/>
  <c r="G488" i="2" s="1"/>
  <c r="Y488" i="2" s="1"/>
  <c r="L488" i="2"/>
  <c r="C488" i="2" s="1"/>
  <c r="E489" i="2" s="1"/>
  <c r="H212" i="1"/>
  <c r="I212" i="1" s="1"/>
  <c r="K488" i="2" l="1"/>
  <c r="B488" i="2" s="1"/>
  <c r="D489" i="2" s="1"/>
  <c r="H489" i="2" s="1"/>
  <c r="I489" i="2" s="1"/>
  <c r="Z489" i="2" s="1"/>
  <c r="N488" i="2"/>
  <c r="O212" i="1"/>
  <c r="F212" i="1"/>
  <c r="G212" i="1" s="1"/>
  <c r="M212" i="1" s="1"/>
  <c r="J212" i="1"/>
  <c r="L489" i="2" l="1"/>
  <c r="C489" i="2" s="1"/>
  <c r="E490" i="2" s="1"/>
  <c r="F489" i="2"/>
  <c r="G489" i="2" s="1"/>
  <c r="Y489" i="2" s="1"/>
  <c r="J489" i="2"/>
  <c r="B212" i="1"/>
  <c r="D213" i="1" s="1"/>
  <c r="C212" i="1"/>
  <c r="E213" i="1" s="1"/>
  <c r="N213" i="1" s="1"/>
  <c r="K489" i="2" l="1"/>
  <c r="B489" i="2" s="1"/>
  <c r="D490" i="2" s="1"/>
  <c r="H490" i="2" s="1"/>
  <c r="I490" i="2" s="1"/>
  <c r="Z490" i="2" s="1"/>
  <c r="N489" i="2"/>
  <c r="H213" i="1"/>
  <c r="I213" i="1" s="1"/>
  <c r="F490" i="2" l="1"/>
  <c r="G490" i="2" s="1"/>
  <c r="Y490" i="2" s="1"/>
  <c r="L490" i="2"/>
  <c r="C490" i="2" s="1"/>
  <c r="E491" i="2" s="1"/>
  <c r="J490" i="2"/>
  <c r="O213" i="1"/>
  <c r="F213" i="1"/>
  <c r="G213" i="1" s="1"/>
  <c r="M213" i="1" s="1"/>
  <c r="J213" i="1"/>
  <c r="N490" i="2" l="1"/>
  <c r="K490" i="2"/>
  <c r="B490" i="2" s="1"/>
  <c r="D491" i="2" s="1"/>
  <c r="H491" i="2" s="1"/>
  <c r="I491" i="2" s="1"/>
  <c r="Z491" i="2" s="1"/>
  <c r="B213" i="1"/>
  <c r="D214" i="1" s="1"/>
  <c r="C213" i="1"/>
  <c r="E214" i="1" s="1"/>
  <c r="N214" i="1" s="1"/>
  <c r="F491" i="2" l="1"/>
  <c r="G491" i="2" s="1"/>
  <c r="Y491" i="2" s="1"/>
  <c r="J491" i="2"/>
  <c r="L491" i="2"/>
  <c r="C491" i="2" s="1"/>
  <c r="E492" i="2" s="1"/>
  <c r="H214" i="1"/>
  <c r="I214" i="1" s="1"/>
  <c r="K491" i="2" l="1"/>
  <c r="B491" i="2" s="1"/>
  <c r="D492" i="2" s="1"/>
  <c r="H492" i="2" s="1"/>
  <c r="I492" i="2" s="1"/>
  <c r="Z492" i="2" s="1"/>
  <c r="N491" i="2"/>
  <c r="O214" i="1"/>
  <c r="F214" i="1"/>
  <c r="G214" i="1" s="1"/>
  <c r="M214" i="1" s="1"/>
  <c r="J214" i="1"/>
  <c r="F492" i="2" l="1"/>
  <c r="G492" i="2" s="1"/>
  <c r="Y492" i="2" s="1"/>
  <c r="L492" i="2"/>
  <c r="C492" i="2" s="1"/>
  <c r="E493" i="2" s="1"/>
  <c r="J492" i="2"/>
  <c r="C214" i="1"/>
  <c r="E215" i="1" s="1"/>
  <c r="N215" i="1" s="1"/>
  <c r="B214" i="1"/>
  <c r="D215" i="1" s="1"/>
  <c r="H215" i="1" s="1"/>
  <c r="I215" i="1" s="1"/>
  <c r="N492" i="2" l="1"/>
  <c r="K492" i="2"/>
  <c r="B492" i="2" s="1"/>
  <c r="D493" i="2" s="1"/>
  <c r="H493" i="2" s="1"/>
  <c r="I493" i="2" s="1"/>
  <c r="Z493" i="2" s="1"/>
  <c r="O215" i="1"/>
  <c r="F215" i="1"/>
  <c r="G215" i="1" s="1"/>
  <c r="M215" i="1" s="1"/>
  <c r="J215" i="1"/>
  <c r="J493" i="2" l="1"/>
  <c r="F493" i="2"/>
  <c r="G493" i="2" s="1"/>
  <c r="Y493" i="2" s="1"/>
  <c r="L493" i="2"/>
  <c r="C493" i="2" s="1"/>
  <c r="E494" i="2" s="1"/>
  <c r="C215" i="1"/>
  <c r="E216" i="1" s="1"/>
  <c r="N216" i="1" s="1"/>
  <c r="B215" i="1"/>
  <c r="D216" i="1" s="1"/>
  <c r="H216" i="1" s="1"/>
  <c r="I216" i="1" s="1"/>
  <c r="K493" i="2" l="1"/>
  <c r="B493" i="2" s="1"/>
  <c r="D494" i="2" s="1"/>
  <c r="H494" i="2" s="1"/>
  <c r="I494" i="2" s="1"/>
  <c r="Z494" i="2" s="1"/>
  <c r="N493" i="2"/>
  <c r="O216" i="1"/>
  <c r="J216" i="1"/>
  <c r="F216" i="1"/>
  <c r="G216" i="1" s="1"/>
  <c r="M216" i="1" s="1"/>
  <c r="L494" i="2" l="1"/>
  <c r="C494" i="2" s="1"/>
  <c r="E495" i="2" s="1"/>
  <c r="F494" i="2"/>
  <c r="G494" i="2" s="1"/>
  <c r="Y494" i="2" s="1"/>
  <c r="J494" i="2"/>
  <c r="B216" i="1"/>
  <c r="D217" i="1" s="1"/>
  <c r="C216" i="1"/>
  <c r="E217" i="1" s="1"/>
  <c r="N217" i="1" s="1"/>
  <c r="K494" i="2" l="1"/>
  <c r="B494" i="2" s="1"/>
  <c r="D495" i="2" s="1"/>
  <c r="H495" i="2" s="1"/>
  <c r="I495" i="2" s="1"/>
  <c r="Z495" i="2" s="1"/>
  <c r="N494" i="2"/>
  <c r="H217" i="1"/>
  <c r="I217" i="1" s="1"/>
  <c r="F495" i="2" l="1"/>
  <c r="G495" i="2" s="1"/>
  <c r="Y495" i="2" s="1"/>
  <c r="L495" i="2"/>
  <c r="C495" i="2" s="1"/>
  <c r="E496" i="2" s="1"/>
  <c r="J495" i="2"/>
  <c r="O217" i="1"/>
  <c r="F217" i="1"/>
  <c r="G217" i="1" s="1"/>
  <c r="M217" i="1" s="1"/>
  <c r="J217" i="1"/>
  <c r="N495" i="2" l="1"/>
  <c r="K495" i="2"/>
  <c r="B495" i="2" s="1"/>
  <c r="D496" i="2" s="1"/>
  <c r="H496" i="2" s="1"/>
  <c r="I496" i="2" s="1"/>
  <c r="Z496" i="2" s="1"/>
  <c r="C217" i="1"/>
  <c r="E218" i="1" s="1"/>
  <c r="N218" i="1" s="1"/>
  <c r="B217" i="1"/>
  <c r="D218" i="1" s="1"/>
  <c r="H218" i="1" s="1"/>
  <c r="I218" i="1" s="1"/>
  <c r="J496" i="2" l="1"/>
  <c r="L496" i="2"/>
  <c r="C496" i="2" s="1"/>
  <c r="E497" i="2" s="1"/>
  <c r="F496" i="2"/>
  <c r="G496" i="2" s="1"/>
  <c r="Y496" i="2" s="1"/>
  <c r="O218" i="1"/>
  <c r="J218" i="1"/>
  <c r="F218" i="1"/>
  <c r="G218" i="1" s="1"/>
  <c r="M218" i="1" s="1"/>
  <c r="K496" i="2" l="1"/>
  <c r="B496" i="2" s="1"/>
  <c r="D497" i="2" s="1"/>
  <c r="H497" i="2" s="1"/>
  <c r="I497" i="2" s="1"/>
  <c r="Z497" i="2" s="1"/>
  <c r="N496" i="2"/>
  <c r="B218" i="1"/>
  <c r="D219" i="1" s="1"/>
  <c r="C218" i="1"/>
  <c r="E219" i="1" s="1"/>
  <c r="N219" i="1" s="1"/>
  <c r="L497" i="2" l="1"/>
  <c r="C497" i="2" s="1"/>
  <c r="E498" i="2" s="1"/>
  <c r="F497" i="2"/>
  <c r="G497" i="2" s="1"/>
  <c r="Y497" i="2" s="1"/>
  <c r="J497" i="2"/>
  <c r="H219" i="1"/>
  <c r="I219" i="1" s="1"/>
  <c r="N497" i="2" l="1"/>
  <c r="K497" i="2"/>
  <c r="B497" i="2" s="1"/>
  <c r="D498" i="2" s="1"/>
  <c r="H498" i="2" s="1"/>
  <c r="I498" i="2" s="1"/>
  <c r="Z498" i="2" s="1"/>
  <c r="J219" i="1"/>
  <c r="O219" i="1"/>
  <c r="F219" i="1"/>
  <c r="G219" i="1" s="1"/>
  <c r="M219" i="1" s="1"/>
  <c r="L498" i="2" l="1"/>
  <c r="C498" i="2" s="1"/>
  <c r="E499" i="2" s="1"/>
  <c r="J498" i="2"/>
  <c r="F498" i="2"/>
  <c r="G498" i="2" s="1"/>
  <c r="Y498" i="2" s="1"/>
  <c r="B219" i="1"/>
  <c r="D220" i="1" s="1"/>
  <c r="C219" i="1"/>
  <c r="E220" i="1" s="1"/>
  <c r="N220" i="1" s="1"/>
  <c r="K498" i="2" l="1"/>
  <c r="B498" i="2" s="1"/>
  <c r="D499" i="2" s="1"/>
  <c r="H499" i="2" s="1"/>
  <c r="I499" i="2" s="1"/>
  <c r="Z499" i="2" s="1"/>
  <c r="N498" i="2"/>
  <c r="H220" i="1"/>
  <c r="I220" i="1" s="1"/>
  <c r="J499" i="2" l="1"/>
  <c r="F499" i="2"/>
  <c r="G499" i="2" s="1"/>
  <c r="Y499" i="2" s="1"/>
  <c r="L499" i="2"/>
  <c r="C499" i="2" s="1"/>
  <c r="E500" i="2" s="1"/>
  <c r="O220" i="1"/>
  <c r="F220" i="1"/>
  <c r="G220" i="1" s="1"/>
  <c r="M220" i="1" s="1"/>
  <c r="J220" i="1"/>
  <c r="N499" i="2" l="1"/>
  <c r="K499" i="2"/>
  <c r="B499" i="2" s="1"/>
  <c r="D500" i="2" s="1"/>
  <c r="H500" i="2" s="1"/>
  <c r="I500" i="2" s="1"/>
  <c r="Z500" i="2" s="1"/>
  <c r="B220" i="1"/>
  <c r="D221" i="1" s="1"/>
  <c r="C220" i="1"/>
  <c r="E221" i="1" s="1"/>
  <c r="N221" i="1" s="1"/>
  <c r="L500" i="2" l="1"/>
  <c r="C500" i="2" s="1"/>
  <c r="F500" i="2"/>
  <c r="G500" i="2" s="1"/>
  <c r="Y500" i="2" s="1"/>
  <c r="J500" i="2"/>
  <c r="H221" i="1"/>
  <c r="I221" i="1" s="1"/>
  <c r="N500" i="2" l="1"/>
  <c r="K500" i="2"/>
  <c r="B500" i="2" s="1"/>
  <c r="O221" i="1"/>
  <c r="J221" i="1"/>
  <c r="F221" i="1"/>
  <c r="G221" i="1" s="1"/>
  <c r="M221" i="1" s="1"/>
  <c r="B221" i="1" l="1"/>
  <c r="D222" i="1" s="1"/>
  <c r="C221" i="1"/>
  <c r="E222" i="1" s="1"/>
  <c r="N222" i="1" s="1"/>
  <c r="H222" i="1" l="1"/>
  <c r="I222" i="1" s="1"/>
  <c r="O222" i="1" l="1"/>
  <c r="F222" i="1"/>
  <c r="G222" i="1" s="1"/>
  <c r="M222" i="1" s="1"/>
  <c r="J222" i="1"/>
  <c r="B222" i="1" l="1"/>
  <c r="D223" i="1" s="1"/>
  <c r="C222" i="1"/>
  <c r="E223" i="1" s="1"/>
  <c r="N223" i="1" s="1"/>
  <c r="H223" i="1" l="1"/>
  <c r="I223" i="1" s="1"/>
  <c r="O223" i="1" l="1"/>
  <c r="J223" i="1"/>
  <c r="F223" i="1"/>
  <c r="G223" i="1" s="1"/>
  <c r="M223" i="1" s="1"/>
  <c r="C223" i="1" l="1"/>
  <c r="E224" i="1" s="1"/>
  <c r="N224" i="1" s="1"/>
  <c r="B223" i="1"/>
  <c r="D224" i="1" s="1"/>
  <c r="H224" i="1" s="1"/>
  <c r="I224" i="1" s="1"/>
  <c r="O224" i="1" l="1"/>
  <c r="J224" i="1"/>
  <c r="F224" i="1"/>
  <c r="G224" i="1" s="1"/>
  <c r="M224" i="1" s="1"/>
  <c r="B224" i="1" l="1"/>
  <c r="D225" i="1" s="1"/>
  <c r="C224" i="1"/>
  <c r="E225" i="1" s="1"/>
  <c r="N225" i="1" s="1"/>
  <c r="H225" i="1" l="1"/>
  <c r="I225" i="1" s="1"/>
  <c r="O225" i="1" l="1"/>
  <c r="J225" i="1"/>
  <c r="F225" i="1"/>
  <c r="G225" i="1" s="1"/>
  <c r="M225" i="1" s="1"/>
  <c r="C225" i="1" l="1"/>
  <c r="E226" i="1" s="1"/>
  <c r="N226" i="1" s="1"/>
  <c r="B225" i="1"/>
  <c r="D226" i="1" s="1"/>
  <c r="H226" i="1" s="1"/>
  <c r="I226" i="1" s="1"/>
  <c r="O226" i="1" l="1"/>
  <c r="J226" i="1"/>
  <c r="F226" i="1"/>
  <c r="G226" i="1" s="1"/>
  <c r="M226" i="1" s="1"/>
  <c r="B226" i="1" l="1"/>
  <c r="D227" i="1" s="1"/>
  <c r="C226" i="1"/>
  <c r="E227" i="1" s="1"/>
  <c r="N227" i="1" s="1"/>
  <c r="H227" i="1" l="1"/>
  <c r="I227" i="1" s="1"/>
  <c r="O227" i="1" l="1"/>
  <c r="J227" i="1"/>
  <c r="F227" i="1"/>
  <c r="G227" i="1" s="1"/>
  <c r="M227" i="1" s="1"/>
  <c r="B227" i="1" l="1"/>
  <c r="D228" i="1" s="1"/>
  <c r="C227" i="1"/>
  <c r="E228" i="1" s="1"/>
  <c r="N228" i="1" s="1"/>
  <c r="H228" i="1" l="1"/>
  <c r="I228" i="1" s="1"/>
  <c r="O228" i="1" l="1"/>
  <c r="J228" i="1"/>
  <c r="F228" i="1"/>
  <c r="G228" i="1" s="1"/>
  <c r="M228" i="1" s="1"/>
  <c r="B228" i="1" l="1"/>
  <c r="D229" i="1" s="1"/>
  <c r="C228" i="1"/>
  <c r="E229" i="1" s="1"/>
  <c r="N229" i="1" s="1"/>
  <c r="H229" i="1" l="1"/>
  <c r="I229" i="1" s="1"/>
  <c r="O229" i="1" l="1"/>
  <c r="J229" i="1"/>
  <c r="F229" i="1"/>
  <c r="G229" i="1" s="1"/>
  <c r="M229" i="1" s="1"/>
  <c r="B229" i="1" l="1"/>
  <c r="D230" i="1" s="1"/>
  <c r="C229" i="1"/>
  <c r="E230" i="1" s="1"/>
  <c r="N230" i="1" s="1"/>
  <c r="H230" i="1" l="1"/>
  <c r="I230" i="1" s="1"/>
  <c r="O230" i="1" l="1"/>
  <c r="F230" i="1"/>
  <c r="G230" i="1" s="1"/>
  <c r="M230" i="1" s="1"/>
  <c r="J230" i="1"/>
  <c r="B230" i="1" l="1"/>
  <c r="D231" i="1" s="1"/>
  <c r="C230" i="1"/>
  <c r="E231" i="1" s="1"/>
  <c r="N231" i="1" s="1"/>
  <c r="H231" i="1" l="1"/>
  <c r="I231" i="1" s="1"/>
  <c r="O231" i="1" l="1"/>
  <c r="J231" i="1"/>
  <c r="F231" i="1"/>
  <c r="G231" i="1" s="1"/>
  <c r="M231" i="1" s="1"/>
  <c r="B231" i="1" l="1"/>
  <c r="D232" i="1" s="1"/>
  <c r="C231" i="1"/>
  <c r="E232" i="1" s="1"/>
  <c r="N232" i="1" s="1"/>
  <c r="H232" i="1" l="1"/>
  <c r="I232" i="1" s="1"/>
  <c r="O232" i="1" l="1"/>
  <c r="J232" i="1"/>
  <c r="F232" i="1"/>
  <c r="G232" i="1" s="1"/>
  <c r="M232" i="1" s="1"/>
  <c r="C232" i="1" l="1"/>
  <c r="E233" i="1" s="1"/>
  <c r="N233" i="1" s="1"/>
  <c r="B232" i="1"/>
  <c r="D233" i="1" s="1"/>
  <c r="H233" i="1" s="1"/>
  <c r="I233" i="1" s="1"/>
  <c r="O233" i="1" l="1"/>
  <c r="J233" i="1"/>
  <c r="F233" i="1"/>
  <c r="G233" i="1" s="1"/>
  <c r="M233" i="1" s="1"/>
  <c r="C233" i="1" l="1"/>
  <c r="E234" i="1" s="1"/>
  <c r="N234" i="1" s="1"/>
  <c r="B233" i="1"/>
  <c r="D234" i="1" s="1"/>
  <c r="H234" i="1" s="1"/>
  <c r="I234" i="1" s="1"/>
  <c r="O234" i="1" l="1"/>
  <c r="J234" i="1"/>
  <c r="F234" i="1"/>
  <c r="G234" i="1" s="1"/>
  <c r="M234" i="1" s="1"/>
  <c r="B234" i="1" l="1"/>
  <c r="D235" i="1" s="1"/>
  <c r="C234" i="1"/>
  <c r="E235" i="1" s="1"/>
  <c r="N235" i="1" s="1"/>
  <c r="H235" i="1" l="1"/>
  <c r="I235" i="1" s="1"/>
  <c r="O235" i="1" l="1"/>
  <c r="J235" i="1"/>
  <c r="F235" i="1"/>
  <c r="G235" i="1" s="1"/>
  <c r="M235" i="1" s="1"/>
  <c r="B235" i="1" l="1"/>
  <c r="D236" i="1" s="1"/>
  <c r="C235" i="1"/>
  <c r="E236" i="1" s="1"/>
  <c r="N236" i="1" s="1"/>
  <c r="H236" i="1" l="1"/>
  <c r="I236" i="1" s="1"/>
  <c r="J236" i="1" l="1"/>
  <c r="O236" i="1"/>
  <c r="F236" i="1"/>
  <c r="G236" i="1" s="1"/>
  <c r="M236" i="1" s="1"/>
  <c r="B236" i="1" l="1"/>
  <c r="D237" i="1" s="1"/>
  <c r="C236" i="1"/>
  <c r="E237" i="1" s="1"/>
  <c r="N237" i="1" s="1"/>
  <c r="H237" i="1" l="1"/>
  <c r="I237" i="1" s="1"/>
  <c r="O237" i="1" l="1"/>
  <c r="F237" i="1"/>
  <c r="G237" i="1" s="1"/>
  <c r="M237" i="1" s="1"/>
  <c r="J237" i="1"/>
  <c r="C237" i="1" l="1"/>
  <c r="E238" i="1" s="1"/>
  <c r="N238" i="1" s="1"/>
  <c r="B237" i="1"/>
  <c r="D238" i="1" s="1"/>
  <c r="H238" i="1" s="1"/>
  <c r="I238" i="1" s="1"/>
  <c r="O238" i="1" l="1"/>
  <c r="F238" i="1"/>
  <c r="G238" i="1" s="1"/>
  <c r="M238" i="1" s="1"/>
  <c r="J238" i="1"/>
  <c r="B238" i="1" l="1"/>
  <c r="D239" i="1" s="1"/>
  <c r="C238" i="1"/>
  <c r="E239" i="1" s="1"/>
  <c r="N239" i="1" s="1"/>
  <c r="H239" i="1" l="1"/>
  <c r="I239" i="1" s="1"/>
  <c r="O239" i="1" l="1"/>
  <c r="J239" i="1"/>
  <c r="F239" i="1"/>
  <c r="G239" i="1" s="1"/>
  <c r="M239" i="1" s="1"/>
  <c r="C239" i="1" l="1"/>
  <c r="E240" i="1" s="1"/>
  <c r="N240" i="1" s="1"/>
  <c r="B239" i="1"/>
  <c r="D240" i="1" s="1"/>
  <c r="H240" i="1" s="1"/>
  <c r="I240" i="1" s="1"/>
  <c r="O240" i="1" l="1"/>
  <c r="F240" i="1"/>
  <c r="G240" i="1" s="1"/>
  <c r="M240" i="1" s="1"/>
  <c r="J240" i="1"/>
  <c r="B240" i="1" l="1"/>
  <c r="D241" i="1" s="1"/>
  <c r="C240" i="1"/>
  <c r="E241" i="1" s="1"/>
  <c r="N241" i="1" s="1"/>
  <c r="H241" i="1" l="1"/>
  <c r="I241" i="1" s="1"/>
  <c r="O241" i="1" l="1"/>
  <c r="J241" i="1"/>
  <c r="F241" i="1"/>
  <c r="G241" i="1" s="1"/>
  <c r="M241" i="1" s="1"/>
  <c r="B241" i="1" l="1"/>
  <c r="D242" i="1" s="1"/>
  <c r="C241" i="1"/>
  <c r="E242" i="1" s="1"/>
  <c r="N242" i="1" s="1"/>
  <c r="H242" i="1" l="1"/>
  <c r="I242" i="1" s="1"/>
  <c r="O242" i="1" l="1"/>
  <c r="F242" i="1"/>
  <c r="G242" i="1" s="1"/>
  <c r="M242" i="1" s="1"/>
  <c r="J242" i="1"/>
  <c r="B242" i="1" l="1"/>
  <c r="D243" i="1" s="1"/>
  <c r="C242" i="1"/>
  <c r="E243" i="1" s="1"/>
  <c r="N243" i="1" s="1"/>
  <c r="H243" i="1" l="1"/>
  <c r="I243" i="1" s="1"/>
  <c r="O243" i="1" l="1"/>
  <c r="J243" i="1"/>
  <c r="F243" i="1"/>
  <c r="G243" i="1" s="1"/>
  <c r="M243" i="1" s="1"/>
  <c r="B243" i="1" l="1"/>
  <c r="D244" i="1" s="1"/>
  <c r="C243" i="1"/>
  <c r="E244" i="1" s="1"/>
  <c r="N244" i="1" s="1"/>
  <c r="H244" i="1" l="1"/>
  <c r="I244" i="1" s="1"/>
  <c r="O244" i="1" l="1"/>
  <c r="J244" i="1"/>
  <c r="F244" i="1"/>
  <c r="G244" i="1" s="1"/>
  <c r="M244" i="1" s="1"/>
  <c r="B244" i="1" l="1"/>
  <c r="D245" i="1" s="1"/>
  <c r="C244" i="1"/>
  <c r="E245" i="1" s="1"/>
  <c r="N245" i="1" s="1"/>
  <c r="H245" i="1" l="1"/>
  <c r="I245" i="1" s="1"/>
  <c r="O245" i="1" l="1"/>
  <c r="J245" i="1"/>
  <c r="F245" i="1"/>
  <c r="G245" i="1" s="1"/>
  <c r="M245" i="1" s="1"/>
  <c r="B245" i="1" l="1"/>
  <c r="D246" i="1" s="1"/>
  <c r="C245" i="1"/>
  <c r="E246" i="1" s="1"/>
  <c r="N246" i="1" s="1"/>
  <c r="H246" i="1" l="1"/>
  <c r="I246" i="1" s="1"/>
  <c r="O246" i="1" l="1"/>
  <c r="F246" i="1"/>
  <c r="G246" i="1" s="1"/>
  <c r="M246" i="1" s="1"/>
  <c r="J246" i="1"/>
  <c r="C246" i="1" l="1"/>
  <c r="E247" i="1" s="1"/>
  <c r="N247" i="1" s="1"/>
  <c r="B246" i="1"/>
  <c r="D247" i="1" s="1"/>
  <c r="H247" i="1" s="1"/>
  <c r="I247" i="1" s="1"/>
  <c r="O247" i="1" l="1"/>
  <c r="F247" i="1"/>
  <c r="G247" i="1" s="1"/>
  <c r="M247" i="1" s="1"/>
  <c r="J247" i="1"/>
  <c r="C247" i="1" l="1"/>
  <c r="E248" i="1" s="1"/>
  <c r="N248" i="1" s="1"/>
  <c r="B247" i="1"/>
  <c r="D248" i="1" s="1"/>
  <c r="H248" i="1" s="1"/>
  <c r="I248" i="1" s="1"/>
  <c r="O248" i="1" l="1"/>
  <c r="F248" i="1"/>
  <c r="G248" i="1" s="1"/>
  <c r="M248" i="1" s="1"/>
  <c r="J248" i="1"/>
  <c r="B248" i="1" l="1"/>
  <c r="D249" i="1" s="1"/>
  <c r="C248" i="1"/>
  <c r="E249" i="1" s="1"/>
  <c r="N249" i="1" s="1"/>
  <c r="H249" i="1" l="1"/>
  <c r="I249" i="1" s="1"/>
  <c r="O249" i="1" l="1"/>
  <c r="F249" i="1"/>
  <c r="G249" i="1" s="1"/>
  <c r="M249" i="1" s="1"/>
  <c r="J249" i="1"/>
  <c r="C249" i="1" l="1"/>
  <c r="E250" i="1" s="1"/>
  <c r="N250" i="1" s="1"/>
  <c r="B249" i="1"/>
  <c r="D250" i="1" s="1"/>
  <c r="H250" i="1" s="1"/>
  <c r="I250" i="1" s="1"/>
  <c r="O250" i="1" l="1"/>
  <c r="F250" i="1"/>
  <c r="G250" i="1" s="1"/>
  <c r="M250" i="1" s="1"/>
  <c r="J250" i="1"/>
  <c r="B250" i="1" l="1"/>
  <c r="D251" i="1" s="1"/>
  <c r="C250" i="1"/>
  <c r="E251" i="1" s="1"/>
  <c r="N251" i="1" s="1"/>
  <c r="H251" i="1" l="1"/>
  <c r="I251" i="1" s="1"/>
  <c r="O251" i="1" l="1"/>
  <c r="J251" i="1"/>
  <c r="F251" i="1"/>
  <c r="G251" i="1" s="1"/>
  <c r="M251" i="1" s="1"/>
  <c r="B251" i="1" l="1"/>
  <c r="D252" i="1" s="1"/>
  <c r="C251" i="1"/>
  <c r="E252" i="1" s="1"/>
  <c r="N252" i="1" s="1"/>
  <c r="H252" i="1" l="1"/>
  <c r="I252" i="1" s="1"/>
  <c r="O252" i="1" l="1"/>
  <c r="J252" i="1"/>
  <c r="F252" i="1"/>
  <c r="G252" i="1" s="1"/>
  <c r="M252" i="1" s="1"/>
  <c r="B252" i="1" l="1"/>
  <c r="D253" i="1" s="1"/>
  <c r="C252" i="1"/>
  <c r="E253" i="1" s="1"/>
  <c r="N253" i="1" s="1"/>
  <c r="H253" i="1" l="1"/>
  <c r="I253" i="1" s="1"/>
  <c r="O253" i="1" l="1"/>
  <c r="J253" i="1"/>
  <c r="F253" i="1"/>
  <c r="G253" i="1" s="1"/>
  <c r="M253" i="1" s="1"/>
  <c r="B253" i="1" l="1"/>
  <c r="D254" i="1" s="1"/>
  <c r="C253" i="1"/>
  <c r="E254" i="1" s="1"/>
  <c r="N254" i="1" s="1"/>
  <c r="H254" i="1" l="1"/>
  <c r="I254" i="1" s="1"/>
  <c r="O254" i="1" l="1"/>
  <c r="J254" i="1"/>
  <c r="F254" i="1"/>
  <c r="G254" i="1" s="1"/>
  <c r="M254" i="1" s="1"/>
  <c r="B254" i="1" l="1"/>
  <c r="D255" i="1" s="1"/>
  <c r="C254" i="1"/>
  <c r="E255" i="1" s="1"/>
  <c r="N255" i="1" s="1"/>
  <c r="H255" i="1" l="1"/>
  <c r="I255" i="1" s="1"/>
  <c r="O255" i="1" l="1"/>
  <c r="F255" i="1"/>
  <c r="G255" i="1" s="1"/>
  <c r="M255" i="1" s="1"/>
  <c r="J255" i="1"/>
  <c r="B255" i="1" l="1"/>
  <c r="D256" i="1" s="1"/>
  <c r="C255" i="1"/>
  <c r="E256" i="1" s="1"/>
  <c r="N256" i="1" s="1"/>
  <c r="H256" i="1" l="1"/>
  <c r="I256" i="1" s="1"/>
  <c r="O256" i="1" l="1"/>
  <c r="F256" i="1"/>
  <c r="G256" i="1" s="1"/>
  <c r="M256" i="1" s="1"/>
  <c r="J256" i="1"/>
  <c r="B256" i="1" l="1"/>
  <c r="D257" i="1" s="1"/>
  <c r="C256" i="1"/>
  <c r="E257" i="1" s="1"/>
  <c r="N257" i="1" s="1"/>
  <c r="H257" i="1" l="1"/>
  <c r="I257" i="1" s="1"/>
  <c r="O257" i="1" l="1"/>
  <c r="F257" i="1"/>
  <c r="G257" i="1" s="1"/>
  <c r="M257" i="1" s="1"/>
  <c r="J257" i="1"/>
  <c r="B257" i="1" l="1"/>
  <c r="D258" i="1" s="1"/>
  <c r="C257" i="1"/>
  <c r="E258" i="1" s="1"/>
  <c r="N258" i="1" s="1"/>
  <c r="H258" i="1" l="1"/>
  <c r="I258" i="1" s="1"/>
  <c r="O258" i="1" l="1"/>
  <c r="F258" i="1"/>
  <c r="G258" i="1" s="1"/>
  <c r="M258" i="1" s="1"/>
  <c r="J258" i="1"/>
  <c r="C258" i="1" l="1"/>
  <c r="E259" i="1" s="1"/>
  <c r="N259" i="1" s="1"/>
  <c r="B258" i="1"/>
  <c r="D259" i="1" s="1"/>
  <c r="H259" i="1" s="1"/>
  <c r="I259" i="1" s="1"/>
  <c r="O259" i="1" l="1"/>
  <c r="J259" i="1"/>
  <c r="F259" i="1"/>
  <c r="G259" i="1" s="1"/>
  <c r="M259" i="1" s="1"/>
  <c r="B259" i="1" l="1"/>
  <c r="D260" i="1" s="1"/>
  <c r="C259" i="1"/>
  <c r="E260" i="1" s="1"/>
  <c r="N260" i="1" s="1"/>
  <c r="H260" i="1" l="1"/>
  <c r="I260" i="1" s="1"/>
  <c r="O260" i="1" l="1"/>
  <c r="J260" i="1"/>
  <c r="F260" i="1"/>
  <c r="G260" i="1" s="1"/>
  <c r="M260" i="1" s="1"/>
  <c r="B260" i="1" l="1"/>
  <c r="D261" i="1" s="1"/>
  <c r="C260" i="1"/>
  <c r="E261" i="1" s="1"/>
  <c r="N261" i="1" s="1"/>
  <c r="H261" i="1" l="1"/>
  <c r="I261" i="1" s="1"/>
  <c r="O261" i="1" l="1"/>
  <c r="J261" i="1"/>
  <c r="F261" i="1"/>
  <c r="G261" i="1" s="1"/>
  <c r="M261" i="1" s="1"/>
  <c r="C261" i="1" l="1"/>
  <c r="E262" i="1" s="1"/>
  <c r="N262" i="1" s="1"/>
  <c r="B261" i="1"/>
  <c r="D262" i="1" s="1"/>
  <c r="H262" i="1" s="1"/>
  <c r="I262" i="1" s="1"/>
  <c r="O262" i="1" l="1"/>
  <c r="J262" i="1"/>
  <c r="F262" i="1"/>
  <c r="G262" i="1" s="1"/>
  <c r="M262" i="1" s="1"/>
  <c r="C262" i="1" l="1"/>
  <c r="E263" i="1" s="1"/>
  <c r="N263" i="1" s="1"/>
  <c r="B262" i="1"/>
  <c r="D263" i="1" s="1"/>
  <c r="H263" i="1" s="1"/>
  <c r="I263" i="1" s="1"/>
  <c r="O263" i="1" l="1"/>
  <c r="F263" i="1"/>
  <c r="G263" i="1" s="1"/>
  <c r="M263" i="1" s="1"/>
  <c r="J263" i="1"/>
  <c r="C263" i="1" l="1"/>
  <c r="E264" i="1" s="1"/>
  <c r="N264" i="1" s="1"/>
  <c r="B263" i="1"/>
  <c r="D264" i="1" s="1"/>
  <c r="H264" i="1" s="1"/>
  <c r="I264" i="1" s="1"/>
  <c r="J264" i="1" l="1"/>
  <c r="O264" i="1"/>
  <c r="F264" i="1"/>
  <c r="G264" i="1" s="1"/>
  <c r="M264" i="1" s="1"/>
  <c r="C264" i="1" l="1"/>
  <c r="E265" i="1" s="1"/>
  <c r="N265" i="1" s="1"/>
  <c r="B264" i="1"/>
  <c r="D265" i="1" s="1"/>
  <c r="H265" i="1" s="1"/>
  <c r="I265" i="1" s="1"/>
  <c r="O265" i="1" l="1"/>
  <c r="J265" i="1"/>
  <c r="F265" i="1"/>
  <c r="G265" i="1" s="1"/>
  <c r="M265" i="1" s="1"/>
  <c r="C265" i="1" l="1"/>
  <c r="E266" i="1" s="1"/>
  <c r="N266" i="1" s="1"/>
  <c r="B265" i="1"/>
  <c r="D266" i="1" s="1"/>
  <c r="H266" i="1" s="1"/>
  <c r="I266" i="1" s="1"/>
  <c r="O266" i="1" l="1"/>
  <c r="J266" i="1"/>
  <c r="F266" i="1"/>
  <c r="G266" i="1" s="1"/>
  <c r="M266" i="1" s="1"/>
  <c r="C266" i="1" l="1"/>
  <c r="E267" i="1" s="1"/>
  <c r="N267" i="1" s="1"/>
  <c r="B266" i="1"/>
  <c r="D267" i="1" s="1"/>
  <c r="H267" i="1" s="1"/>
  <c r="I267" i="1" s="1"/>
  <c r="O267" i="1" l="1"/>
  <c r="J267" i="1"/>
  <c r="F267" i="1"/>
  <c r="G267" i="1" s="1"/>
  <c r="M267" i="1" s="1"/>
  <c r="B267" i="1" l="1"/>
  <c r="D268" i="1" s="1"/>
  <c r="C267" i="1"/>
  <c r="E268" i="1" s="1"/>
  <c r="N268" i="1" s="1"/>
  <c r="H268" i="1" l="1"/>
  <c r="I268" i="1" s="1"/>
  <c r="O268" i="1" l="1"/>
  <c r="J268" i="1"/>
  <c r="F268" i="1"/>
  <c r="G268" i="1" s="1"/>
  <c r="M268" i="1" s="1"/>
  <c r="B268" i="1" l="1"/>
  <c r="D269" i="1" s="1"/>
  <c r="C268" i="1"/>
  <c r="E269" i="1" s="1"/>
  <c r="N269" i="1" s="1"/>
  <c r="H269" i="1" l="1"/>
  <c r="I269" i="1" s="1"/>
  <c r="O269" i="1" l="1"/>
  <c r="J269" i="1"/>
  <c r="F269" i="1"/>
  <c r="G269" i="1" s="1"/>
  <c r="M269" i="1" s="1"/>
  <c r="B269" i="1" l="1"/>
  <c r="D270" i="1" s="1"/>
  <c r="C269" i="1"/>
  <c r="E270" i="1" s="1"/>
  <c r="N270" i="1" s="1"/>
  <c r="H270" i="1" l="1"/>
  <c r="I270" i="1" s="1"/>
  <c r="O270" i="1" l="1"/>
  <c r="J270" i="1"/>
  <c r="F270" i="1"/>
  <c r="G270" i="1" s="1"/>
  <c r="M270" i="1" s="1"/>
  <c r="B270" i="1" l="1"/>
  <c r="D271" i="1" s="1"/>
  <c r="C270" i="1"/>
  <c r="E271" i="1" s="1"/>
  <c r="N271" i="1" s="1"/>
  <c r="H271" i="1" l="1"/>
  <c r="I271" i="1" s="1"/>
  <c r="O271" i="1" l="1"/>
  <c r="F271" i="1"/>
  <c r="G271" i="1" s="1"/>
  <c r="M271" i="1" s="1"/>
  <c r="J271" i="1"/>
  <c r="B271" i="1" l="1"/>
  <c r="D272" i="1" s="1"/>
  <c r="C271" i="1"/>
  <c r="E272" i="1" s="1"/>
  <c r="N272" i="1" s="1"/>
  <c r="H272" i="1" l="1"/>
  <c r="I272" i="1" s="1"/>
  <c r="O272" i="1" l="1"/>
  <c r="J272" i="1"/>
  <c r="F272" i="1"/>
  <c r="G272" i="1" s="1"/>
  <c r="M272" i="1" s="1"/>
  <c r="B272" i="1" l="1"/>
  <c r="D273" i="1" s="1"/>
  <c r="C272" i="1"/>
  <c r="E273" i="1" s="1"/>
  <c r="N273" i="1" s="1"/>
  <c r="H273" i="1" l="1"/>
  <c r="I273" i="1" s="1"/>
  <c r="O273" i="1" l="1"/>
  <c r="J273" i="1"/>
  <c r="F273" i="1"/>
  <c r="G273" i="1" s="1"/>
  <c r="M273" i="1" s="1"/>
  <c r="B273" i="1" l="1"/>
  <c r="D274" i="1" s="1"/>
  <c r="H274" i="1" s="1"/>
  <c r="I274" i="1" s="1"/>
  <c r="C273" i="1"/>
  <c r="E274" i="1" s="1"/>
  <c r="N274" i="1" s="1"/>
  <c r="O274" i="1" l="1"/>
  <c r="J274" i="1"/>
  <c r="F274" i="1"/>
  <c r="G274" i="1" s="1"/>
  <c r="M274" i="1" s="1"/>
  <c r="C274" i="1" l="1"/>
  <c r="E275" i="1" s="1"/>
  <c r="N275" i="1" s="1"/>
  <c r="B274" i="1"/>
  <c r="D275" i="1" s="1"/>
  <c r="H275" i="1" s="1"/>
  <c r="I275" i="1" s="1"/>
  <c r="O275" i="1" l="1"/>
  <c r="J275" i="1"/>
  <c r="F275" i="1"/>
  <c r="G275" i="1" s="1"/>
  <c r="M275" i="1" s="1"/>
  <c r="B275" i="1" l="1"/>
  <c r="D276" i="1" s="1"/>
  <c r="C275" i="1"/>
  <c r="E276" i="1" s="1"/>
  <c r="N276" i="1" s="1"/>
  <c r="H276" i="1" l="1"/>
  <c r="I276" i="1" s="1"/>
  <c r="O276" i="1" l="1"/>
  <c r="J276" i="1"/>
  <c r="F276" i="1"/>
  <c r="G276" i="1" s="1"/>
  <c r="M276" i="1" s="1"/>
  <c r="C276" i="1" l="1"/>
  <c r="E277" i="1" s="1"/>
  <c r="N277" i="1" s="1"/>
  <c r="B276" i="1"/>
  <c r="D277" i="1" s="1"/>
  <c r="H277" i="1" s="1"/>
  <c r="I277" i="1" s="1"/>
  <c r="O277" i="1" l="1"/>
  <c r="J277" i="1"/>
  <c r="F277" i="1"/>
  <c r="G277" i="1" s="1"/>
  <c r="M277" i="1" s="1"/>
  <c r="B277" i="1" l="1"/>
  <c r="D278" i="1" s="1"/>
  <c r="C277" i="1"/>
  <c r="E278" i="1" s="1"/>
  <c r="N278" i="1" s="1"/>
  <c r="H278" i="1" l="1"/>
  <c r="I278" i="1" s="1"/>
  <c r="O278" i="1" l="1"/>
  <c r="F278" i="1"/>
  <c r="G278" i="1" s="1"/>
  <c r="M278" i="1" s="1"/>
  <c r="J278" i="1"/>
  <c r="B278" i="1" l="1"/>
  <c r="D279" i="1" s="1"/>
  <c r="C278" i="1"/>
  <c r="E279" i="1" s="1"/>
  <c r="N279" i="1" s="1"/>
  <c r="H279" i="1" l="1"/>
  <c r="I279" i="1" s="1"/>
  <c r="O279" i="1" l="1"/>
  <c r="F279" i="1"/>
  <c r="G279" i="1" s="1"/>
  <c r="M279" i="1" s="1"/>
  <c r="J279" i="1"/>
  <c r="B279" i="1" l="1"/>
  <c r="D280" i="1" s="1"/>
  <c r="C279" i="1"/>
  <c r="E280" i="1" s="1"/>
  <c r="N280" i="1" s="1"/>
  <c r="H280" i="1" l="1"/>
  <c r="I280" i="1" s="1"/>
  <c r="O280" i="1" l="1"/>
  <c r="J280" i="1"/>
  <c r="F280" i="1"/>
  <c r="G280" i="1" s="1"/>
  <c r="M280" i="1" s="1"/>
  <c r="B280" i="1" l="1"/>
  <c r="D281" i="1" s="1"/>
  <c r="C280" i="1"/>
  <c r="E281" i="1" s="1"/>
  <c r="N281" i="1" s="1"/>
  <c r="H281" i="1" l="1"/>
  <c r="I281" i="1" s="1"/>
  <c r="O281" i="1" l="1"/>
  <c r="J281" i="1"/>
  <c r="F281" i="1"/>
  <c r="G281" i="1" s="1"/>
  <c r="M281" i="1" s="1"/>
  <c r="C281" i="1" l="1"/>
  <c r="E282" i="1" s="1"/>
  <c r="N282" i="1" s="1"/>
  <c r="B281" i="1"/>
  <c r="D282" i="1" s="1"/>
  <c r="H282" i="1" s="1"/>
  <c r="I282" i="1" s="1"/>
  <c r="O282" i="1" l="1"/>
  <c r="J282" i="1"/>
  <c r="F282" i="1"/>
  <c r="G282" i="1" s="1"/>
  <c r="M282" i="1" s="1"/>
  <c r="C282" i="1" l="1"/>
  <c r="E283" i="1" s="1"/>
  <c r="N283" i="1" s="1"/>
  <c r="B282" i="1"/>
  <c r="D283" i="1" s="1"/>
  <c r="H283" i="1" s="1"/>
  <c r="I283" i="1" s="1"/>
  <c r="O283" i="1" l="1"/>
  <c r="J283" i="1"/>
  <c r="F283" i="1"/>
  <c r="G283" i="1" s="1"/>
  <c r="M283" i="1" s="1"/>
  <c r="B283" i="1" l="1"/>
  <c r="D284" i="1" s="1"/>
  <c r="C283" i="1"/>
  <c r="E284" i="1" s="1"/>
  <c r="N284" i="1" s="1"/>
  <c r="H284" i="1" l="1"/>
  <c r="I284" i="1" s="1"/>
  <c r="O284" i="1" l="1"/>
  <c r="F284" i="1"/>
  <c r="G284" i="1" s="1"/>
  <c r="M284" i="1" s="1"/>
  <c r="J284" i="1"/>
  <c r="B284" i="1" l="1"/>
  <c r="D285" i="1" s="1"/>
  <c r="C284" i="1"/>
  <c r="E285" i="1" s="1"/>
  <c r="N285" i="1" s="1"/>
  <c r="H285" i="1" l="1"/>
  <c r="I285" i="1" s="1"/>
  <c r="O285" i="1" l="1"/>
  <c r="J285" i="1"/>
  <c r="F285" i="1"/>
  <c r="G285" i="1" s="1"/>
  <c r="M285" i="1" s="1"/>
  <c r="B285" i="1" l="1"/>
  <c r="D286" i="1" s="1"/>
  <c r="C285" i="1"/>
  <c r="E286" i="1" s="1"/>
  <c r="N286" i="1" s="1"/>
  <c r="H286" i="1" l="1"/>
  <c r="I286" i="1" s="1"/>
  <c r="O286" i="1" l="1"/>
  <c r="J286" i="1"/>
  <c r="F286" i="1"/>
  <c r="G286" i="1" s="1"/>
  <c r="M286" i="1" s="1"/>
  <c r="B286" i="1" l="1"/>
  <c r="D287" i="1" s="1"/>
  <c r="C286" i="1"/>
  <c r="E287" i="1" s="1"/>
  <c r="N287" i="1" s="1"/>
  <c r="H287" i="1" l="1"/>
  <c r="I287" i="1" s="1"/>
  <c r="O287" i="1" l="1"/>
  <c r="F287" i="1"/>
  <c r="G287" i="1" s="1"/>
  <c r="M287" i="1" s="1"/>
  <c r="J287" i="1"/>
  <c r="B287" i="1" l="1"/>
  <c r="D288" i="1" s="1"/>
  <c r="C287" i="1"/>
  <c r="E288" i="1" s="1"/>
  <c r="N288" i="1" s="1"/>
  <c r="H288" i="1" l="1"/>
  <c r="I288" i="1" s="1"/>
  <c r="O288" i="1" l="1"/>
  <c r="J288" i="1"/>
  <c r="F288" i="1"/>
  <c r="G288" i="1" s="1"/>
  <c r="M288" i="1" s="1"/>
  <c r="B288" i="1" l="1"/>
  <c r="D289" i="1" s="1"/>
  <c r="C288" i="1"/>
  <c r="E289" i="1" s="1"/>
  <c r="N289" i="1" s="1"/>
  <c r="H289" i="1" l="1"/>
  <c r="I289" i="1" s="1"/>
  <c r="O289" i="1" l="1"/>
  <c r="F289" i="1"/>
  <c r="G289" i="1" s="1"/>
  <c r="M289" i="1" s="1"/>
  <c r="J289" i="1"/>
  <c r="B289" i="1" l="1"/>
  <c r="D290" i="1" s="1"/>
  <c r="C289" i="1"/>
  <c r="E290" i="1" s="1"/>
  <c r="N290" i="1" s="1"/>
  <c r="H290" i="1" l="1"/>
  <c r="I290" i="1" s="1"/>
  <c r="O290" i="1" l="1"/>
  <c r="F290" i="1"/>
  <c r="G290" i="1" s="1"/>
  <c r="M290" i="1" s="1"/>
  <c r="J290" i="1"/>
  <c r="C290" i="1" l="1"/>
  <c r="E291" i="1" s="1"/>
  <c r="N291" i="1" s="1"/>
  <c r="B290" i="1"/>
  <c r="D291" i="1" s="1"/>
  <c r="H291" i="1" s="1"/>
  <c r="I291" i="1" s="1"/>
  <c r="O291" i="1" l="1"/>
  <c r="J291" i="1"/>
  <c r="F291" i="1"/>
  <c r="G291" i="1" s="1"/>
  <c r="M291" i="1" s="1"/>
  <c r="B291" i="1" l="1"/>
  <c r="D292" i="1" s="1"/>
  <c r="C291" i="1"/>
  <c r="E292" i="1" s="1"/>
  <c r="N292" i="1" s="1"/>
  <c r="H292" i="1" l="1"/>
  <c r="I292" i="1" s="1"/>
  <c r="O292" i="1" l="1"/>
  <c r="J292" i="1"/>
  <c r="F292" i="1"/>
  <c r="G292" i="1" s="1"/>
  <c r="M292" i="1" s="1"/>
  <c r="C292" i="1" l="1"/>
  <c r="E293" i="1" s="1"/>
  <c r="N293" i="1" s="1"/>
  <c r="B292" i="1"/>
  <c r="D293" i="1" s="1"/>
  <c r="H293" i="1" s="1"/>
  <c r="I293" i="1" s="1"/>
  <c r="O293" i="1" l="1"/>
  <c r="J293" i="1"/>
  <c r="F293" i="1"/>
  <c r="G293" i="1" s="1"/>
  <c r="M293" i="1" s="1"/>
  <c r="C293" i="1" l="1"/>
  <c r="E294" i="1" s="1"/>
  <c r="N294" i="1" s="1"/>
  <c r="B293" i="1"/>
  <c r="D294" i="1" s="1"/>
  <c r="H294" i="1" s="1"/>
  <c r="I294" i="1" s="1"/>
  <c r="O294" i="1" l="1"/>
  <c r="J294" i="1"/>
  <c r="F294" i="1"/>
  <c r="G294" i="1" s="1"/>
  <c r="M294" i="1" s="1"/>
  <c r="C294" i="1" l="1"/>
  <c r="E295" i="1" s="1"/>
  <c r="N295" i="1" s="1"/>
  <c r="B294" i="1"/>
  <c r="D295" i="1" s="1"/>
  <c r="H295" i="1" s="1"/>
  <c r="I295" i="1" s="1"/>
  <c r="O295" i="1" l="1"/>
  <c r="F295" i="1"/>
  <c r="G295" i="1" s="1"/>
  <c r="M295" i="1" s="1"/>
  <c r="J295" i="1"/>
  <c r="C295" i="1" l="1"/>
  <c r="E296" i="1" s="1"/>
  <c r="N296" i="1" s="1"/>
  <c r="B295" i="1"/>
  <c r="D296" i="1" s="1"/>
  <c r="H296" i="1" s="1"/>
  <c r="I296" i="1" s="1"/>
  <c r="O296" i="1" l="1"/>
  <c r="F296" i="1"/>
  <c r="G296" i="1" s="1"/>
  <c r="M296" i="1" s="1"/>
  <c r="J296" i="1"/>
  <c r="C296" i="1" l="1"/>
  <c r="E297" i="1" s="1"/>
  <c r="N297" i="1" s="1"/>
  <c r="B296" i="1"/>
  <c r="D297" i="1" s="1"/>
  <c r="H297" i="1" s="1"/>
  <c r="I297" i="1" s="1"/>
  <c r="O297" i="1" l="1"/>
  <c r="F297" i="1"/>
  <c r="G297" i="1" s="1"/>
  <c r="M297" i="1" s="1"/>
  <c r="J297" i="1"/>
  <c r="C297" i="1" l="1"/>
  <c r="E298" i="1" s="1"/>
  <c r="N298" i="1" s="1"/>
  <c r="B297" i="1"/>
  <c r="D298" i="1" s="1"/>
  <c r="H298" i="1" s="1"/>
  <c r="I298" i="1" s="1"/>
  <c r="O298" i="1" l="1"/>
  <c r="F298" i="1"/>
  <c r="G298" i="1" s="1"/>
  <c r="M298" i="1" s="1"/>
  <c r="J298" i="1"/>
  <c r="C298" i="1" l="1"/>
  <c r="E299" i="1" s="1"/>
  <c r="N299" i="1" s="1"/>
  <c r="B298" i="1"/>
  <c r="D299" i="1" s="1"/>
  <c r="H299" i="1" s="1"/>
  <c r="I299" i="1" s="1"/>
  <c r="O299" i="1" l="1"/>
  <c r="J299" i="1"/>
  <c r="F299" i="1"/>
  <c r="G299" i="1" s="1"/>
  <c r="M299" i="1" s="1"/>
  <c r="B299" i="1" l="1"/>
  <c r="D300" i="1" s="1"/>
  <c r="C299" i="1"/>
  <c r="E300" i="1" s="1"/>
  <c r="N300" i="1" s="1"/>
  <c r="H300" i="1" l="1"/>
  <c r="I300" i="1" s="1"/>
  <c r="O300" i="1" l="1"/>
  <c r="F300" i="1"/>
  <c r="G300" i="1" s="1"/>
  <c r="M300" i="1" s="1"/>
  <c r="J300" i="1"/>
  <c r="C300" i="1" l="1"/>
  <c r="E301" i="1" s="1"/>
  <c r="N301" i="1" s="1"/>
  <c r="B300" i="1"/>
  <c r="D301" i="1" s="1"/>
  <c r="H301" i="1" s="1"/>
  <c r="I301" i="1" s="1"/>
  <c r="O301" i="1" l="1"/>
  <c r="F301" i="1"/>
  <c r="G301" i="1" s="1"/>
  <c r="M301" i="1" s="1"/>
  <c r="J301" i="1"/>
  <c r="C301" i="1" l="1"/>
  <c r="E302" i="1" s="1"/>
  <c r="N302" i="1" s="1"/>
  <c r="B301" i="1"/>
  <c r="D302" i="1" s="1"/>
  <c r="H302" i="1" s="1"/>
  <c r="I302" i="1" s="1"/>
  <c r="O302" i="1" l="1"/>
  <c r="F302" i="1"/>
  <c r="G302" i="1" s="1"/>
  <c r="M302" i="1" s="1"/>
  <c r="J302" i="1"/>
  <c r="C302" i="1" l="1"/>
  <c r="E303" i="1" s="1"/>
  <c r="N303" i="1" s="1"/>
  <c r="B302" i="1"/>
  <c r="D303" i="1" s="1"/>
  <c r="H303" i="1" s="1"/>
  <c r="I303" i="1" s="1"/>
  <c r="O303" i="1" l="1"/>
  <c r="F303" i="1"/>
  <c r="G303" i="1" s="1"/>
  <c r="M303" i="1" s="1"/>
  <c r="J303" i="1"/>
  <c r="C303" i="1" l="1"/>
  <c r="E304" i="1" s="1"/>
  <c r="N304" i="1" s="1"/>
  <c r="B303" i="1"/>
  <c r="D304" i="1" s="1"/>
  <c r="H304" i="1" s="1"/>
  <c r="I304" i="1" s="1"/>
  <c r="O304" i="1" l="1"/>
  <c r="F304" i="1"/>
  <c r="G304" i="1" s="1"/>
  <c r="M304" i="1" s="1"/>
  <c r="J304" i="1"/>
  <c r="C304" i="1" l="1"/>
  <c r="E305" i="1" s="1"/>
  <c r="N305" i="1" s="1"/>
  <c r="B304" i="1"/>
  <c r="D305" i="1" s="1"/>
  <c r="H305" i="1" s="1"/>
  <c r="I305" i="1" s="1"/>
  <c r="O305" i="1" l="1"/>
  <c r="F305" i="1"/>
  <c r="G305" i="1" s="1"/>
  <c r="M305" i="1" s="1"/>
  <c r="J305" i="1"/>
  <c r="B305" i="1" l="1"/>
  <c r="D306" i="1" s="1"/>
  <c r="C305" i="1"/>
  <c r="E306" i="1" s="1"/>
  <c r="N306" i="1" s="1"/>
  <c r="H306" i="1" l="1"/>
  <c r="I306" i="1" s="1"/>
  <c r="O306" i="1" l="1"/>
  <c r="F306" i="1"/>
  <c r="G306" i="1" s="1"/>
  <c r="M306" i="1" s="1"/>
  <c r="J306" i="1"/>
  <c r="C306" i="1" l="1"/>
  <c r="E307" i="1" s="1"/>
  <c r="N307" i="1" s="1"/>
  <c r="B306" i="1"/>
  <c r="D307" i="1" s="1"/>
  <c r="H307" i="1" s="1"/>
  <c r="I307" i="1" s="1"/>
  <c r="O307" i="1" l="1"/>
  <c r="J307" i="1"/>
  <c r="F307" i="1"/>
  <c r="G307" i="1" s="1"/>
  <c r="M307" i="1" s="1"/>
  <c r="B307" i="1" l="1"/>
  <c r="D308" i="1" s="1"/>
  <c r="C307" i="1"/>
  <c r="E308" i="1" s="1"/>
  <c r="N308" i="1" s="1"/>
  <c r="H308" i="1" l="1"/>
  <c r="I308" i="1" s="1"/>
  <c r="O308" i="1" l="1"/>
  <c r="F308" i="1"/>
  <c r="G308" i="1" s="1"/>
  <c r="M308" i="1" s="1"/>
  <c r="J308" i="1"/>
  <c r="C308" i="1" l="1"/>
  <c r="E309" i="1" s="1"/>
  <c r="N309" i="1" s="1"/>
  <c r="B308" i="1"/>
  <c r="D309" i="1" s="1"/>
  <c r="H309" i="1" s="1"/>
  <c r="I309" i="1" s="1"/>
  <c r="O309" i="1" l="1"/>
  <c r="J309" i="1"/>
  <c r="F309" i="1"/>
  <c r="G309" i="1" s="1"/>
  <c r="M309" i="1" s="1"/>
  <c r="C309" i="1" l="1"/>
  <c r="E310" i="1" s="1"/>
  <c r="N310" i="1" s="1"/>
  <c r="B309" i="1"/>
  <c r="D310" i="1" s="1"/>
  <c r="H310" i="1" s="1"/>
  <c r="I310" i="1" s="1"/>
  <c r="O310" i="1" l="1"/>
  <c r="F310" i="1"/>
  <c r="G310" i="1" s="1"/>
  <c r="M310" i="1" s="1"/>
  <c r="J310" i="1"/>
  <c r="B310" i="1" l="1"/>
  <c r="D311" i="1" s="1"/>
  <c r="C310" i="1"/>
  <c r="E311" i="1" s="1"/>
  <c r="N311" i="1" s="1"/>
  <c r="H311" i="1" l="1"/>
  <c r="I311" i="1" s="1"/>
  <c r="O311" i="1" l="1"/>
  <c r="F311" i="1"/>
  <c r="G311" i="1" s="1"/>
  <c r="M311" i="1" s="1"/>
  <c r="J311" i="1"/>
  <c r="C311" i="1" l="1"/>
  <c r="E312" i="1" s="1"/>
  <c r="N312" i="1" s="1"/>
  <c r="B311" i="1"/>
  <c r="D312" i="1" s="1"/>
  <c r="H312" i="1" s="1"/>
  <c r="I312" i="1" s="1"/>
  <c r="O312" i="1" l="1"/>
  <c r="F312" i="1"/>
  <c r="G312" i="1" s="1"/>
  <c r="M312" i="1" s="1"/>
  <c r="J312" i="1"/>
  <c r="B312" i="1" l="1"/>
  <c r="D313" i="1" s="1"/>
  <c r="C312" i="1"/>
  <c r="E313" i="1" s="1"/>
  <c r="N313" i="1" s="1"/>
  <c r="H313" i="1" l="1"/>
  <c r="I313" i="1" s="1"/>
  <c r="O313" i="1" l="1"/>
  <c r="F313" i="1"/>
  <c r="G313" i="1" s="1"/>
  <c r="M313" i="1" s="1"/>
  <c r="J313" i="1"/>
  <c r="C313" i="1" l="1"/>
  <c r="E314" i="1" s="1"/>
  <c r="N314" i="1" s="1"/>
  <c r="B313" i="1"/>
  <c r="D314" i="1" s="1"/>
  <c r="H314" i="1" s="1"/>
  <c r="I314" i="1" s="1"/>
  <c r="O314" i="1" l="1"/>
  <c r="F314" i="1"/>
  <c r="G314" i="1" s="1"/>
  <c r="M314" i="1" s="1"/>
  <c r="J314" i="1"/>
  <c r="C314" i="1" l="1"/>
  <c r="E315" i="1" s="1"/>
  <c r="N315" i="1" s="1"/>
  <c r="B314" i="1"/>
  <c r="D315" i="1" s="1"/>
  <c r="H315" i="1" s="1"/>
  <c r="I315" i="1" s="1"/>
  <c r="O315" i="1" l="1"/>
  <c r="J315" i="1"/>
  <c r="F315" i="1"/>
  <c r="G315" i="1" s="1"/>
  <c r="M315" i="1" s="1"/>
  <c r="B315" i="1" l="1"/>
  <c r="D316" i="1" s="1"/>
  <c r="C315" i="1"/>
  <c r="E316" i="1" s="1"/>
  <c r="N316" i="1" s="1"/>
  <c r="H316" i="1" l="1"/>
  <c r="I316" i="1" s="1"/>
  <c r="O316" i="1" l="1"/>
  <c r="F316" i="1"/>
  <c r="G316" i="1" s="1"/>
  <c r="M316" i="1" s="1"/>
  <c r="J316" i="1"/>
  <c r="B316" i="1" l="1"/>
  <c r="D317" i="1" s="1"/>
  <c r="C316" i="1"/>
  <c r="E317" i="1" s="1"/>
  <c r="N317" i="1" s="1"/>
  <c r="H317" i="1" l="1"/>
  <c r="I317" i="1" s="1"/>
  <c r="O317" i="1" l="1"/>
  <c r="F317" i="1"/>
  <c r="G317" i="1" s="1"/>
  <c r="M317" i="1" s="1"/>
  <c r="J317" i="1"/>
  <c r="C317" i="1" l="1"/>
  <c r="E318" i="1" s="1"/>
  <c r="N318" i="1" s="1"/>
  <c r="B317" i="1"/>
  <c r="D318" i="1" s="1"/>
  <c r="H318" i="1" s="1"/>
  <c r="I318" i="1" s="1"/>
  <c r="O318" i="1" l="1"/>
  <c r="F318" i="1"/>
  <c r="G318" i="1" s="1"/>
  <c r="M318" i="1" s="1"/>
  <c r="J318" i="1"/>
  <c r="B318" i="1" l="1"/>
  <c r="D319" i="1" s="1"/>
  <c r="C318" i="1"/>
  <c r="E319" i="1" s="1"/>
  <c r="N319" i="1" s="1"/>
  <c r="H319" i="1" l="1"/>
  <c r="I319" i="1" s="1"/>
  <c r="O319" i="1" l="1"/>
  <c r="F319" i="1"/>
  <c r="G319" i="1" s="1"/>
  <c r="M319" i="1" s="1"/>
  <c r="J319" i="1"/>
  <c r="C319" i="1" l="1"/>
  <c r="E320" i="1" s="1"/>
  <c r="N320" i="1" s="1"/>
  <c r="B319" i="1"/>
  <c r="D320" i="1" s="1"/>
  <c r="H320" i="1" s="1"/>
  <c r="I320" i="1" s="1"/>
  <c r="O320" i="1" l="1"/>
  <c r="J320" i="1"/>
  <c r="F320" i="1"/>
  <c r="G320" i="1" s="1"/>
  <c r="M320" i="1" s="1"/>
  <c r="B320" i="1" l="1"/>
  <c r="D321" i="1" s="1"/>
  <c r="C320" i="1"/>
  <c r="E321" i="1" s="1"/>
  <c r="N321" i="1" s="1"/>
  <c r="H321" i="1" l="1"/>
  <c r="I321" i="1" s="1"/>
  <c r="O321" i="1" l="1"/>
  <c r="J321" i="1"/>
  <c r="F321" i="1"/>
  <c r="G321" i="1" s="1"/>
  <c r="M321" i="1" s="1"/>
  <c r="B321" i="1" l="1"/>
  <c r="D322" i="1" s="1"/>
  <c r="C321" i="1"/>
  <c r="E322" i="1" s="1"/>
  <c r="N322" i="1" s="1"/>
  <c r="H322" i="1" l="1"/>
  <c r="I322" i="1" s="1"/>
  <c r="O322" i="1" l="1"/>
  <c r="J322" i="1"/>
  <c r="F322" i="1"/>
  <c r="G322" i="1" s="1"/>
  <c r="M322" i="1" s="1"/>
  <c r="B322" i="1" l="1"/>
  <c r="D323" i="1" s="1"/>
  <c r="C322" i="1"/>
  <c r="E323" i="1" s="1"/>
  <c r="N323" i="1" s="1"/>
  <c r="H323" i="1" l="1"/>
  <c r="I323" i="1" s="1"/>
  <c r="O323" i="1" l="1"/>
  <c r="F323" i="1"/>
  <c r="G323" i="1" s="1"/>
  <c r="M323" i="1" s="1"/>
  <c r="J323" i="1"/>
  <c r="B323" i="1" l="1"/>
  <c r="D324" i="1" s="1"/>
  <c r="C323" i="1"/>
  <c r="E324" i="1" s="1"/>
  <c r="N324" i="1" s="1"/>
  <c r="H324" i="1" l="1"/>
  <c r="I324" i="1" s="1"/>
  <c r="O324" i="1" l="1"/>
  <c r="F324" i="1"/>
  <c r="G324" i="1" s="1"/>
  <c r="M324" i="1" s="1"/>
  <c r="J324" i="1"/>
  <c r="C324" i="1" l="1"/>
  <c r="E325" i="1" s="1"/>
  <c r="N325" i="1" s="1"/>
  <c r="B324" i="1"/>
  <c r="D325" i="1" s="1"/>
  <c r="H325" i="1" s="1"/>
  <c r="I325" i="1" s="1"/>
  <c r="O325" i="1" l="1"/>
  <c r="F325" i="1"/>
  <c r="G325" i="1" s="1"/>
  <c r="M325" i="1" s="1"/>
  <c r="J325" i="1"/>
  <c r="C325" i="1" l="1"/>
  <c r="E326" i="1" s="1"/>
  <c r="N326" i="1" s="1"/>
  <c r="B325" i="1"/>
  <c r="D326" i="1" s="1"/>
  <c r="H326" i="1" s="1"/>
  <c r="I326" i="1" s="1"/>
  <c r="O326" i="1" l="1"/>
  <c r="F326" i="1"/>
  <c r="G326" i="1" s="1"/>
  <c r="M326" i="1" s="1"/>
  <c r="J326" i="1"/>
  <c r="B326" i="1" l="1"/>
  <c r="D327" i="1" s="1"/>
  <c r="C326" i="1"/>
  <c r="E327" i="1" s="1"/>
  <c r="N327" i="1" s="1"/>
  <c r="H327" i="1" l="1"/>
  <c r="I327" i="1" s="1"/>
  <c r="O327" i="1" l="1"/>
  <c r="J327" i="1"/>
  <c r="F327" i="1"/>
  <c r="G327" i="1" s="1"/>
  <c r="M327" i="1" s="1"/>
  <c r="C327" i="1" l="1"/>
  <c r="E328" i="1" s="1"/>
  <c r="N328" i="1" s="1"/>
  <c r="B327" i="1"/>
  <c r="D328" i="1" s="1"/>
  <c r="H328" i="1" s="1"/>
  <c r="I328" i="1" s="1"/>
  <c r="O328" i="1" l="1"/>
  <c r="J328" i="1"/>
  <c r="F328" i="1"/>
  <c r="G328" i="1" s="1"/>
  <c r="M328" i="1" s="1"/>
  <c r="B328" i="1" l="1"/>
  <c r="D329" i="1" s="1"/>
  <c r="C328" i="1"/>
  <c r="E329" i="1" s="1"/>
  <c r="N329" i="1" s="1"/>
  <c r="H329" i="1" l="1"/>
  <c r="I329" i="1" s="1"/>
  <c r="O329" i="1" l="1"/>
  <c r="J329" i="1"/>
  <c r="F329" i="1"/>
  <c r="G329" i="1" s="1"/>
  <c r="M329" i="1" s="1"/>
  <c r="B329" i="1" l="1"/>
  <c r="D330" i="1" s="1"/>
  <c r="C329" i="1"/>
  <c r="E330" i="1" s="1"/>
  <c r="N330" i="1" s="1"/>
  <c r="H330" i="1" l="1"/>
  <c r="I330" i="1" s="1"/>
  <c r="O330" i="1" l="1"/>
  <c r="J330" i="1"/>
  <c r="F330" i="1"/>
  <c r="G330" i="1" s="1"/>
  <c r="M330" i="1" s="1"/>
  <c r="C330" i="1" l="1"/>
  <c r="E331" i="1" s="1"/>
  <c r="N331" i="1" s="1"/>
  <c r="B330" i="1"/>
  <c r="D331" i="1" s="1"/>
  <c r="H331" i="1" s="1"/>
  <c r="I331" i="1" s="1"/>
  <c r="O331" i="1" l="1"/>
  <c r="F331" i="1"/>
  <c r="G331" i="1" s="1"/>
  <c r="M331" i="1" s="1"/>
  <c r="J331" i="1"/>
  <c r="C331" i="1" l="1"/>
  <c r="E332" i="1" s="1"/>
  <c r="N332" i="1" s="1"/>
  <c r="B331" i="1"/>
  <c r="D332" i="1" s="1"/>
  <c r="H332" i="1" s="1"/>
  <c r="I332" i="1" s="1"/>
  <c r="O332" i="1" l="1"/>
  <c r="F332" i="1"/>
  <c r="G332" i="1" s="1"/>
  <c r="M332" i="1" s="1"/>
  <c r="J332" i="1"/>
  <c r="C332" i="1" l="1"/>
  <c r="E333" i="1" s="1"/>
  <c r="N333" i="1" s="1"/>
  <c r="B332" i="1"/>
  <c r="D333" i="1" s="1"/>
  <c r="H333" i="1" s="1"/>
  <c r="I333" i="1" s="1"/>
  <c r="O333" i="1" l="1"/>
  <c r="F333" i="1"/>
  <c r="G333" i="1" s="1"/>
  <c r="M333" i="1" s="1"/>
  <c r="J333" i="1"/>
  <c r="B333" i="1" l="1"/>
  <c r="D334" i="1" s="1"/>
  <c r="C333" i="1"/>
  <c r="E334" i="1" s="1"/>
  <c r="N334" i="1" s="1"/>
  <c r="H334" i="1" l="1"/>
  <c r="I334" i="1" s="1"/>
  <c r="O334" i="1" l="1"/>
  <c r="J334" i="1"/>
  <c r="F334" i="1"/>
  <c r="G334" i="1" s="1"/>
  <c r="M334" i="1" s="1"/>
  <c r="B334" i="1" l="1"/>
  <c r="D335" i="1" s="1"/>
  <c r="C334" i="1"/>
  <c r="E335" i="1" s="1"/>
  <c r="N335" i="1" s="1"/>
  <c r="H335" i="1" l="1"/>
  <c r="I335" i="1" s="1"/>
  <c r="O335" i="1" l="1"/>
  <c r="J335" i="1"/>
  <c r="F335" i="1"/>
  <c r="G335" i="1" s="1"/>
  <c r="M335" i="1" s="1"/>
  <c r="C335" i="1" l="1"/>
  <c r="E336" i="1" s="1"/>
  <c r="N336" i="1" s="1"/>
  <c r="B335" i="1"/>
  <c r="D336" i="1" s="1"/>
  <c r="H336" i="1" s="1"/>
  <c r="I336" i="1" s="1"/>
  <c r="O336" i="1" l="1"/>
  <c r="J336" i="1"/>
  <c r="F336" i="1"/>
  <c r="G336" i="1" s="1"/>
  <c r="M336" i="1" s="1"/>
  <c r="B336" i="1" l="1"/>
  <c r="D337" i="1" s="1"/>
  <c r="C336" i="1"/>
  <c r="E337" i="1" s="1"/>
  <c r="N337" i="1" s="1"/>
  <c r="H337" i="1" l="1"/>
  <c r="I337" i="1" s="1"/>
  <c r="O337" i="1" l="1"/>
  <c r="J337" i="1"/>
  <c r="F337" i="1"/>
  <c r="G337" i="1" s="1"/>
  <c r="M337" i="1" s="1"/>
  <c r="B337" i="1" l="1"/>
  <c r="D338" i="1" s="1"/>
  <c r="C337" i="1"/>
  <c r="E338" i="1" s="1"/>
  <c r="N338" i="1" s="1"/>
  <c r="H338" i="1" l="1"/>
  <c r="I338" i="1" s="1"/>
  <c r="O338" i="1" l="1"/>
  <c r="F338" i="1"/>
  <c r="G338" i="1" s="1"/>
  <c r="M338" i="1" s="1"/>
  <c r="J338" i="1"/>
  <c r="B338" i="1" l="1"/>
  <c r="D339" i="1" s="1"/>
  <c r="C338" i="1"/>
  <c r="E339" i="1" s="1"/>
  <c r="N339" i="1" s="1"/>
  <c r="H339" i="1" l="1"/>
  <c r="I339" i="1" s="1"/>
  <c r="O339" i="1" l="1"/>
  <c r="F339" i="1"/>
  <c r="G339" i="1" s="1"/>
  <c r="M339" i="1" s="1"/>
  <c r="J339" i="1"/>
  <c r="B339" i="1" l="1"/>
  <c r="D340" i="1" s="1"/>
  <c r="C339" i="1"/>
  <c r="E340" i="1" s="1"/>
  <c r="N340" i="1" s="1"/>
  <c r="H340" i="1" l="1"/>
  <c r="I340" i="1" s="1"/>
  <c r="O340" i="1" l="1"/>
  <c r="F340" i="1"/>
  <c r="G340" i="1" s="1"/>
  <c r="M340" i="1" s="1"/>
  <c r="J340" i="1"/>
  <c r="C340" i="1" l="1"/>
  <c r="E341" i="1" s="1"/>
  <c r="N341" i="1" s="1"/>
  <c r="B340" i="1"/>
  <c r="D341" i="1" s="1"/>
  <c r="H341" i="1" s="1"/>
  <c r="I341" i="1" s="1"/>
  <c r="O341" i="1" l="1"/>
  <c r="F341" i="1"/>
  <c r="G341" i="1" s="1"/>
  <c r="M341" i="1" s="1"/>
  <c r="J341" i="1"/>
  <c r="B341" i="1" l="1"/>
  <c r="D342" i="1" s="1"/>
  <c r="C341" i="1"/>
  <c r="E342" i="1" s="1"/>
  <c r="N342" i="1" s="1"/>
  <c r="H342" i="1" l="1"/>
  <c r="I342" i="1" s="1"/>
  <c r="O342" i="1" l="1"/>
  <c r="J342" i="1"/>
  <c r="F342" i="1"/>
  <c r="G342" i="1" s="1"/>
  <c r="M342" i="1" s="1"/>
  <c r="B342" i="1" l="1"/>
  <c r="D343" i="1" s="1"/>
  <c r="C342" i="1"/>
  <c r="E343" i="1" s="1"/>
  <c r="N343" i="1" s="1"/>
  <c r="H343" i="1" l="1"/>
  <c r="I343" i="1" s="1"/>
  <c r="O343" i="1" l="1"/>
  <c r="F343" i="1"/>
  <c r="G343" i="1" s="1"/>
  <c r="M343" i="1" s="1"/>
  <c r="J343" i="1"/>
  <c r="C343" i="1" l="1"/>
  <c r="E344" i="1" s="1"/>
  <c r="N344" i="1" s="1"/>
  <c r="B343" i="1"/>
  <c r="D344" i="1" s="1"/>
  <c r="H344" i="1" s="1"/>
  <c r="I344" i="1" s="1"/>
  <c r="O344" i="1" l="1"/>
  <c r="J344" i="1"/>
  <c r="F344" i="1"/>
  <c r="G344" i="1" s="1"/>
  <c r="M344" i="1" s="1"/>
  <c r="B344" i="1" l="1"/>
  <c r="D345" i="1" s="1"/>
  <c r="C344" i="1"/>
  <c r="E345" i="1" s="1"/>
  <c r="N345" i="1" s="1"/>
  <c r="H345" i="1" l="1"/>
  <c r="I345" i="1" s="1"/>
  <c r="O345" i="1" l="1"/>
  <c r="J345" i="1"/>
  <c r="F345" i="1"/>
  <c r="G345" i="1" s="1"/>
  <c r="M345" i="1" s="1"/>
  <c r="C345" i="1" l="1"/>
  <c r="E346" i="1" s="1"/>
  <c r="N346" i="1" s="1"/>
  <c r="B345" i="1"/>
  <c r="D346" i="1" s="1"/>
  <c r="H346" i="1" s="1"/>
  <c r="I346" i="1" s="1"/>
  <c r="O346" i="1" l="1"/>
  <c r="F346" i="1"/>
  <c r="G346" i="1" s="1"/>
  <c r="M346" i="1" s="1"/>
  <c r="J346" i="1"/>
  <c r="C346" i="1" l="1"/>
  <c r="E347" i="1" s="1"/>
  <c r="N347" i="1" s="1"/>
  <c r="B346" i="1"/>
  <c r="D347" i="1" s="1"/>
  <c r="H347" i="1" s="1"/>
  <c r="I347" i="1" s="1"/>
  <c r="O347" i="1" l="1"/>
  <c r="F347" i="1"/>
  <c r="G347" i="1" s="1"/>
  <c r="M347" i="1" s="1"/>
  <c r="J347" i="1"/>
  <c r="B347" i="1" l="1"/>
  <c r="D348" i="1" s="1"/>
  <c r="C347" i="1"/>
  <c r="E348" i="1" s="1"/>
  <c r="N348" i="1" s="1"/>
  <c r="H348" i="1" l="1"/>
  <c r="I348" i="1" s="1"/>
  <c r="O348" i="1" l="1"/>
  <c r="F348" i="1"/>
  <c r="G348" i="1" s="1"/>
  <c r="M348" i="1" s="1"/>
  <c r="J348" i="1"/>
  <c r="B348" i="1" l="1"/>
  <c r="D349" i="1" s="1"/>
  <c r="C348" i="1"/>
  <c r="E349" i="1" s="1"/>
  <c r="N349" i="1" s="1"/>
  <c r="H349" i="1" l="1"/>
  <c r="I349" i="1" s="1"/>
  <c r="O349" i="1" l="1"/>
  <c r="J349" i="1"/>
  <c r="F349" i="1"/>
  <c r="G349" i="1" s="1"/>
  <c r="M349" i="1" s="1"/>
  <c r="B349" i="1" l="1"/>
  <c r="D350" i="1" s="1"/>
  <c r="C349" i="1"/>
  <c r="E350" i="1" s="1"/>
  <c r="N350" i="1" s="1"/>
  <c r="H350" i="1" l="1"/>
  <c r="I350" i="1" s="1"/>
  <c r="O350" i="1" l="1"/>
  <c r="J350" i="1"/>
  <c r="F350" i="1"/>
  <c r="G350" i="1" s="1"/>
  <c r="M350" i="1" s="1"/>
  <c r="B350" i="1" l="1"/>
  <c r="D351" i="1" s="1"/>
  <c r="C350" i="1"/>
  <c r="E351" i="1" s="1"/>
  <c r="N351" i="1" s="1"/>
  <c r="H351" i="1" l="1"/>
  <c r="I351" i="1" s="1"/>
  <c r="O351" i="1" l="1"/>
  <c r="J351" i="1"/>
  <c r="F351" i="1"/>
  <c r="G351" i="1" s="1"/>
  <c r="M351" i="1" s="1"/>
  <c r="C351" i="1" l="1"/>
  <c r="E352" i="1" s="1"/>
  <c r="N352" i="1" s="1"/>
  <c r="B351" i="1"/>
  <c r="D352" i="1" s="1"/>
  <c r="H352" i="1" s="1"/>
  <c r="I352" i="1" s="1"/>
  <c r="O352" i="1" l="1"/>
  <c r="J352" i="1"/>
  <c r="F352" i="1"/>
  <c r="G352" i="1" s="1"/>
  <c r="M352" i="1" s="1"/>
  <c r="B352" i="1" l="1"/>
  <c r="D353" i="1" s="1"/>
  <c r="C352" i="1"/>
  <c r="E353" i="1" s="1"/>
  <c r="N353" i="1" s="1"/>
  <c r="H353" i="1" l="1"/>
  <c r="I353" i="1" s="1"/>
  <c r="O353" i="1" l="1"/>
  <c r="J353" i="1"/>
  <c r="F353" i="1"/>
  <c r="G353" i="1" s="1"/>
  <c r="M353" i="1" s="1"/>
  <c r="B353" i="1" l="1"/>
  <c r="D354" i="1" s="1"/>
  <c r="C353" i="1"/>
  <c r="E354" i="1" s="1"/>
  <c r="N354" i="1" s="1"/>
  <c r="H354" i="1" l="1"/>
  <c r="I354" i="1" s="1"/>
  <c r="O354" i="1" l="1"/>
  <c r="J354" i="1"/>
  <c r="F354" i="1"/>
  <c r="G354" i="1" s="1"/>
  <c r="M354" i="1" s="1"/>
  <c r="B354" i="1" l="1"/>
  <c r="D355" i="1" s="1"/>
  <c r="C354" i="1"/>
  <c r="E355" i="1" s="1"/>
  <c r="N355" i="1" s="1"/>
  <c r="H355" i="1" l="1"/>
  <c r="I355" i="1" s="1"/>
  <c r="O355" i="1" l="1"/>
  <c r="J355" i="1"/>
  <c r="F355" i="1"/>
  <c r="G355" i="1" s="1"/>
  <c r="M355" i="1" s="1"/>
  <c r="B355" i="1" l="1"/>
  <c r="D356" i="1" s="1"/>
  <c r="C355" i="1"/>
  <c r="E356" i="1" s="1"/>
  <c r="N356" i="1" s="1"/>
  <c r="H356" i="1" l="1"/>
  <c r="I356" i="1" s="1"/>
  <c r="O356" i="1" l="1"/>
  <c r="F356" i="1"/>
  <c r="G356" i="1" s="1"/>
  <c r="M356" i="1" s="1"/>
  <c r="J356" i="1"/>
  <c r="B356" i="1" l="1"/>
  <c r="D357" i="1" s="1"/>
  <c r="C356" i="1"/>
  <c r="E357" i="1" s="1"/>
  <c r="N357" i="1" s="1"/>
  <c r="H357" i="1" l="1"/>
  <c r="I357" i="1" s="1"/>
  <c r="O357" i="1" l="1"/>
  <c r="J357" i="1"/>
  <c r="F357" i="1"/>
  <c r="G357" i="1" s="1"/>
  <c r="M357" i="1" s="1"/>
  <c r="B357" i="1" l="1"/>
  <c r="D358" i="1" s="1"/>
  <c r="C357" i="1"/>
  <c r="E358" i="1" s="1"/>
  <c r="N358" i="1" s="1"/>
  <c r="H358" i="1" l="1"/>
  <c r="I358" i="1" s="1"/>
  <c r="O358" i="1" l="1"/>
  <c r="J358" i="1"/>
  <c r="F358" i="1"/>
  <c r="G358" i="1" s="1"/>
  <c r="M358" i="1" s="1"/>
  <c r="B358" i="1" l="1"/>
  <c r="D359" i="1" s="1"/>
  <c r="C358" i="1"/>
  <c r="E359" i="1" s="1"/>
  <c r="N359" i="1" s="1"/>
  <c r="H359" i="1" l="1"/>
  <c r="I359" i="1" s="1"/>
  <c r="O359" i="1" l="1"/>
  <c r="J359" i="1"/>
  <c r="F359" i="1"/>
  <c r="G359" i="1" s="1"/>
  <c r="M359" i="1" s="1"/>
  <c r="C359" i="1" l="1"/>
  <c r="E360" i="1" s="1"/>
  <c r="N360" i="1" s="1"/>
  <c r="B359" i="1"/>
  <c r="D360" i="1" s="1"/>
  <c r="H360" i="1" s="1"/>
  <c r="I360" i="1" s="1"/>
  <c r="O360" i="1" l="1"/>
  <c r="J360" i="1"/>
  <c r="F360" i="1"/>
  <c r="G360" i="1" s="1"/>
  <c r="M360" i="1" s="1"/>
  <c r="B360" i="1" l="1"/>
  <c r="D361" i="1" s="1"/>
  <c r="C360" i="1"/>
  <c r="E361" i="1" s="1"/>
  <c r="N361" i="1" s="1"/>
  <c r="H361" i="1" l="1"/>
  <c r="I361" i="1" s="1"/>
  <c r="O361" i="1" l="1"/>
  <c r="J361" i="1"/>
  <c r="F361" i="1"/>
  <c r="G361" i="1" s="1"/>
  <c r="M361" i="1" s="1"/>
  <c r="C361" i="1" l="1"/>
  <c r="E362" i="1" s="1"/>
  <c r="N362" i="1" s="1"/>
  <c r="B361" i="1"/>
  <c r="D362" i="1" s="1"/>
  <c r="H362" i="1" s="1"/>
  <c r="I362" i="1" s="1"/>
  <c r="O362" i="1" l="1"/>
  <c r="J362" i="1"/>
  <c r="F362" i="1"/>
  <c r="G362" i="1" s="1"/>
  <c r="M362" i="1" s="1"/>
  <c r="C362" i="1" l="1"/>
  <c r="E363" i="1" s="1"/>
  <c r="N363" i="1" s="1"/>
  <c r="B362" i="1"/>
  <c r="D363" i="1" s="1"/>
  <c r="H363" i="1" s="1"/>
  <c r="I363" i="1" s="1"/>
  <c r="O363" i="1" l="1"/>
  <c r="J363" i="1"/>
  <c r="F363" i="1"/>
  <c r="G363" i="1" s="1"/>
  <c r="M363" i="1" s="1"/>
  <c r="C363" i="1" l="1"/>
  <c r="E364" i="1" s="1"/>
  <c r="N364" i="1" s="1"/>
  <c r="B363" i="1"/>
  <c r="D364" i="1" s="1"/>
  <c r="H364" i="1" s="1"/>
  <c r="I364" i="1" s="1"/>
  <c r="O364" i="1" l="1"/>
  <c r="F364" i="1"/>
  <c r="G364" i="1" s="1"/>
  <c r="M364" i="1" s="1"/>
  <c r="J364" i="1"/>
  <c r="C364" i="1" l="1"/>
  <c r="E365" i="1" s="1"/>
  <c r="N365" i="1" s="1"/>
  <c r="B364" i="1"/>
  <c r="D365" i="1" s="1"/>
  <c r="H365" i="1" s="1"/>
  <c r="I365" i="1" s="1"/>
  <c r="F365" i="1" l="1"/>
  <c r="G365" i="1" s="1"/>
  <c r="M365" i="1" s="1"/>
  <c r="O365" i="1"/>
  <c r="J365" i="1"/>
  <c r="C365" i="1" l="1"/>
  <c r="E366" i="1" s="1"/>
  <c r="N366" i="1" s="1"/>
  <c r="B365" i="1"/>
  <c r="D366" i="1" s="1"/>
  <c r="H366" i="1" s="1"/>
  <c r="I366" i="1" s="1"/>
  <c r="O366" i="1" l="1"/>
  <c r="J366" i="1"/>
  <c r="F366" i="1"/>
  <c r="G366" i="1" s="1"/>
  <c r="M366" i="1" s="1"/>
  <c r="C366" i="1" l="1"/>
  <c r="E367" i="1" s="1"/>
  <c r="N367" i="1" s="1"/>
  <c r="B366" i="1"/>
  <c r="D367" i="1" s="1"/>
  <c r="H367" i="1" s="1"/>
  <c r="I367" i="1" s="1"/>
  <c r="O367" i="1" l="1"/>
  <c r="J367" i="1"/>
  <c r="F367" i="1"/>
  <c r="G367" i="1" s="1"/>
  <c r="M367" i="1" s="1"/>
  <c r="C367" i="1" l="1"/>
  <c r="E368" i="1" s="1"/>
  <c r="N368" i="1" s="1"/>
  <c r="B367" i="1"/>
  <c r="D368" i="1" s="1"/>
  <c r="H368" i="1" s="1"/>
  <c r="I368" i="1" s="1"/>
  <c r="O368" i="1" l="1"/>
  <c r="J368" i="1"/>
  <c r="F368" i="1"/>
  <c r="G368" i="1" s="1"/>
  <c r="M368" i="1" s="1"/>
  <c r="B368" i="1" l="1"/>
  <c r="D369" i="1" s="1"/>
  <c r="C368" i="1"/>
  <c r="E369" i="1" s="1"/>
  <c r="N369" i="1" s="1"/>
  <c r="H369" i="1" l="1"/>
  <c r="I369" i="1" s="1"/>
  <c r="O369" i="1" l="1"/>
  <c r="J369" i="1"/>
  <c r="F369" i="1"/>
  <c r="G369" i="1" s="1"/>
  <c r="M369" i="1" s="1"/>
  <c r="B369" i="1" l="1"/>
  <c r="D370" i="1" s="1"/>
  <c r="C369" i="1"/>
  <c r="E370" i="1" s="1"/>
  <c r="N370" i="1" s="1"/>
  <c r="H370" i="1" l="1"/>
  <c r="I370" i="1" s="1"/>
  <c r="O370" i="1" l="1"/>
  <c r="F370" i="1"/>
  <c r="G370" i="1" s="1"/>
  <c r="M370" i="1" s="1"/>
  <c r="J370" i="1"/>
  <c r="B370" i="1" l="1"/>
  <c r="D371" i="1" s="1"/>
  <c r="C370" i="1"/>
  <c r="E371" i="1" s="1"/>
  <c r="N371" i="1" s="1"/>
  <c r="H371" i="1" l="1"/>
  <c r="I371" i="1" s="1"/>
  <c r="O371" i="1" l="1"/>
  <c r="J371" i="1"/>
  <c r="F371" i="1"/>
  <c r="G371" i="1" s="1"/>
  <c r="M371" i="1" s="1"/>
  <c r="C371" i="1" l="1"/>
  <c r="E372" i="1" s="1"/>
  <c r="N372" i="1" s="1"/>
  <c r="B371" i="1"/>
  <c r="D372" i="1" s="1"/>
  <c r="H372" i="1" s="1"/>
  <c r="I372" i="1" s="1"/>
  <c r="O372" i="1" l="1"/>
  <c r="J372" i="1"/>
  <c r="F372" i="1"/>
  <c r="G372" i="1" s="1"/>
  <c r="M372" i="1" s="1"/>
  <c r="B372" i="1" l="1"/>
  <c r="D373" i="1" s="1"/>
  <c r="C372" i="1"/>
  <c r="E373" i="1" s="1"/>
  <c r="N373" i="1" s="1"/>
  <c r="H373" i="1" l="1"/>
  <c r="I373" i="1" s="1"/>
  <c r="O373" i="1" l="1"/>
  <c r="J373" i="1"/>
  <c r="F373" i="1"/>
  <c r="G373" i="1" s="1"/>
  <c r="M373" i="1" s="1"/>
  <c r="C373" i="1" l="1"/>
  <c r="E374" i="1" s="1"/>
  <c r="N374" i="1" s="1"/>
  <c r="B373" i="1"/>
  <c r="D374" i="1" s="1"/>
  <c r="H374" i="1" s="1"/>
  <c r="I374" i="1" s="1"/>
  <c r="O374" i="1" l="1"/>
  <c r="J374" i="1"/>
  <c r="F374" i="1"/>
  <c r="G374" i="1" s="1"/>
  <c r="M374" i="1" s="1"/>
  <c r="C374" i="1" l="1"/>
  <c r="E375" i="1" s="1"/>
  <c r="N375" i="1" s="1"/>
  <c r="B374" i="1"/>
  <c r="D375" i="1" s="1"/>
  <c r="H375" i="1" s="1"/>
  <c r="I375" i="1" s="1"/>
  <c r="O375" i="1" l="1"/>
  <c r="J375" i="1"/>
  <c r="F375" i="1"/>
  <c r="G375" i="1" s="1"/>
  <c r="M375" i="1" s="1"/>
  <c r="C375" i="1" l="1"/>
  <c r="E376" i="1" s="1"/>
  <c r="N376" i="1" s="1"/>
  <c r="B375" i="1"/>
  <c r="D376" i="1" s="1"/>
  <c r="H376" i="1" s="1"/>
  <c r="I376" i="1" s="1"/>
  <c r="O376" i="1" l="1"/>
  <c r="F376" i="1"/>
  <c r="G376" i="1" s="1"/>
  <c r="M376" i="1" s="1"/>
  <c r="J376" i="1"/>
  <c r="B376" i="1" l="1"/>
  <c r="D377" i="1" s="1"/>
  <c r="C376" i="1"/>
  <c r="E377" i="1" s="1"/>
  <c r="N377" i="1" s="1"/>
  <c r="H377" i="1" l="1"/>
  <c r="I377" i="1" s="1"/>
  <c r="O377" i="1" l="1"/>
  <c r="F377" i="1"/>
  <c r="G377" i="1" s="1"/>
  <c r="M377" i="1" s="1"/>
  <c r="J377" i="1"/>
  <c r="C377" i="1" l="1"/>
  <c r="E378" i="1" s="1"/>
  <c r="N378" i="1" s="1"/>
  <c r="B377" i="1"/>
  <c r="D378" i="1" s="1"/>
  <c r="H378" i="1" s="1"/>
  <c r="I378" i="1" s="1"/>
  <c r="O378" i="1" l="1"/>
  <c r="F378" i="1"/>
  <c r="G378" i="1" s="1"/>
  <c r="M378" i="1" s="1"/>
  <c r="J378" i="1"/>
  <c r="C378" i="1" l="1"/>
  <c r="E379" i="1" s="1"/>
  <c r="N379" i="1" s="1"/>
  <c r="B378" i="1"/>
  <c r="D379" i="1" s="1"/>
  <c r="H379" i="1" s="1"/>
  <c r="I379" i="1" s="1"/>
  <c r="O379" i="1" l="1"/>
  <c r="J379" i="1"/>
  <c r="F379" i="1"/>
  <c r="G379" i="1" s="1"/>
  <c r="M379" i="1" s="1"/>
  <c r="C379" i="1" l="1"/>
  <c r="E380" i="1" s="1"/>
  <c r="N380" i="1" s="1"/>
  <c r="B379" i="1"/>
  <c r="D380" i="1" s="1"/>
  <c r="H380" i="1" s="1"/>
  <c r="I380" i="1" s="1"/>
  <c r="O380" i="1" l="1"/>
  <c r="J380" i="1"/>
  <c r="F380" i="1"/>
  <c r="G380" i="1" s="1"/>
  <c r="M380" i="1" s="1"/>
  <c r="B380" i="1" l="1"/>
  <c r="D381" i="1" s="1"/>
  <c r="C380" i="1"/>
  <c r="E381" i="1" s="1"/>
  <c r="N381" i="1" s="1"/>
  <c r="H381" i="1" l="1"/>
  <c r="I381" i="1" s="1"/>
  <c r="O381" i="1" l="1"/>
  <c r="J381" i="1"/>
  <c r="F381" i="1"/>
  <c r="G381" i="1" s="1"/>
  <c r="M381" i="1" s="1"/>
  <c r="B381" i="1" l="1"/>
  <c r="D382" i="1" s="1"/>
  <c r="C381" i="1"/>
  <c r="E382" i="1" s="1"/>
  <c r="N382" i="1" s="1"/>
  <c r="H382" i="1" l="1"/>
  <c r="I382" i="1" s="1"/>
  <c r="O382" i="1" l="1"/>
  <c r="J382" i="1"/>
  <c r="F382" i="1"/>
  <c r="G382" i="1" s="1"/>
  <c r="M382" i="1" s="1"/>
  <c r="B382" i="1" l="1"/>
  <c r="D383" i="1" s="1"/>
  <c r="C382" i="1"/>
  <c r="E383" i="1" s="1"/>
  <c r="N383" i="1" s="1"/>
  <c r="H383" i="1" l="1"/>
  <c r="I383" i="1" s="1"/>
  <c r="O383" i="1" l="1"/>
  <c r="F383" i="1"/>
  <c r="G383" i="1" s="1"/>
  <c r="M383" i="1" s="1"/>
  <c r="J383" i="1"/>
  <c r="B383" i="1" l="1"/>
  <c r="D384" i="1" s="1"/>
  <c r="C383" i="1"/>
  <c r="E384" i="1" s="1"/>
  <c r="N384" i="1" s="1"/>
  <c r="H384" i="1" l="1"/>
  <c r="I384" i="1" s="1"/>
  <c r="O384" i="1" l="1"/>
  <c r="F384" i="1"/>
  <c r="G384" i="1" s="1"/>
  <c r="M384" i="1" s="1"/>
  <c r="J384" i="1"/>
  <c r="B384" i="1" l="1"/>
  <c r="D385" i="1" s="1"/>
  <c r="C384" i="1"/>
  <c r="E385" i="1" s="1"/>
  <c r="N385" i="1" s="1"/>
  <c r="H385" i="1" l="1"/>
  <c r="I385" i="1" s="1"/>
  <c r="O385" i="1" l="1"/>
  <c r="F385" i="1"/>
  <c r="G385" i="1" s="1"/>
  <c r="M385" i="1" s="1"/>
  <c r="J385" i="1"/>
  <c r="C385" i="1" l="1"/>
  <c r="E386" i="1" s="1"/>
  <c r="N386" i="1" s="1"/>
  <c r="B385" i="1"/>
  <c r="D386" i="1" s="1"/>
  <c r="H386" i="1" s="1"/>
  <c r="I386" i="1" s="1"/>
  <c r="O386" i="1" l="1"/>
  <c r="F386" i="1"/>
  <c r="G386" i="1" s="1"/>
  <c r="M386" i="1" s="1"/>
  <c r="J386" i="1"/>
  <c r="B386" i="1" l="1"/>
  <c r="D387" i="1" s="1"/>
  <c r="C386" i="1"/>
  <c r="E387" i="1" s="1"/>
  <c r="N387" i="1" s="1"/>
  <c r="H387" i="1" l="1"/>
  <c r="I387" i="1" s="1"/>
  <c r="O387" i="1" l="1"/>
  <c r="F387" i="1"/>
  <c r="G387" i="1" s="1"/>
  <c r="M387" i="1" s="1"/>
  <c r="J387" i="1"/>
  <c r="C387" i="1" l="1"/>
  <c r="E388" i="1" s="1"/>
  <c r="N388" i="1" s="1"/>
  <c r="B387" i="1"/>
  <c r="D388" i="1" s="1"/>
  <c r="H388" i="1" s="1"/>
  <c r="I388" i="1" s="1"/>
  <c r="O388" i="1" l="1"/>
  <c r="J388" i="1"/>
  <c r="F388" i="1"/>
  <c r="G388" i="1" s="1"/>
  <c r="M388" i="1" s="1"/>
  <c r="B388" i="1" l="1"/>
  <c r="D389" i="1" s="1"/>
  <c r="C388" i="1"/>
  <c r="E389" i="1" s="1"/>
  <c r="N389" i="1" s="1"/>
  <c r="H389" i="1" l="1"/>
  <c r="I389" i="1" s="1"/>
  <c r="O389" i="1" l="1"/>
  <c r="J389" i="1"/>
  <c r="F389" i="1"/>
  <c r="G389" i="1" s="1"/>
  <c r="M389" i="1" s="1"/>
  <c r="B389" i="1" l="1"/>
  <c r="D390" i="1" s="1"/>
  <c r="C389" i="1"/>
  <c r="E390" i="1" s="1"/>
  <c r="N390" i="1" s="1"/>
  <c r="H390" i="1" l="1"/>
  <c r="I390" i="1" s="1"/>
  <c r="O390" i="1" l="1"/>
  <c r="J390" i="1"/>
  <c r="F390" i="1"/>
  <c r="G390" i="1" s="1"/>
  <c r="M390" i="1" s="1"/>
  <c r="B390" i="1" l="1"/>
  <c r="D391" i="1" s="1"/>
  <c r="C390" i="1"/>
  <c r="E391" i="1" s="1"/>
  <c r="N391" i="1" s="1"/>
  <c r="H391" i="1" l="1"/>
  <c r="I391" i="1" s="1"/>
  <c r="O391" i="1" l="1"/>
  <c r="J391" i="1"/>
  <c r="F391" i="1"/>
  <c r="G391" i="1" s="1"/>
  <c r="M391" i="1" s="1"/>
  <c r="B391" i="1" l="1"/>
  <c r="D392" i="1" s="1"/>
  <c r="H392" i="1" s="1"/>
  <c r="I392" i="1" s="1"/>
  <c r="C391" i="1"/>
  <c r="E392" i="1" s="1"/>
  <c r="N392" i="1" s="1"/>
  <c r="O392" i="1" l="1"/>
  <c r="F392" i="1"/>
  <c r="G392" i="1" s="1"/>
  <c r="M392" i="1" s="1"/>
  <c r="J392" i="1"/>
  <c r="C392" i="1" l="1"/>
  <c r="E393" i="1" s="1"/>
  <c r="N393" i="1" s="1"/>
  <c r="B392" i="1"/>
  <c r="D393" i="1" s="1"/>
  <c r="H393" i="1" s="1"/>
  <c r="I393" i="1" s="1"/>
  <c r="O393" i="1" l="1"/>
  <c r="F393" i="1"/>
  <c r="G393" i="1" s="1"/>
  <c r="M393" i="1" s="1"/>
  <c r="J393" i="1"/>
  <c r="C393" i="1" l="1"/>
  <c r="E394" i="1" s="1"/>
  <c r="N394" i="1" s="1"/>
  <c r="B393" i="1"/>
  <c r="D394" i="1" s="1"/>
  <c r="H394" i="1" s="1"/>
  <c r="I394" i="1" s="1"/>
  <c r="O394" i="1" l="1"/>
  <c r="F394" i="1"/>
  <c r="G394" i="1" s="1"/>
  <c r="M394" i="1" s="1"/>
  <c r="J394" i="1"/>
  <c r="B394" i="1" l="1"/>
  <c r="D395" i="1" s="1"/>
  <c r="C394" i="1"/>
  <c r="E395" i="1" s="1"/>
  <c r="N395" i="1" s="1"/>
  <c r="H395" i="1" l="1"/>
  <c r="I395" i="1" s="1"/>
  <c r="O395" i="1" l="1"/>
  <c r="J395" i="1"/>
  <c r="F395" i="1"/>
  <c r="G395" i="1" s="1"/>
  <c r="M395" i="1" s="1"/>
  <c r="C395" i="1" l="1"/>
  <c r="E396" i="1" s="1"/>
  <c r="N396" i="1" s="1"/>
  <c r="B395" i="1"/>
  <c r="D396" i="1" s="1"/>
  <c r="H396" i="1" s="1"/>
  <c r="I396" i="1" s="1"/>
  <c r="O396" i="1" l="1"/>
  <c r="J396" i="1"/>
  <c r="F396" i="1"/>
  <c r="G396" i="1" s="1"/>
  <c r="M396" i="1" s="1"/>
  <c r="B396" i="1" l="1"/>
  <c r="D397" i="1" s="1"/>
  <c r="C396" i="1"/>
  <c r="E397" i="1" s="1"/>
  <c r="N397" i="1" s="1"/>
  <c r="H397" i="1" l="1"/>
  <c r="I397" i="1" s="1"/>
  <c r="O397" i="1" l="1"/>
  <c r="J397" i="1"/>
  <c r="F397" i="1"/>
  <c r="G397" i="1" s="1"/>
  <c r="M397" i="1" s="1"/>
  <c r="B397" i="1" l="1"/>
  <c r="D398" i="1" s="1"/>
  <c r="C397" i="1"/>
  <c r="E398" i="1" s="1"/>
  <c r="N398" i="1" s="1"/>
  <c r="H398" i="1" l="1"/>
  <c r="I398" i="1" s="1"/>
  <c r="O398" i="1" l="1"/>
  <c r="J398" i="1"/>
  <c r="F398" i="1"/>
  <c r="G398" i="1" s="1"/>
  <c r="M398" i="1" s="1"/>
  <c r="B398" i="1" l="1"/>
  <c r="D399" i="1" s="1"/>
  <c r="C398" i="1"/>
  <c r="E399" i="1" s="1"/>
  <c r="N399" i="1" s="1"/>
  <c r="H399" i="1" l="1"/>
  <c r="I399" i="1" s="1"/>
  <c r="O399" i="1" l="1"/>
  <c r="F399" i="1"/>
  <c r="G399" i="1" s="1"/>
  <c r="M399" i="1" s="1"/>
  <c r="J399" i="1"/>
  <c r="C399" i="1" l="1"/>
  <c r="E400" i="1" s="1"/>
  <c r="N400" i="1" s="1"/>
  <c r="B399" i="1"/>
  <c r="D400" i="1" s="1"/>
  <c r="H400" i="1" s="1"/>
  <c r="I400" i="1" s="1"/>
  <c r="O400" i="1" l="1"/>
  <c r="F400" i="1"/>
  <c r="G400" i="1" s="1"/>
  <c r="M400" i="1" s="1"/>
  <c r="J400" i="1"/>
  <c r="C400" i="1" l="1"/>
  <c r="E401" i="1" s="1"/>
  <c r="N401" i="1" s="1"/>
  <c r="B400" i="1"/>
  <c r="D401" i="1" s="1"/>
  <c r="H401" i="1" s="1"/>
  <c r="I401" i="1" s="1"/>
  <c r="O401" i="1" l="1"/>
  <c r="F401" i="1"/>
  <c r="G401" i="1" s="1"/>
  <c r="M401" i="1" s="1"/>
  <c r="J401" i="1"/>
  <c r="C401" i="1" l="1"/>
  <c r="E402" i="1" s="1"/>
  <c r="N402" i="1" s="1"/>
  <c r="B401" i="1"/>
  <c r="D402" i="1" s="1"/>
  <c r="H402" i="1" s="1"/>
  <c r="I402" i="1" s="1"/>
  <c r="O402" i="1" l="1"/>
  <c r="F402" i="1"/>
  <c r="G402" i="1" s="1"/>
  <c r="M402" i="1" s="1"/>
  <c r="J402" i="1"/>
  <c r="B402" i="1" l="1"/>
  <c r="D403" i="1" s="1"/>
  <c r="C402" i="1"/>
  <c r="E403" i="1" s="1"/>
  <c r="N403" i="1" s="1"/>
  <c r="H403" i="1" l="1"/>
  <c r="I403" i="1" s="1"/>
  <c r="O403" i="1" l="1"/>
  <c r="F403" i="1"/>
  <c r="G403" i="1" s="1"/>
  <c r="M403" i="1" s="1"/>
  <c r="J403" i="1"/>
  <c r="C403" i="1" l="1"/>
  <c r="E404" i="1" s="1"/>
  <c r="N404" i="1" s="1"/>
  <c r="B403" i="1"/>
  <c r="D404" i="1" s="1"/>
  <c r="H404" i="1" s="1"/>
  <c r="I404" i="1" s="1"/>
  <c r="O404" i="1" l="1"/>
  <c r="J404" i="1"/>
  <c r="F404" i="1"/>
  <c r="G404" i="1" s="1"/>
  <c r="M404" i="1" s="1"/>
  <c r="B404" i="1" l="1"/>
  <c r="D405" i="1" s="1"/>
  <c r="C404" i="1"/>
  <c r="E405" i="1" s="1"/>
  <c r="N405" i="1" s="1"/>
  <c r="H405" i="1" l="1"/>
  <c r="I405" i="1" s="1"/>
  <c r="O405" i="1" l="1"/>
  <c r="J405" i="1"/>
  <c r="F405" i="1"/>
  <c r="G405" i="1" s="1"/>
  <c r="M405" i="1" s="1"/>
  <c r="B405" i="1" l="1"/>
  <c r="D406" i="1" s="1"/>
  <c r="C405" i="1"/>
  <c r="E406" i="1" s="1"/>
  <c r="N406" i="1" s="1"/>
  <c r="H406" i="1" l="1"/>
  <c r="I406" i="1" s="1"/>
  <c r="O406" i="1" l="1"/>
  <c r="J406" i="1"/>
  <c r="F406" i="1"/>
  <c r="G406" i="1" s="1"/>
  <c r="M406" i="1" s="1"/>
  <c r="B406" i="1" l="1"/>
  <c r="D407" i="1" s="1"/>
  <c r="C406" i="1"/>
  <c r="E407" i="1" s="1"/>
  <c r="N407" i="1" s="1"/>
  <c r="H407" i="1" l="1"/>
  <c r="I407" i="1" s="1"/>
  <c r="O407" i="1" l="1"/>
  <c r="J407" i="1"/>
  <c r="F407" i="1"/>
  <c r="G407" i="1" s="1"/>
  <c r="M407" i="1" s="1"/>
  <c r="B407" i="1" l="1"/>
  <c r="D408" i="1" s="1"/>
  <c r="C407" i="1"/>
  <c r="E408" i="1" s="1"/>
  <c r="N408" i="1" s="1"/>
  <c r="H408" i="1" l="1"/>
  <c r="I408" i="1" s="1"/>
  <c r="O408" i="1" l="1"/>
  <c r="F408" i="1"/>
  <c r="G408" i="1" s="1"/>
  <c r="M408" i="1" s="1"/>
  <c r="J408" i="1"/>
  <c r="C408" i="1" l="1"/>
  <c r="E409" i="1" s="1"/>
  <c r="N409" i="1" s="1"/>
  <c r="B408" i="1"/>
  <c r="D409" i="1" s="1"/>
  <c r="H409" i="1" s="1"/>
  <c r="I409" i="1" s="1"/>
  <c r="O409" i="1" l="1"/>
  <c r="F409" i="1"/>
  <c r="G409" i="1" s="1"/>
  <c r="M409" i="1" s="1"/>
  <c r="J409" i="1"/>
  <c r="C409" i="1" l="1"/>
  <c r="E410" i="1" s="1"/>
  <c r="N410" i="1" s="1"/>
  <c r="B409" i="1"/>
  <c r="D410" i="1" s="1"/>
  <c r="H410" i="1" s="1"/>
  <c r="I410" i="1" s="1"/>
  <c r="O410" i="1" l="1"/>
  <c r="F410" i="1"/>
  <c r="G410" i="1" s="1"/>
  <c r="M410" i="1" s="1"/>
  <c r="J410" i="1"/>
  <c r="B410" i="1" l="1"/>
  <c r="D411" i="1" s="1"/>
  <c r="C410" i="1"/>
  <c r="E411" i="1" s="1"/>
  <c r="N411" i="1" s="1"/>
  <c r="H411" i="1" l="1"/>
  <c r="I411" i="1" s="1"/>
  <c r="O411" i="1" l="1"/>
  <c r="J411" i="1"/>
  <c r="F411" i="1"/>
  <c r="G411" i="1" s="1"/>
  <c r="M411" i="1" s="1"/>
  <c r="C411" i="1" l="1"/>
  <c r="E412" i="1" s="1"/>
  <c r="N412" i="1" s="1"/>
  <c r="B411" i="1"/>
  <c r="D412" i="1" s="1"/>
  <c r="H412" i="1" s="1"/>
  <c r="I412" i="1" s="1"/>
  <c r="O412" i="1" l="1"/>
  <c r="J412" i="1"/>
  <c r="F412" i="1"/>
  <c r="G412" i="1" s="1"/>
  <c r="M412" i="1" s="1"/>
  <c r="B412" i="1" l="1"/>
  <c r="D413" i="1" s="1"/>
  <c r="C412" i="1"/>
  <c r="E413" i="1" s="1"/>
  <c r="N413" i="1" s="1"/>
  <c r="H413" i="1" l="1"/>
  <c r="I413" i="1" s="1"/>
  <c r="O413" i="1" l="1"/>
  <c r="J413" i="1"/>
  <c r="F413" i="1"/>
  <c r="G413" i="1" s="1"/>
  <c r="M413" i="1" s="1"/>
  <c r="B413" i="1" l="1"/>
  <c r="D414" i="1" s="1"/>
  <c r="C413" i="1"/>
  <c r="E414" i="1" s="1"/>
  <c r="N414" i="1" s="1"/>
  <c r="H414" i="1" l="1"/>
  <c r="I414" i="1" s="1"/>
  <c r="O414" i="1" l="1"/>
  <c r="J414" i="1"/>
  <c r="F414" i="1"/>
  <c r="G414" i="1" s="1"/>
  <c r="M414" i="1" s="1"/>
  <c r="B414" i="1" l="1"/>
  <c r="D415" i="1" s="1"/>
  <c r="C414" i="1"/>
  <c r="E415" i="1" s="1"/>
  <c r="N415" i="1" s="1"/>
  <c r="H415" i="1" l="1"/>
  <c r="I415" i="1" s="1"/>
  <c r="O415" i="1" l="1"/>
  <c r="F415" i="1"/>
  <c r="G415" i="1" s="1"/>
  <c r="M415" i="1" s="1"/>
  <c r="J415" i="1"/>
  <c r="B415" i="1" l="1"/>
  <c r="D416" i="1" s="1"/>
  <c r="C415" i="1"/>
  <c r="E416" i="1" s="1"/>
  <c r="N416" i="1" s="1"/>
  <c r="H416" i="1" l="1"/>
  <c r="I416" i="1" s="1"/>
  <c r="O416" i="1" l="1"/>
  <c r="J416" i="1"/>
  <c r="F416" i="1"/>
  <c r="G416" i="1" s="1"/>
  <c r="M416" i="1" s="1"/>
  <c r="C416" i="1" l="1"/>
  <c r="E417" i="1" s="1"/>
  <c r="N417" i="1" s="1"/>
  <c r="B416" i="1"/>
  <c r="D417" i="1" s="1"/>
  <c r="H417" i="1" s="1"/>
  <c r="I417" i="1" s="1"/>
  <c r="O417" i="1" l="1"/>
  <c r="F417" i="1"/>
  <c r="G417" i="1" s="1"/>
  <c r="M417" i="1" s="1"/>
  <c r="J417" i="1"/>
  <c r="C417" i="1" l="1"/>
  <c r="E418" i="1" s="1"/>
  <c r="N418" i="1" s="1"/>
  <c r="B417" i="1"/>
  <c r="D418" i="1" s="1"/>
  <c r="H418" i="1" s="1"/>
  <c r="I418" i="1" s="1"/>
  <c r="O418" i="1" l="1"/>
  <c r="J418" i="1"/>
  <c r="F418" i="1"/>
  <c r="G418" i="1" s="1"/>
  <c r="M418" i="1" s="1"/>
  <c r="B418" i="1" l="1"/>
  <c r="D419" i="1" s="1"/>
  <c r="C418" i="1"/>
  <c r="E419" i="1" s="1"/>
  <c r="N419" i="1" s="1"/>
  <c r="H419" i="1" l="1"/>
  <c r="I419" i="1" s="1"/>
  <c r="O419" i="1" l="1"/>
  <c r="F419" i="1"/>
  <c r="G419" i="1" s="1"/>
  <c r="M419" i="1" s="1"/>
  <c r="J419" i="1"/>
  <c r="C419" i="1" l="1"/>
  <c r="E420" i="1" s="1"/>
  <c r="N420" i="1" s="1"/>
  <c r="B419" i="1"/>
  <c r="D420" i="1" s="1"/>
  <c r="H420" i="1" s="1"/>
  <c r="I420" i="1" s="1"/>
  <c r="O420" i="1" l="1"/>
  <c r="J420" i="1"/>
  <c r="F420" i="1"/>
  <c r="G420" i="1" s="1"/>
  <c r="M420" i="1" s="1"/>
  <c r="C420" i="1" l="1"/>
  <c r="E421" i="1" s="1"/>
  <c r="N421" i="1" s="1"/>
  <c r="B420" i="1"/>
  <c r="D421" i="1" s="1"/>
  <c r="H421" i="1" s="1"/>
  <c r="I421" i="1" s="1"/>
  <c r="O421" i="1" l="1"/>
  <c r="J421" i="1"/>
  <c r="F421" i="1"/>
  <c r="G421" i="1" s="1"/>
  <c r="M421" i="1" s="1"/>
  <c r="B421" i="1" l="1"/>
  <c r="D422" i="1" s="1"/>
  <c r="C421" i="1"/>
  <c r="E422" i="1" s="1"/>
  <c r="N422" i="1" s="1"/>
  <c r="H422" i="1" l="1"/>
  <c r="I422" i="1" s="1"/>
  <c r="O422" i="1" l="1"/>
  <c r="J422" i="1"/>
  <c r="F422" i="1"/>
  <c r="G422" i="1" s="1"/>
  <c r="M422" i="1" s="1"/>
  <c r="B422" i="1" l="1"/>
  <c r="D423" i="1" s="1"/>
  <c r="C422" i="1"/>
  <c r="E423" i="1" s="1"/>
  <c r="N423" i="1" s="1"/>
  <c r="H423" i="1" l="1"/>
  <c r="I423" i="1" s="1"/>
  <c r="O423" i="1" l="1"/>
  <c r="J423" i="1"/>
  <c r="F423" i="1"/>
  <c r="G423" i="1" s="1"/>
  <c r="M423" i="1" s="1"/>
  <c r="B423" i="1" l="1"/>
  <c r="D424" i="1" s="1"/>
  <c r="C423" i="1"/>
  <c r="E424" i="1" s="1"/>
  <c r="N424" i="1" s="1"/>
  <c r="H424" i="1" l="1"/>
  <c r="I424" i="1" s="1"/>
  <c r="O424" i="1" l="1"/>
  <c r="F424" i="1"/>
  <c r="G424" i="1" s="1"/>
  <c r="M424" i="1" s="1"/>
  <c r="J424" i="1"/>
  <c r="C424" i="1" l="1"/>
  <c r="E425" i="1" s="1"/>
  <c r="N425" i="1" s="1"/>
  <c r="B424" i="1"/>
  <c r="D425" i="1" s="1"/>
  <c r="H425" i="1" s="1"/>
  <c r="I425" i="1" s="1"/>
  <c r="O425" i="1" l="1"/>
  <c r="F425" i="1"/>
  <c r="G425" i="1" s="1"/>
  <c r="M425" i="1" s="1"/>
  <c r="J425" i="1"/>
  <c r="C425" i="1" l="1"/>
  <c r="E426" i="1" s="1"/>
  <c r="N426" i="1" s="1"/>
  <c r="B425" i="1"/>
  <c r="D426" i="1" s="1"/>
  <c r="H426" i="1" s="1"/>
  <c r="I426" i="1" s="1"/>
  <c r="O426" i="1" l="1"/>
  <c r="F426" i="1"/>
  <c r="G426" i="1" s="1"/>
  <c r="M426" i="1" s="1"/>
  <c r="J426" i="1"/>
  <c r="B426" i="1" l="1"/>
  <c r="D427" i="1" s="1"/>
  <c r="C426" i="1"/>
  <c r="E427" i="1" s="1"/>
  <c r="N427" i="1" s="1"/>
  <c r="H427" i="1" l="1"/>
  <c r="I427" i="1" s="1"/>
  <c r="O427" i="1" l="1"/>
  <c r="J427" i="1"/>
  <c r="F427" i="1"/>
  <c r="G427" i="1" s="1"/>
  <c r="M427" i="1" s="1"/>
  <c r="C427" i="1" l="1"/>
  <c r="E428" i="1" s="1"/>
  <c r="N428" i="1" s="1"/>
  <c r="B427" i="1"/>
  <c r="D428" i="1" s="1"/>
  <c r="H428" i="1" s="1"/>
  <c r="I428" i="1" s="1"/>
  <c r="O428" i="1" l="1"/>
  <c r="J428" i="1"/>
  <c r="F428" i="1"/>
  <c r="G428" i="1" s="1"/>
  <c r="M428" i="1" s="1"/>
  <c r="B428" i="1" l="1"/>
  <c r="D429" i="1" s="1"/>
  <c r="C428" i="1"/>
  <c r="E429" i="1" s="1"/>
  <c r="N429" i="1" s="1"/>
  <c r="H429" i="1" l="1"/>
  <c r="I429" i="1" s="1"/>
  <c r="O429" i="1" l="1"/>
  <c r="J429" i="1"/>
  <c r="F429" i="1"/>
  <c r="G429" i="1" s="1"/>
  <c r="M429" i="1" s="1"/>
  <c r="B429" i="1" l="1"/>
  <c r="D430" i="1" s="1"/>
  <c r="C429" i="1"/>
  <c r="E430" i="1" s="1"/>
  <c r="N430" i="1" s="1"/>
  <c r="H430" i="1" l="1"/>
  <c r="I430" i="1" s="1"/>
  <c r="O430" i="1" l="1"/>
  <c r="J430" i="1"/>
  <c r="F430" i="1"/>
  <c r="G430" i="1" s="1"/>
  <c r="M430" i="1" s="1"/>
  <c r="B430" i="1" l="1"/>
  <c r="D431" i="1" s="1"/>
  <c r="C430" i="1"/>
  <c r="E431" i="1" s="1"/>
  <c r="N431" i="1" s="1"/>
  <c r="H431" i="1" l="1"/>
  <c r="I431" i="1" s="1"/>
  <c r="O431" i="1" l="1"/>
  <c r="F431" i="1"/>
  <c r="G431" i="1" s="1"/>
  <c r="M431" i="1" s="1"/>
  <c r="J431" i="1"/>
  <c r="B431" i="1" l="1"/>
  <c r="D432" i="1" s="1"/>
  <c r="C431" i="1"/>
  <c r="E432" i="1" s="1"/>
  <c r="N432" i="1" s="1"/>
  <c r="H432" i="1" l="1"/>
  <c r="I432" i="1" s="1"/>
  <c r="O432" i="1" l="1"/>
  <c r="F432" i="1"/>
  <c r="G432" i="1" s="1"/>
  <c r="M432" i="1" s="1"/>
  <c r="J432" i="1"/>
  <c r="C432" i="1" l="1"/>
  <c r="E433" i="1" s="1"/>
  <c r="N433" i="1" s="1"/>
  <c r="B432" i="1"/>
  <c r="D433" i="1" s="1"/>
  <c r="H433" i="1" s="1"/>
  <c r="I433" i="1" s="1"/>
  <c r="O433" i="1" l="1"/>
  <c r="F433" i="1"/>
  <c r="G433" i="1" s="1"/>
  <c r="M433" i="1" s="1"/>
  <c r="J433" i="1"/>
  <c r="C433" i="1" l="1"/>
  <c r="E434" i="1" s="1"/>
  <c r="N434" i="1" s="1"/>
  <c r="B433" i="1"/>
  <c r="D434" i="1" s="1"/>
  <c r="H434" i="1" s="1"/>
  <c r="I434" i="1" s="1"/>
  <c r="O434" i="1" l="1"/>
  <c r="F434" i="1"/>
  <c r="G434" i="1" s="1"/>
  <c r="M434" i="1" s="1"/>
  <c r="J434" i="1"/>
  <c r="B434" i="1" l="1"/>
  <c r="D435" i="1" s="1"/>
  <c r="C434" i="1"/>
  <c r="E435" i="1" s="1"/>
  <c r="N435" i="1" s="1"/>
  <c r="H435" i="1" l="1"/>
  <c r="I435" i="1" s="1"/>
  <c r="O435" i="1" l="1"/>
  <c r="F435" i="1"/>
  <c r="G435" i="1" s="1"/>
  <c r="M435" i="1" s="1"/>
  <c r="J435" i="1"/>
  <c r="B435" i="1" l="1"/>
  <c r="D436" i="1" s="1"/>
  <c r="C435" i="1"/>
  <c r="E436" i="1" s="1"/>
  <c r="N436" i="1" s="1"/>
  <c r="H436" i="1" l="1"/>
  <c r="I436" i="1" s="1"/>
  <c r="O436" i="1" l="1"/>
  <c r="J436" i="1"/>
  <c r="F436" i="1"/>
  <c r="G436" i="1" s="1"/>
  <c r="M436" i="1" s="1"/>
  <c r="B436" i="1" l="1"/>
  <c r="D437" i="1" s="1"/>
  <c r="C436" i="1"/>
  <c r="E437" i="1" s="1"/>
  <c r="N437" i="1" s="1"/>
  <c r="H437" i="1" l="1"/>
  <c r="I437" i="1" s="1"/>
  <c r="J437" i="1" l="1"/>
  <c r="O437" i="1"/>
  <c r="F437" i="1"/>
  <c r="G437" i="1" s="1"/>
  <c r="M437" i="1" s="1"/>
  <c r="B437" i="1" l="1"/>
  <c r="D438" i="1" s="1"/>
  <c r="C437" i="1"/>
  <c r="E438" i="1" s="1"/>
  <c r="N438" i="1" s="1"/>
  <c r="H438" i="1" l="1"/>
  <c r="I438" i="1" s="1"/>
  <c r="O438" i="1" l="1"/>
  <c r="J438" i="1"/>
  <c r="F438" i="1"/>
  <c r="G438" i="1" s="1"/>
  <c r="M438" i="1" s="1"/>
  <c r="B438" i="1" l="1"/>
  <c r="D439" i="1" s="1"/>
  <c r="C438" i="1"/>
  <c r="E439" i="1" s="1"/>
  <c r="N439" i="1" s="1"/>
  <c r="H439" i="1" l="1"/>
  <c r="I439" i="1" s="1"/>
  <c r="J439" i="1" l="1"/>
  <c r="O439" i="1"/>
  <c r="F439" i="1"/>
  <c r="G439" i="1" s="1"/>
  <c r="M439" i="1" s="1"/>
  <c r="B439" i="1" l="1"/>
  <c r="D440" i="1" s="1"/>
  <c r="C439" i="1"/>
  <c r="E440" i="1" s="1"/>
  <c r="N440" i="1" s="1"/>
  <c r="H440" i="1" l="1"/>
  <c r="I440" i="1" s="1"/>
  <c r="O440" i="1" l="1"/>
  <c r="F440" i="1"/>
  <c r="G440" i="1" s="1"/>
  <c r="M440" i="1" s="1"/>
  <c r="J440" i="1"/>
  <c r="C440" i="1" l="1"/>
  <c r="E441" i="1" s="1"/>
  <c r="N441" i="1" s="1"/>
  <c r="B440" i="1"/>
  <c r="D441" i="1" s="1"/>
  <c r="H441" i="1" s="1"/>
  <c r="I441" i="1" s="1"/>
  <c r="O441" i="1" l="1"/>
  <c r="F441" i="1"/>
  <c r="G441" i="1" s="1"/>
  <c r="M441" i="1" s="1"/>
  <c r="J441" i="1"/>
  <c r="C441" i="1" l="1"/>
  <c r="E442" i="1" s="1"/>
  <c r="N442" i="1" s="1"/>
  <c r="B441" i="1"/>
  <c r="D442" i="1" s="1"/>
  <c r="H442" i="1" s="1"/>
  <c r="I442" i="1" s="1"/>
  <c r="O442" i="1" l="1"/>
  <c r="F442" i="1"/>
  <c r="G442" i="1" s="1"/>
  <c r="M442" i="1" s="1"/>
  <c r="J442" i="1"/>
  <c r="B442" i="1" l="1"/>
  <c r="D443" i="1" s="1"/>
  <c r="C442" i="1"/>
  <c r="E443" i="1" s="1"/>
  <c r="N443" i="1" s="1"/>
  <c r="H443" i="1" l="1"/>
  <c r="I443" i="1" s="1"/>
  <c r="O443" i="1" l="1"/>
  <c r="J443" i="1"/>
  <c r="F443" i="1"/>
  <c r="G443" i="1" s="1"/>
  <c r="M443" i="1" s="1"/>
  <c r="C443" i="1" l="1"/>
  <c r="E444" i="1" s="1"/>
  <c r="N444" i="1" s="1"/>
  <c r="B443" i="1"/>
  <c r="D444" i="1" s="1"/>
  <c r="H444" i="1" s="1"/>
  <c r="I444" i="1" s="1"/>
  <c r="O444" i="1" l="1"/>
  <c r="J444" i="1"/>
  <c r="F444" i="1"/>
  <c r="G444" i="1" s="1"/>
  <c r="M444" i="1" s="1"/>
  <c r="B444" i="1" l="1"/>
  <c r="D445" i="1" s="1"/>
  <c r="C444" i="1"/>
  <c r="E445" i="1" s="1"/>
  <c r="N445" i="1" s="1"/>
  <c r="H445" i="1" l="1"/>
  <c r="I445" i="1" s="1"/>
  <c r="O445" i="1" l="1"/>
  <c r="J445" i="1"/>
  <c r="F445" i="1"/>
  <c r="G445" i="1" s="1"/>
  <c r="M445" i="1" s="1"/>
  <c r="B445" i="1" l="1"/>
  <c r="D446" i="1" s="1"/>
  <c r="C445" i="1"/>
  <c r="E446" i="1" s="1"/>
  <c r="N446" i="1" s="1"/>
  <c r="H446" i="1" l="1"/>
  <c r="I446" i="1" s="1"/>
  <c r="O446" i="1" l="1"/>
  <c r="J446" i="1"/>
  <c r="F446" i="1"/>
  <c r="G446" i="1" s="1"/>
  <c r="M446" i="1" s="1"/>
  <c r="B446" i="1" l="1"/>
  <c r="D447" i="1" s="1"/>
  <c r="C446" i="1"/>
  <c r="E447" i="1" s="1"/>
  <c r="N447" i="1" s="1"/>
  <c r="H447" i="1" l="1"/>
  <c r="I447" i="1" s="1"/>
  <c r="O447" i="1" l="1"/>
  <c r="F447" i="1"/>
  <c r="G447" i="1" s="1"/>
  <c r="M447" i="1" s="1"/>
  <c r="J447" i="1"/>
  <c r="B447" i="1" l="1"/>
  <c r="D448" i="1" s="1"/>
  <c r="C447" i="1"/>
  <c r="E448" i="1" s="1"/>
  <c r="N448" i="1" s="1"/>
  <c r="H448" i="1" l="1"/>
  <c r="I448" i="1" s="1"/>
  <c r="O448" i="1" l="1"/>
  <c r="F448" i="1"/>
  <c r="G448" i="1" s="1"/>
  <c r="M448" i="1" s="1"/>
  <c r="J448" i="1"/>
  <c r="C448" i="1" l="1"/>
  <c r="E449" i="1" s="1"/>
  <c r="N449" i="1" s="1"/>
  <c r="B448" i="1"/>
  <c r="D449" i="1" s="1"/>
  <c r="H449" i="1" s="1"/>
  <c r="I449" i="1" s="1"/>
  <c r="O449" i="1" l="1"/>
  <c r="F449" i="1"/>
  <c r="G449" i="1" s="1"/>
  <c r="M449" i="1" s="1"/>
  <c r="J449" i="1"/>
  <c r="B449" i="1" l="1"/>
  <c r="D450" i="1" s="1"/>
  <c r="C449" i="1"/>
  <c r="E450" i="1" s="1"/>
  <c r="N450" i="1" s="1"/>
  <c r="H450" i="1" l="1"/>
  <c r="I450" i="1" s="1"/>
  <c r="O450" i="1" l="1"/>
  <c r="F450" i="1"/>
  <c r="G450" i="1" s="1"/>
  <c r="M450" i="1" s="1"/>
  <c r="J450" i="1"/>
  <c r="B450" i="1" l="1"/>
  <c r="D451" i="1" s="1"/>
  <c r="C450" i="1"/>
  <c r="E451" i="1" s="1"/>
  <c r="N451" i="1" s="1"/>
  <c r="H451" i="1" l="1"/>
  <c r="I451" i="1" s="1"/>
  <c r="O451" i="1" l="1"/>
  <c r="F451" i="1"/>
  <c r="G451" i="1" s="1"/>
  <c r="M451" i="1" s="1"/>
  <c r="J451" i="1"/>
  <c r="C451" i="1" l="1"/>
  <c r="E452" i="1" s="1"/>
  <c r="N452" i="1" s="1"/>
  <c r="B451" i="1"/>
  <c r="D452" i="1" s="1"/>
  <c r="H452" i="1" s="1"/>
  <c r="I452" i="1" s="1"/>
  <c r="O452" i="1" l="1"/>
  <c r="J452" i="1"/>
  <c r="F452" i="1"/>
  <c r="G452" i="1" s="1"/>
  <c r="M452" i="1" s="1"/>
  <c r="B452" i="1" l="1"/>
  <c r="D453" i="1" s="1"/>
  <c r="C452" i="1"/>
  <c r="E453" i="1" s="1"/>
  <c r="N453" i="1" s="1"/>
  <c r="H453" i="1" l="1"/>
  <c r="I453" i="1" s="1"/>
  <c r="O453" i="1" l="1"/>
  <c r="J453" i="1"/>
  <c r="F453" i="1"/>
  <c r="G453" i="1" s="1"/>
  <c r="M453" i="1" s="1"/>
  <c r="B453" i="1" l="1"/>
  <c r="D454" i="1" s="1"/>
  <c r="C453" i="1"/>
  <c r="E454" i="1" s="1"/>
  <c r="N454" i="1" s="1"/>
  <c r="H454" i="1" l="1"/>
  <c r="I454" i="1" s="1"/>
  <c r="O454" i="1" l="1"/>
  <c r="J454" i="1"/>
  <c r="F454" i="1"/>
  <c r="G454" i="1" s="1"/>
  <c r="M454" i="1" s="1"/>
  <c r="B454" i="1" l="1"/>
  <c r="D455" i="1" s="1"/>
  <c r="C454" i="1"/>
  <c r="E455" i="1" s="1"/>
  <c r="N455" i="1" s="1"/>
  <c r="H455" i="1" l="1"/>
  <c r="I455" i="1" s="1"/>
  <c r="O455" i="1" l="1"/>
  <c r="J455" i="1"/>
  <c r="F455" i="1"/>
  <c r="G455" i="1" s="1"/>
  <c r="M455" i="1" s="1"/>
  <c r="B455" i="1" l="1"/>
  <c r="D456" i="1" s="1"/>
  <c r="C455" i="1"/>
  <c r="E456" i="1" s="1"/>
  <c r="N456" i="1" s="1"/>
  <c r="H456" i="1" l="1"/>
  <c r="I456" i="1" s="1"/>
  <c r="O456" i="1" l="1"/>
  <c r="F456" i="1"/>
  <c r="G456" i="1" s="1"/>
  <c r="M456" i="1" s="1"/>
  <c r="J456" i="1"/>
  <c r="B456" i="1" l="1"/>
  <c r="D457" i="1" s="1"/>
  <c r="C456" i="1"/>
  <c r="E457" i="1" s="1"/>
  <c r="N457" i="1" s="1"/>
  <c r="H457" i="1" l="1"/>
  <c r="I457" i="1" s="1"/>
  <c r="O457" i="1" l="1"/>
  <c r="F457" i="1"/>
  <c r="G457" i="1" s="1"/>
  <c r="M457" i="1" s="1"/>
  <c r="J457" i="1"/>
  <c r="B457" i="1" l="1"/>
  <c r="D458" i="1" s="1"/>
  <c r="C457" i="1"/>
  <c r="E458" i="1" s="1"/>
  <c r="N458" i="1" s="1"/>
  <c r="H458" i="1" l="1"/>
  <c r="I458" i="1" s="1"/>
  <c r="O458" i="1" l="1"/>
  <c r="F458" i="1"/>
  <c r="G458" i="1" s="1"/>
  <c r="M458" i="1" s="1"/>
  <c r="J458" i="1"/>
  <c r="B458" i="1" l="1"/>
  <c r="D459" i="1" s="1"/>
  <c r="C458" i="1"/>
  <c r="E459" i="1" s="1"/>
  <c r="N459" i="1" s="1"/>
  <c r="H459" i="1" l="1"/>
  <c r="I459" i="1" s="1"/>
  <c r="O459" i="1" l="1"/>
  <c r="J459" i="1"/>
  <c r="F459" i="1"/>
  <c r="G459" i="1" s="1"/>
  <c r="M459" i="1" s="1"/>
  <c r="B459" i="1" l="1"/>
  <c r="D460" i="1" s="1"/>
  <c r="C459" i="1"/>
  <c r="E460" i="1" s="1"/>
  <c r="N460" i="1" s="1"/>
  <c r="H460" i="1" l="1"/>
  <c r="I460" i="1" s="1"/>
  <c r="O460" i="1" l="1"/>
  <c r="J460" i="1"/>
  <c r="F460" i="1"/>
  <c r="G460" i="1" s="1"/>
  <c r="M460" i="1" s="1"/>
  <c r="B460" i="1" l="1"/>
  <c r="D461" i="1" s="1"/>
  <c r="C460" i="1"/>
  <c r="E461" i="1" s="1"/>
  <c r="N461" i="1" s="1"/>
  <c r="H461" i="1" l="1"/>
  <c r="I461" i="1" s="1"/>
  <c r="O461" i="1" l="1"/>
  <c r="F461" i="1"/>
  <c r="G461" i="1" s="1"/>
  <c r="M461" i="1" s="1"/>
  <c r="J461" i="1"/>
  <c r="B461" i="1" l="1"/>
  <c r="D462" i="1" s="1"/>
  <c r="C461" i="1"/>
  <c r="E462" i="1" s="1"/>
  <c r="N462" i="1" s="1"/>
  <c r="H462" i="1" l="1"/>
  <c r="I462" i="1" s="1"/>
  <c r="O462" i="1" l="1"/>
  <c r="J462" i="1"/>
  <c r="F462" i="1"/>
  <c r="G462" i="1" s="1"/>
  <c r="M462" i="1" s="1"/>
  <c r="B462" i="1" l="1"/>
  <c r="D463" i="1" s="1"/>
  <c r="C462" i="1"/>
  <c r="E463" i="1" s="1"/>
  <c r="N463" i="1" s="1"/>
  <c r="H463" i="1" l="1"/>
  <c r="I463" i="1" s="1"/>
  <c r="O463" i="1" l="1"/>
  <c r="J463" i="1"/>
  <c r="F463" i="1"/>
  <c r="G463" i="1" s="1"/>
  <c r="M463" i="1" s="1"/>
  <c r="B463" i="1" l="1"/>
  <c r="D464" i="1" s="1"/>
  <c r="C463" i="1"/>
  <c r="E464" i="1" s="1"/>
  <c r="N464" i="1" s="1"/>
  <c r="H464" i="1" l="1"/>
  <c r="I464" i="1" s="1"/>
  <c r="O464" i="1" l="1"/>
  <c r="F464" i="1"/>
  <c r="G464" i="1" s="1"/>
  <c r="M464" i="1" s="1"/>
  <c r="J464" i="1"/>
  <c r="B464" i="1" l="1"/>
  <c r="D465" i="1" s="1"/>
  <c r="C464" i="1"/>
  <c r="E465" i="1" s="1"/>
  <c r="N465" i="1" s="1"/>
  <c r="H465" i="1" l="1"/>
  <c r="I465" i="1" s="1"/>
  <c r="O465" i="1" l="1"/>
  <c r="F465" i="1"/>
  <c r="G465" i="1" s="1"/>
  <c r="M465" i="1" s="1"/>
  <c r="J465" i="1"/>
  <c r="B465" i="1" l="1"/>
  <c r="D466" i="1" s="1"/>
  <c r="C465" i="1"/>
  <c r="E466" i="1" s="1"/>
  <c r="N466" i="1" s="1"/>
  <c r="H466" i="1" l="1"/>
  <c r="I466" i="1" s="1"/>
  <c r="O466" i="1" l="1"/>
  <c r="J466" i="1"/>
  <c r="F466" i="1"/>
  <c r="G466" i="1" s="1"/>
  <c r="M466" i="1" s="1"/>
  <c r="B466" i="1" l="1"/>
  <c r="D467" i="1" s="1"/>
  <c r="C466" i="1"/>
  <c r="E467" i="1" s="1"/>
  <c r="N467" i="1" s="1"/>
  <c r="H467" i="1" l="1"/>
  <c r="I467" i="1" s="1"/>
  <c r="O467" i="1" l="1"/>
  <c r="J467" i="1"/>
  <c r="F467" i="1"/>
  <c r="G467" i="1" s="1"/>
  <c r="M467" i="1" s="1"/>
  <c r="B467" i="1" l="1"/>
  <c r="D468" i="1" s="1"/>
  <c r="C467" i="1"/>
  <c r="E468" i="1" s="1"/>
  <c r="N468" i="1" s="1"/>
  <c r="H468" i="1" l="1"/>
  <c r="I468" i="1" s="1"/>
  <c r="O468" i="1" l="1"/>
  <c r="J468" i="1"/>
  <c r="F468" i="1"/>
  <c r="G468" i="1" s="1"/>
  <c r="M468" i="1" s="1"/>
  <c r="B468" i="1" l="1"/>
  <c r="D469" i="1" s="1"/>
  <c r="C468" i="1"/>
  <c r="E469" i="1" s="1"/>
  <c r="N469" i="1" s="1"/>
  <c r="H469" i="1" l="1"/>
  <c r="I469" i="1" s="1"/>
  <c r="O469" i="1" l="1"/>
  <c r="J469" i="1"/>
  <c r="F469" i="1"/>
  <c r="G469" i="1" s="1"/>
  <c r="M469" i="1" s="1"/>
  <c r="B469" i="1" l="1"/>
  <c r="D470" i="1" s="1"/>
  <c r="C469" i="1"/>
  <c r="E470" i="1" s="1"/>
  <c r="N470" i="1" s="1"/>
  <c r="H470" i="1" l="1"/>
  <c r="I470" i="1" s="1"/>
  <c r="O470" i="1" l="1"/>
  <c r="F470" i="1"/>
  <c r="G470" i="1" s="1"/>
  <c r="M470" i="1" s="1"/>
  <c r="J470" i="1"/>
  <c r="B470" i="1" l="1"/>
  <c r="D471" i="1" s="1"/>
  <c r="C470" i="1"/>
  <c r="E471" i="1" s="1"/>
  <c r="N471" i="1" s="1"/>
  <c r="H471" i="1" l="1"/>
  <c r="I471" i="1" s="1"/>
  <c r="O471" i="1" l="1"/>
  <c r="F471" i="1"/>
  <c r="G471" i="1" s="1"/>
  <c r="M471" i="1" s="1"/>
  <c r="J471" i="1"/>
  <c r="B471" i="1" l="1"/>
  <c r="D472" i="1" s="1"/>
  <c r="C471" i="1"/>
  <c r="E472" i="1" s="1"/>
  <c r="N472" i="1" s="1"/>
  <c r="H472" i="1" l="1"/>
  <c r="I472" i="1" s="1"/>
  <c r="O472" i="1" l="1"/>
  <c r="F472" i="1"/>
  <c r="G472" i="1" s="1"/>
  <c r="M472" i="1" s="1"/>
  <c r="J472" i="1"/>
  <c r="B472" i="1" l="1"/>
  <c r="D473" i="1" s="1"/>
  <c r="C472" i="1"/>
  <c r="E473" i="1" s="1"/>
  <c r="N473" i="1" s="1"/>
  <c r="H473" i="1" l="1"/>
  <c r="I473" i="1" s="1"/>
  <c r="O473" i="1" l="1"/>
  <c r="F473" i="1"/>
  <c r="G473" i="1" s="1"/>
  <c r="M473" i="1" s="1"/>
  <c r="J473" i="1"/>
  <c r="B473" i="1" l="1"/>
  <c r="D474" i="1" s="1"/>
  <c r="C473" i="1"/>
  <c r="E474" i="1" s="1"/>
  <c r="N474" i="1" s="1"/>
  <c r="H474" i="1" l="1"/>
  <c r="I474" i="1" s="1"/>
  <c r="J474" i="1" l="1"/>
  <c r="O474" i="1"/>
  <c r="F474" i="1"/>
  <c r="G474" i="1" s="1"/>
  <c r="M474" i="1" s="1"/>
  <c r="B474" i="1" l="1"/>
  <c r="D475" i="1" s="1"/>
  <c r="C474" i="1"/>
  <c r="E475" i="1" s="1"/>
  <c r="N475" i="1" s="1"/>
  <c r="H475" i="1" l="1"/>
  <c r="I475" i="1" s="1"/>
  <c r="O475" i="1" l="1"/>
  <c r="F475" i="1"/>
  <c r="G475" i="1" s="1"/>
  <c r="M475" i="1" s="1"/>
  <c r="J475" i="1"/>
  <c r="B475" i="1" l="1"/>
  <c r="D476" i="1" s="1"/>
  <c r="C475" i="1"/>
  <c r="E476" i="1" s="1"/>
  <c r="N476" i="1" s="1"/>
  <c r="H476" i="1" l="1"/>
  <c r="I476" i="1" s="1"/>
  <c r="O476" i="1" l="1"/>
  <c r="J476" i="1"/>
  <c r="F476" i="1"/>
  <c r="G476" i="1" s="1"/>
  <c r="M476" i="1" s="1"/>
  <c r="B476" i="1" l="1"/>
  <c r="D477" i="1" s="1"/>
  <c r="C476" i="1"/>
  <c r="E477" i="1" s="1"/>
  <c r="N477" i="1" s="1"/>
  <c r="H477" i="1" l="1"/>
  <c r="I477" i="1" s="1"/>
  <c r="O477" i="1" l="1"/>
  <c r="J477" i="1"/>
  <c r="F477" i="1"/>
  <c r="G477" i="1" s="1"/>
  <c r="M477" i="1" s="1"/>
  <c r="B477" i="1" l="1"/>
  <c r="D478" i="1" s="1"/>
  <c r="C477" i="1"/>
  <c r="E478" i="1" s="1"/>
  <c r="N478" i="1" s="1"/>
  <c r="H478" i="1" l="1"/>
  <c r="I478" i="1" s="1"/>
  <c r="O478" i="1" l="1"/>
  <c r="F478" i="1"/>
  <c r="G478" i="1" s="1"/>
  <c r="M478" i="1" s="1"/>
  <c r="J478" i="1"/>
  <c r="B478" i="1" l="1"/>
  <c r="D479" i="1" s="1"/>
  <c r="C478" i="1"/>
  <c r="E479" i="1" s="1"/>
  <c r="N479" i="1" s="1"/>
  <c r="H479" i="1" l="1"/>
  <c r="I479" i="1" s="1"/>
  <c r="O479" i="1" l="1"/>
  <c r="F479" i="1"/>
  <c r="G479" i="1" s="1"/>
  <c r="M479" i="1" s="1"/>
  <c r="J479" i="1"/>
  <c r="B479" i="1" l="1"/>
  <c r="D480" i="1" s="1"/>
  <c r="C479" i="1"/>
  <c r="E480" i="1" s="1"/>
  <c r="N480" i="1" s="1"/>
  <c r="H480" i="1" l="1"/>
  <c r="I480" i="1" s="1"/>
  <c r="O480" i="1" l="1"/>
  <c r="J480" i="1"/>
  <c r="F480" i="1"/>
  <c r="G480" i="1" s="1"/>
  <c r="M480" i="1" s="1"/>
  <c r="B480" i="1" l="1"/>
  <c r="D481" i="1" s="1"/>
  <c r="C480" i="1"/>
  <c r="E481" i="1" s="1"/>
  <c r="N481" i="1" s="1"/>
  <c r="H481" i="1" l="1"/>
  <c r="I481" i="1" s="1"/>
  <c r="O481" i="1" l="1"/>
  <c r="F481" i="1"/>
  <c r="G481" i="1" s="1"/>
  <c r="M481" i="1" s="1"/>
  <c r="J481" i="1"/>
  <c r="B481" i="1" l="1"/>
  <c r="D482" i="1" s="1"/>
  <c r="C481" i="1"/>
  <c r="E482" i="1" s="1"/>
  <c r="N482" i="1" s="1"/>
  <c r="H482" i="1" l="1"/>
  <c r="I482" i="1" s="1"/>
  <c r="O482" i="1" l="1"/>
  <c r="F482" i="1"/>
  <c r="G482" i="1" s="1"/>
  <c r="M482" i="1" s="1"/>
  <c r="J482" i="1"/>
  <c r="B482" i="1" l="1"/>
  <c r="D483" i="1" s="1"/>
  <c r="C482" i="1"/>
  <c r="E483" i="1" s="1"/>
  <c r="N483" i="1" s="1"/>
  <c r="H483" i="1" l="1"/>
  <c r="I483" i="1" s="1"/>
  <c r="O483" i="1" l="1"/>
  <c r="F483" i="1"/>
  <c r="G483" i="1" s="1"/>
  <c r="M483" i="1" s="1"/>
  <c r="J483" i="1"/>
  <c r="B483" i="1" l="1"/>
  <c r="D484" i="1" s="1"/>
  <c r="C483" i="1"/>
  <c r="E484" i="1" s="1"/>
  <c r="N484" i="1" s="1"/>
  <c r="H484" i="1" l="1"/>
  <c r="I484" i="1" s="1"/>
  <c r="O484" i="1" l="1"/>
  <c r="J484" i="1"/>
  <c r="F484" i="1"/>
  <c r="G484" i="1" s="1"/>
  <c r="M484" i="1" s="1"/>
  <c r="B484" i="1" l="1"/>
  <c r="D485" i="1" s="1"/>
  <c r="C484" i="1"/>
  <c r="E485" i="1" s="1"/>
  <c r="N485" i="1" s="1"/>
  <c r="H485" i="1" l="1"/>
  <c r="I485" i="1" s="1"/>
  <c r="O485" i="1" l="1"/>
  <c r="J485" i="1"/>
  <c r="F485" i="1"/>
  <c r="G485" i="1" s="1"/>
  <c r="M485" i="1" s="1"/>
  <c r="B485" i="1" l="1"/>
  <c r="D486" i="1" s="1"/>
  <c r="C485" i="1"/>
  <c r="E486" i="1" s="1"/>
  <c r="N486" i="1" s="1"/>
  <c r="H486" i="1" l="1"/>
  <c r="I486" i="1" s="1"/>
  <c r="O486" i="1" l="1"/>
  <c r="F486" i="1"/>
  <c r="G486" i="1" s="1"/>
  <c r="M486" i="1" s="1"/>
  <c r="J486" i="1"/>
  <c r="B486" i="1" l="1"/>
  <c r="D487" i="1" s="1"/>
  <c r="C486" i="1"/>
  <c r="E487" i="1" s="1"/>
  <c r="N487" i="1" s="1"/>
  <c r="H487" i="1" l="1"/>
  <c r="I487" i="1" s="1"/>
  <c r="O487" i="1" l="1"/>
  <c r="J487" i="1"/>
  <c r="F487" i="1"/>
  <c r="G487" i="1" s="1"/>
  <c r="M487" i="1" s="1"/>
  <c r="B487" i="1" l="1"/>
  <c r="D488" i="1" s="1"/>
  <c r="C487" i="1"/>
  <c r="E488" i="1" s="1"/>
  <c r="N488" i="1" s="1"/>
  <c r="H488" i="1" l="1"/>
  <c r="I488" i="1" s="1"/>
  <c r="O488" i="1" l="1"/>
  <c r="F488" i="1"/>
  <c r="G488" i="1" s="1"/>
  <c r="M488" i="1" s="1"/>
  <c r="J488" i="1"/>
  <c r="B488" i="1" l="1"/>
  <c r="D489" i="1" s="1"/>
  <c r="C488" i="1"/>
  <c r="E489" i="1" s="1"/>
  <c r="N489" i="1" s="1"/>
  <c r="H489" i="1" l="1"/>
  <c r="I489" i="1" s="1"/>
  <c r="O489" i="1" l="1"/>
  <c r="F489" i="1"/>
  <c r="G489" i="1" s="1"/>
  <c r="M489" i="1" s="1"/>
  <c r="J489" i="1"/>
  <c r="B489" i="1" l="1"/>
  <c r="D490" i="1" s="1"/>
  <c r="C489" i="1"/>
  <c r="E490" i="1" s="1"/>
  <c r="N490" i="1" s="1"/>
  <c r="H490" i="1" l="1"/>
  <c r="I490" i="1" s="1"/>
  <c r="O490" i="1" l="1"/>
  <c r="F490" i="1"/>
  <c r="G490" i="1" s="1"/>
  <c r="M490" i="1" s="1"/>
  <c r="J490" i="1"/>
  <c r="B490" i="1" l="1"/>
  <c r="D491" i="1" s="1"/>
  <c r="C490" i="1"/>
  <c r="E491" i="1" s="1"/>
  <c r="N491" i="1" s="1"/>
  <c r="H491" i="1" l="1"/>
  <c r="I491" i="1" s="1"/>
  <c r="O491" i="1" l="1"/>
  <c r="F491" i="1"/>
  <c r="G491" i="1" s="1"/>
  <c r="M491" i="1" s="1"/>
  <c r="J491" i="1"/>
  <c r="B491" i="1" l="1"/>
  <c r="D492" i="1" s="1"/>
  <c r="C491" i="1"/>
  <c r="E492" i="1" s="1"/>
  <c r="N492" i="1" s="1"/>
  <c r="H492" i="1" l="1"/>
  <c r="I492" i="1" s="1"/>
  <c r="O492" i="1" l="1"/>
  <c r="J492" i="1"/>
  <c r="F492" i="1"/>
  <c r="G492" i="1" s="1"/>
  <c r="M492" i="1" s="1"/>
  <c r="B492" i="1" l="1"/>
  <c r="D493" i="1" s="1"/>
  <c r="C492" i="1"/>
  <c r="E493" i="1" s="1"/>
  <c r="N493" i="1" s="1"/>
  <c r="H493" i="1" l="1"/>
  <c r="I493" i="1" s="1"/>
  <c r="O493" i="1" l="1"/>
  <c r="J493" i="1"/>
  <c r="F493" i="1"/>
  <c r="G493" i="1" s="1"/>
  <c r="M493" i="1" s="1"/>
  <c r="B493" i="1" l="1"/>
  <c r="D494" i="1" s="1"/>
  <c r="C493" i="1"/>
  <c r="E494" i="1" s="1"/>
  <c r="N494" i="1" s="1"/>
  <c r="H494" i="1" l="1"/>
  <c r="I494" i="1" s="1"/>
  <c r="O494" i="1" l="1"/>
  <c r="J494" i="1"/>
  <c r="F494" i="1"/>
  <c r="G494" i="1" s="1"/>
  <c r="M494" i="1" s="1"/>
  <c r="B494" i="1" l="1"/>
  <c r="D495" i="1" s="1"/>
  <c r="C494" i="1"/>
  <c r="E495" i="1" s="1"/>
  <c r="N495" i="1" s="1"/>
  <c r="H495" i="1" l="1"/>
  <c r="I495" i="1" s="1"/>
  <c r="O495" i="1" l="1"/>
  <c r="J495" i="1"/>
  <c r="F495" i="1"/>
  <c r="G495" i="1" s="1"/>
  <c r="M495" i="1" s="1"/>
  <c r="B495" i="1" l="1"/>
  <c r="D496" i="1" s="1"/>
  <c r="C495" i="1"/>
  <c r="E496" i="1" s="1"/>
  <c r="N496" i="1" s="1"/>
  <c r="H496" i="1" l="1"/>
  <c r="I496" i="1" s="1"/>
  <c r="O496" i="1" l="1"/>
  <c r="F496" i="1"/>
  <c r="G496" i="1" s="1"/>
  <c r="M496" i="1" s="1"/>
  <c r="J496" i="1"/>
  <c r="B496" i="1" l="1"/>
  <c r="D497" i="1" s="1"/>
  <c r="C496" i="1"/>
  <c r="E497" i="1" s="1"/>
  <c r="N497" i="1" s="1"/>
  <c r="H497" i="1" l="1"/>
  <c r="I497" i="1" s="1"/>
  <c r="O497" i="1" l="1"/>
  <c r="F497" i="1"/>
  <c r="G497" i="1" s="1"/>
  <c r="M497" i="1" s="1"/>
  <c r="J497" i="1"/>
  <c r="B497" i="1" l="1"/>
  <c r="D498" i="1" s="1"/>
  <c r="C497" i="1"/>
  <c r="E498" i="1" s="1"/>
  <c r="N498" i="1" s="1"/>
  <c r="H498" i="1" l="1"/>
  <c r="I498" i="1" s="1"/>
  <c r="O498" i="1" l="1"/>
  <c r="F498" i="1"/>
  <c r="G498" i="1" s="1"/>
  <c r="M498" i="1" s="1"/>
  <c r="J498" i="1"/>
  <c r="B498" i="1" l="1"/>
  <c r="D499" i="1" s="1"/>
  <c r="C498" i="1"/>
  <c r="E499" i="1" s="1"/>
  <c r="N499" i="1" s="1"/>
  <c r="H499" i="1" l="1"/>
  <c r="I499" i="1" s="1"/>
  <c r="O499" i="1" l="1"/>
  <c r="F499" i="1"/>
  <c r="G499" i="1" s="1"/>
  <c r="M499" i="1" s="1"/>
  <c r="J499" i="1"/>
  <c r="B499" i="1" l="1"/>
  <c r="D500" i="1" s="1"/>
  <c r="C499" i="1"/>
  <c r="E500" i="1" s="1"/>
  <c r="N500" i="1" s="1"/>
  <c r="H500" i="1" l="1"/>
  <c r="I500" i="1" s="1"/>
  <c r="O500" i="1" l="1"/>
  <c r="F500" i="1"/>
  <c r="G500" i="1" s="1"/>
  <c r="M500" i="1" s="1"/>
  <c r="J500" i="1"/>
  <c r="B500" i="1" l="1"/>
  <c r="D501" i="1" s="1"/>
  <c r="C500" i="1"/>
  <c r="E501" i="1" s="1"/>
  <c r="N501" i="1" s="1"/>
  <c r="H501" i="1" l="1"/>
  <c r="I501" i="1" s="1"/>
  <c r="O501" i="1" l="1"/>
  <c r="J501" i="1"/>
  <c r="F501" i="1"/>
  <c r="G501" i="1" s="1"/>
  <c r="M501" i="1" s="1"/>
  <c r="B501" i="1" l="1"/>
  <c r="D502" i="1" s="1"/>
  <c r="C501" i="1"/>
  <c r="E502" i="1" s="1"/>
  <c r="N502" i="1" s="1"/>
  <c r="H502" i="1" l="1"/>
  <c r="I502" i="1" s="1"/>
  <c r="O502" i="1" l="1"/>
  <c r="F502" i="1"/>
  <c r="G502" i="1" s="1"/>
  <c r="M502" i="1" s="1"/>
  <c r="J502" i="1"/>
  <c r="B502" i="1" l="1"/>
  <c r="C502" i="1"/>
</calcChain>
</file>

<file path=xl/sharedStrings.xml><?xml version="1.0" encoding="utf-8"?>
<sst xmlns="http://schemas.openxmlformats.org/spreadsheetml/2006/main" count="72" uniqueCount="41">
  <si>
    <t>Total Mass</t>
  </si>
  <si>
    <t>Propellant Mass</t>
  </si>
  <si>
    <t>Engine Thrust</t>
  </si>
  <si>
    <t>Isp</t>
  </si>
  <si>
    <t>Mass flow rate</t>
  </si>
  <si>
    <t>Burnout Mass</t>
  </si>
  <si>
    <t>Burnout time</t>
  </si>
  <si>
    <t>Ve</t>
  </si>
  <si>
    <t>kg</t>
  </si>
  <si>
    <t>N</t>
  </si>
  <si>
    <t>s</t>
  </si>
  <si>
    <t>kg/s</t>
  </si>
  <si>
    <t>m/s</t>
  </si>
  <si>
    <t>Time</t>
  </si>
  <si>
    <t>Altitude (m)</t>
  </si>
  <si>
    <t>Kick (degrees)</t>
  </si>
  <si>
    <t>Kick (rads)</t>
  </si>
  <si>
    <t>Speed v (m/s)</t>
  </si>
  <si>
    <t>Accel. A (m/s^2)</t>
  </si>
  <si>
    <t>y-dot (rad/s)</t>
  </si>
  <si>
    <t>Flight Path Y (rad)</t>
  </si>
  <si>
    <t>X-dot Horizontal Speed (m/s)</t>
  </si>
  <si>
    <t>Down Range Distance (m)</t>
  </si>
  <si>
    <t>H-dot Vert Speed (m/s)</t>
  </si>
  <si>
    <t>g_local (m/s^2)</t>
  </si>
  <si>
    <t>Mass (kg)</t>
  </si>
  <si>
    <t>Atm. Dens. (kg/m^3)</t>
  </si>
  <si>
    <t>Drag D (N)</t>
  </si>
  <si>
    <t>Throttle (N)</t>
  </si>
  <si>
    <t>Throttle %</t>
  </si>
  <si>
    <t>Flight Path (Deg.)</t>
  </si>
  <si>
    <t>Downrange Distance (km)</t>
  </si>
  <si>
    <t>Altitude (dm)</t>
  </si>
  <si>
    <t>Altitude (Dm)</t>
  </si>
  <si>
    <t>Flight Path Y (deg)</t>
  </si>
  <si>
    <t>Downrange Distance (hm)</t>
  </si>
  <si>
    <t>1st Stage Jettison</t>
  </si>
  <si>
    <t>X</t>
  </si>
  <si>
    <t>Y</t>
  </si>
  <si>
    <t>Time (s)</t>
  </si>
  <si>
    <t>Pressure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</si>
</sst>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3"/>
          <c:order val="2"/>
          <c:tx>
            <c:strRef>
              <c:f>'Problem 1'!$N$12</c:f>
              <c:strCache>
                <c:ptCount val="1"/>
                <c:pt idx="0">
                  <c:v>Flight Path (Deg.)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'Problem 1'!$A$13:$A$502</c:f>
              <c:numCache>
                <c:formatCode>General</c:formatCode>
                <c:ptCount val="4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</c:numCache>
            </c:numRef>
          </c:cat>
          <c:val>
            <c:numRef>
              <c:f>'Problem 1'!$N$13:$N$502</c:f>
              <c:numCache>
                <c:formatCode>General</c:formatCode>
                <c:ptCount val="490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82.457941950536195</c:v>
                </c:pt>
                <c:pt idx="12">
                  <c:v>81.789378353436717</c:v>
                </c:pt>
                <c:pt idx="13">
                  <c:v>81.123774141438531</c:v>
                </c:pt>
                <c:pt idx="14">
                  <c:v>80.461165730483557</c:v>
                </c:pt>
                <c:pt idx="15">
                  <c:v>79.801593428336901</c:v>
                </c:pt>
                <c:pt idx="16">
                  <c:v>79.145100187202033</c:v>
                </c:pt>
                <c:pt idx="17">
                  <c:v>78.491730666027976</c:v>
                </c:pt>
                <c:pt idx="18">
                  <c:v>77.841530512108591</c:v>
                </c:pt>
                <c:pt idx="19">
                  <c:v>77.194545801800629</c:v>
                </c:pt>
                <c:pt idx="20">
                  <c:v>76.550822599239524</c:v>
                </c:pt>
                <c:pt idx="21">
                  <c:v>75.910406604289108</c:v>
                </c:pt>
                <c:pt idx="22">
                  <c:v>75.273342869185925</c:v>
                </c:pt>
                <c:pt idx="23">
                  <c:v>74.639675568932688</c:v>
                </c:pt>
                <c:pt idx="24">
                  <c:v>74.009447814381474</c:v>
                </c:pt>
                <c:pt idx="25">
                  <c:v>73.382701499692431</c:v>
                </c:pt>
                <c:pt idx="26">
                  <c:v>72.759477177827321</c:v>
                </c:pt>
                <c:pt idx="27">
                  <c:v>72.139813959176024</c:v>
                </c:pt>
                <c:pt idx="28">
                  <c:v>71.523749429477235</c:v>
                </c:pt>
                <c:pt idx="29">
                  <c:v>70.9113195839914</c:v>
                </c:pt>
                <c:pt idx="30">
                  <c:v>70.302558775485693</c:v>
                </c:pt>
                <c:pt idx="31">
                  <c:v>69.697499674052793</c:v>
                </c:pt>
                <c:pt idx="32">
                  <c:v>69.096173237141684</c:v>
                </c:pt>
                <c:pt idx="33">
                  <c:v>68.498608688456613</c:v>
                </c:pt>
                <c:pt idx="34">
                  <c:v>67.904833504600219</c:v>
                </c:pt>
                <c:pt idx="35">
                  <c:v>67.314873408510735</c:v>
                </c:pt>
                <c:pt idx="36">
                  <c:v>66.728752368882795</c:v>
                </c:pt>
                <c:pt idx="37">
                  <c:v>66.146492604874666</c:v>
                </c:pt>
                <c:pt idx="38">
                  <c:v>65.568114595496141</c:v>
                </c:pt>
                <c:pt idx="39">
                  <c:v>64.993637093147669</c:v>
                </c:pt>
                <c:pt idx="40">
                  <c:v>64.423077140843517</c:v>
                </c:pt>
                <c:pt idx="41">
                  <c:v>63.856450092704172</c:v>
                </c:pt>
                <c:pt idx="42">
                  <c:v>63.293769637347893</c:v>
                </c:pt>
                <c:pt idx="43">
                  <c:v>62.735047823848163</c:v>
                </c:pt>
                <c:pt idx="44">
                  <c:v>62.180295089956466</c:v>
                </c:pt>
                <c:pt idx="45">
                  <c:v>61.629520292317601</c:v>
                </c:pt>
                <c:pt idx="46">
                  <c:v>61.082730738428943</c:v>
                </c:pt>
                <c:pt idx="47">
                  <c:v>60.539932220116405</c:v>
                </c:pt>
                <c:pt idx="48">
                  <c:v>60.001129048318866</c:v>
                </c:pt>
                <c:pt idx="49">
                  <c:v>59.466324088989808</c:v>
                </c:pt>
                <c:pt idx="50">
                  <c:v>58.935518799939835</c:v>
                </c:pt>
                <c:pt idx="51">
                  <c:v>58.408713268457902</c:v>
                </c:pt>
                <c:pt idx="52">
                  <c:v>57.88590624956138</c:v>
                </c:pt>
                <c:pt idx="53">
                  <c:v>57.367095204736557</c:v>
                </c:pt>
                <c:pt idx="54">
                  <c:v>56.852276341042227</c:v>
                </c:pt>
                <c:pt idx="55">
                  <c:v>56.341444650458108</c:v>
                </c:pt>
                <c:pt idx="56">
                  <c:v>55.83459394936974</c:v>
                </c:pt>
                <c:pt idx="57">
                  <c:v>55.331716918089427</c:v>
                </c:pt>
                <c:pt idx="58">
                  <c:v>54.832805140321028</c:v>
                </c:pt>
                <c:pt idx="59">
                  <c:v>54.337849142483869</c:v>
                </c:pt>
                <c:pt idx="60">
                  <c:v>53.846838432817883</c:v>
                </c:pt>
                <c:pt idx="61">
                  <c:v>53.359761540198846</c:v>
                </c:pt>
                <c:pt idx="62">
                  <c:v>52.876606052598703</c:v>
                </c:pt>
                <c:pt idx="63">
                  <c:v>52.397358655131789</c:v>
                </c:pt>
                <c:pt idx="64">
                  <c:v>51.922005167633287</c:v>
                </c:pt>
                <c:pt idx="65">
                  <c:v>51.45053058172153</c:v>
                </c:pt>
                <c:pt idx="66">
                  <c:v>50.982919097300424</c:v>
                </c:pt>
                <c:pt idx="67">
                  <c:v>50.519154158463223</c:v>
                </c:pt>
                <c:pt idx="68">
                  <c:v>50.059218488762781</c:v>
                </c:pt>
                <c:pt idx="69">
                  <c:v>49.603094125818018</c:v>
                </c:pt>
                <c:pt idx="70">
                  <c:v>49.150762455229575</c:v>
                </c:pt>
                <c:pt idx="71">
                  <c:v>48.702204243781836</c:v>
                </c:pt>
                <c:pt idx="72">
                  <c:v>48.257399671911386</c:v>
                </c:pt>
                <c:pt idx="73">
                  <c:v>47.816328365425491</c:v>
                </c:pt>
                <c:pt idx="74">
                  <c:v>47.378969426456806</c:v>
                </c:pt>
                <c:pt idx="75">
                  <c:v>46.945301463643723</c:v>
                </c:pt>
                <c:pt idx="76">
                  <c:v>46.515302621527866</c:v>
                </c:pt>
                <c:pt idx="77">
                  <c:v>46.088950609163049</c:v>
                </c:pt>
                <c:pt idx="78">
                  <c:v>45.666222727931881</c:v>
                </c:pt>
                <c:pt idx="79">
                  <c:v>45.247095898568602</c:v>
                </c:pt>
                <c:pt idx="80">
                  <c:v>44.831546687388389</c:v>
                </c:pt>
                <c:pt idx="81">
                  <c:v>44.419551331725124</c:v>
                </c:pt>
                <c:pt idx="82">
                  <c:v>44.01108576458153</c:v>
                </c:pt>
                <c:pt idx="83">
                  <c:v>43.606125638496657</c:v>
                </c:pt>
                <c:pt idx="84">
                  <c:v>43.204646348637255</c:v>
                </c:pt>
                <c:pt idx="85">
                  <c:v>42.806623055120866</c:v>
                </c:pt>
                <c:pt idx="86">
                  <c:v>42.412030704579358</c:v>
                </c:pt>
                <c:pt idx="87">
                  <c:v>42.020844050972926</c:v>
                </c:pt>
                <c:pt idx="88">
                  <c:v>41.633037675665051</c:v>
                </c:pt>
                <c:pt idx="89">
                  <c:v>41.248586006770289</c:v>
                </c:pt>
                <c:pt idx="90">
                  <c:v>40.867463337786873</c:v>
                </c:pt>
                <c:pt idx="91">
                  <c:v>40.489643845527198</c:v>
                </c:pt>
                <c:pt idx="92">
                  <c:v>40.115101607359513</c:v>
                </c:pt>
                <c:pt idx="93">
                  <c:v>39.743810617774791</c:v>
                </c:pt>
                <c:pt idx="94">
                  <c:v>39.375744804293056</c:v>
                </c:pt>
                <c:pt idx="95">
                  <c:v>39.010878042723732</c:v>
                </c:pt>
                <c:pt idx="96">
                  <c:v>38.649184171795042</c:v>
                </c:pt>
                <c:pt idx="97">
                  <c:v>38.290637007167412</c:v>
                </c:pt>
                <c:pt idx="98">
                  <c:v>37.935210354846312</c:v>
                </c:pt>
                <c:pt idx="99">
                  <c:v>37.58287802400978</c:v>
                </c:pt>
                <c:pt idx="100">
                  <c:v>37.233613839266155</c:v>
                </c:pt>
                <c:pt idx="101">
                  <c:v>36.887391652357508</c:v>
                </c:pt>
                <c:pt idx="102">
                  <c:v>36.54418535332416</c:v>
                </c:pt>
                <c:pt idx="103">
                  <c:v>36.203968881145727</c:v>
                </c:pt>
                <c:pt idx="104">
                  <c:v>35.866716233874079</c:v>
                </c:pt>
                <c:pt idx="105">
                  <c:v>35.532401478273378</c:v>
                </c:pt>
                <c:pt idx="106">
                  <c:v>35.200998758982244</c:v>
                </c:pt>
                <c:pt idx="107">
                  <c:v>34.872482307213097</c:v>
                </c:pt>
                <c:pt idx="108">
                  <c:v>34.546826449003277</c:v>
                </c:pt>
                <c:pt idx="109">
                  <c:v>34.224005613032567</c:v>
                </c:pt>
                <c:pt idx="110">
                  <c:v>33.903994338021505</c:v>
                </c:pt>
                <c:pt idx="111">
                  <c:v>33.58676727972437</c:v>
                </c:pt>
                <c:pt idx="112">
                  <c:v>33.272299217530964</c:v>
                </c:pt>
                <c:pt idx="113">
                  <c:v>32.960565060690548</c:v>
                </c:pt>
                <c:pt idx="114">
                  <c:v>32.651539854171411</c:v>
                </c:pt>
                <c:pt idx="115">
                  <c:v>32.345198784169028</c:v>
                </c:pt>
                <c:pt idx="116">
                  <c:v>32.041517183275687</c:v>
                </c:pt>
                <c:pt idx="117">
                  <c:v>31.740470535323901</c:v>
                </c:pt>
                <c:pt idx="118">
                  <c:v>31.442034479915968</c:v>
                </c:pt>
                <c:pt idx="119">
                  <c:v>31.146184816651459</c:v>
                </c:pt>
                <c:pt idx="120">
                  <c:v>30.852897509064302</c:v>
                </c:pt>
                <c:pt idx="121">
                  <c:v>30.562148688280701</c:v>
                </c:pt>
                <c:pt idx="122">
                  <c:v>30.273914656408955</c:v>
                </c:pt>
                <c:pt idx="123">
                  <c:v>29.988171889671818</c:v>
                </c:pt>
                <c:pt idx="124">
                  <c:v>29.704897041291865</c:v>
                </c:pt>
                <c:pt idx="125">
                  <c:v>29.424066944139888</c:v>
                </c:pt>
                <c:pt idx="126">
                  <c:v>29.145658613156243</c:v>
                </c:pt>
                <c:pt idx="127">
                  <c:v>28.869649247554591</c:v>
                </c:pt>
                <c:pt idx="128">
                  <c:v>28.59601623281727</c:v>
                </c:pt>
                <c:pt idx="129">
                  <c:v>28.324737142491305</c:v>
                </c:pt>
                <c:pt idx="130">
                  <c:v>28.055789739793667</c:v>
                </c:pt>
                <c:pt idx="131">
                  <c:v>27.789151979034173</c:v>
                </c:pt>
                <c:pt idx="132">
                  <c:v>27.524802006864217</c:v>
                </c:pt>
                <c:pt idx="133">
                  <c:v>27.262718163359089</c:v>
                </c:pt>
                <c:pt idx="134">
                  <c:v>27.002878982941532</c:v>
                </c:pt>
                <c:pt idx="135">
                  <c:v>26.745263195153878</c:v>
                </c:pt>
                <c:pt idx="136">
                  <c:v>26.489849725285783</c:v>
                </c:pt>
                <c:pt idx="137">
                  <c:v>26.236617694864506</c:v>
                </c:pt>
                <c:pt idx="138">
                  <c:v>25.985546422014192</c:v>
                </c:pt>
                <c:pt idx="139">
                  <c:v>25.736615421690654</c:v>
                </c:pt>
                <c:pt idx="140">
                  <c:v>25.489804405797674</c:v>
                </c:pt>
                <c:pt idx="141">
                  <c:v>25.24509328319083</c:v>
                </c:pt>
                <c:pt idx="142">
                  <c:v>25.00246215957446</c:v>
                </c:pt>
                <c:pt idx="143">
                  <c:v>24.7618913372973</c:v>
                </c:pt>
                <c:pt idx="144">
                  <c:v>24.52336131505206</c:v>
                </c:pt>
                <c:pt idx="145">
                  <c:v>24.286852787483962</c:v>
                </c:pt>
                <c:pt idx="146">
                  <c:v>24.0523466447132</c:v>
                </c:pt>
                <c:pt idx="147">
                  <c:v>23.819823971775968</c:v>
                </c:pt>
                <c:pt idx="148">
                  <c:v>23.589266047988552</c:v>
                </c:pt>
                <c:pt idx="149">
                  <c:v>23.36065434623886</c:v>
                </c:pt>
                <c:pt idx="150">
                  <c:v>23.133970532209528</c:v>
                </c:pt>
                <c:pt idx="151">
                  <c:v>22.909196463536535</c:v>
                </c:pt>
                <c:pt idx="152">
                  <c:v>22.686314188907286</c:v>
                </c:pt>
                <c:pt idx="153">
                  <c:v>22.465305947101704</c:v>
                </c:pt>
                <c:pt idx="154">
                  <c:v>22.24615416597997</c:v>
                </c:pt>
                <c:pt idx="155">
                  <c:v>22.02884146142015</c:v>
                </c:pt>
                <c:pt idx="156">
                  <c:v>21.813350636209087</c:v>
                </c:pt>
                <c:pt idx="157">
                  <c:v>21.599664678889564</c:v>
                </c:pt>
                <c:pt idx="158">
                  <c:v>21.387766762566734</c:v>
                </c:pt>
                <c:pt idx="159">
                  <c:v>21.177640243676642</c:v>
                </c:pt>
                <c:pt idx="160">
                  <c:v>20.969268660719564</c:v>
                </c:pt>
                <c:pt idx="161">
                  <c:v>20.762635732960785</c:v>
                </c:pt>
                <c:pt idx="162">
                  <c:v>20.55772535910123</c:v>
                </c:pt>
                <c:pt idx="163">
                  <c:v>20.354521615920383</c:v>
                </c:pt>
                <c:pt idx="164">
                  <c:v>20.153008756893762</c:v>
                </c:pt>
                <c:pt idx="165">
                  <c:v>19.953171210787012</c:v>
                </c:pt>
                <c:pt idx="166">
                  <c:v>19.754993580228859</c:v>
                </c:pt>
                <c:pt idx="167">
                  <c:v>19.558460640264698</c:v>
                </c:pt>
                <c:pt idx="168">
                  <c:v>19.36355733689286</c:v>
                </c:pt>
                <c:pt idx="169">
                  <c:v>19.170268785585222</c:v>
                </c:pt>
                <c:pt idx="170">
                  <c:v>18.978580269793948</c:v>
                </c:pt>
                <c:pt idx="171">
                  <c:v>18.788477239445932</c:v>
                </c:pt>
                <c:pt idx="172">
                  <c:v>18.599945309426548</c:v>
                </c:pt>
                <c:pt idx="173">
                  <c:v>18.412970258054084</c:v>
                </c:pt>
                <c:pt idx="174">
                  <c:v>18.22753802554638</c:v>
                </c:pt>
                <c:pt idx="175">
                  <c:v>18.04363471248087</c:v>
                </c:pt>
                <c:pt idx="176">
                  <c:v>17.861246578249407</c:v>
                </c:pt>
                <c:pt idx="177">
                  <c:v>17.680360039508979</c:v>
                </c:pt>
                <c:pt idx="178">
                  <c:v>17.500961668629508</c:v>
                </c:pt>
                <c:pt idx="179">
                  <c:v>17.32303819213978</c:v>
                </c:pt>
                <c:pt idx="180">
                  <c:v>17.146576489172549</c:v>
                </c:pt>
                <c:pt idx="181">
                  <c:v>16.97156358990976</c:v>
                </c:pt>
                <c:pt idx="182">
                  <c:v>16.797986674028838</c:v>
                </c:pt>
                <c:pt idx="183">
                  <c:v>16.625833069150854</c:v>
                </c:pt>
                <c:pt idx="184">
                  <c:v>16.455090249291459</c:v>
                </c:pt>
                <c:pt idx="185">
                  <c:v>16.285745833315282</c:v>
                </c:pt>
                <c:pt idx="186">
                  <c:v>16.117787583394584</c:v>
                </c:pt>
                <c:pt idx="187">
                  <c:v>15.951203403472819</c:v>
                </c:pt>
                <c:pt idx="188">
                  <c:v>15.785981337733748</c:v>
                </c:pt>
                <c:pt idx="189">
                  <c:v>15.622109569076725</c:v>
                </c:pt>
                <c:pt idx="190">
                  <c:v>15.459576417598736</c:v>
                </c:pt>
                <c:pt idx="191">
                  <c:v>15.298370339083704</c:v>
                </c:pt>
                <c:pt idx="192">
                  <c:v>15.138479923499551</c:v>
                </c:pt>
                <c:pt idx="193">
                  <c:v>14.979893893503549</c:v>
                </c:pt>
                <c:pt idx="194">
                  <c:v>14.822601102956334</c:v>
                </c:pt>
                <c:pt idx="195">
                  <c:v>14.666590535445017</c:v>
                </c:pt>
                <c:pt idx="196">
                  <c:v>14.511851302815785</c:v>
                </c:pt>
                <c:pt idx="197">
                  <c:v>14.358372643716322</c:v>
                </c:pt>
                <c:pt idx="198">
                  <c:v>14.206143922148415</c:v>
                </c:pt>
                <c:pt idx="199">
                  <c:v>14.055154626031026</c:v>
                </c:pt>
                <c:pt idx="200">
                  <c:v>13.905394365774102</c:v>
                </c:pt>
                <c:pt idx="201">
                  <c:v>13.756852872863412</c:v>
                </c:pt>
                <c:pt idx="202">
                  <c:v>13.609519998456635</c:v>
                </c:pt>
                <c:pt idx="203">
                  <c:v>13.463385711990931</c:v>
                </c:pt>
                <c:pt idx="204">
                  <c:v>13.318440099802149</c:v>
                </c:pt>
                <c:pt idx="205">
                  <c:v>13.174673363755938</c:v>
                </c:pt>
                <c:pt idx="206">
                  <c:v>13.03207581989083</c:v>
                </c:pt>
                <c:pt idx="207">
                  <c:v>12.890637897073514</c:v>
                </c:pt>
                <c:pt idx="208">
                  <c:v>12.750350135666407</c:v>
                </c:pt>
                <c:pt idx="209">
                  <c:v>12.611203186207629</c:v>
                </c:pt>
                <c:pt idx="210">
                  <c:v>12.473187808103503</c:v>
                </c:pt>
                <c:pt idx="211">
                  <c:v>12.336294868333662</c:v>
                </c:pt>
                <c:pt idx="212">
                  <c:v>12.200515340168838</c:v>
                </c:pt>
                <c:pt idx="213">
                  <c:v>12.065840301901403</c:v>
                </c:pt>
                <c:pt idx="214">
                  <c:v>11.932260935588703</c:v>
                </c:pt>
                <c:pt idx="215">
                  <c:v>11.799768525809245</c:v>
                </c:pt>
                <c:pt idx="216">
                  <c:v>11.668354458431761</c:v>
                </c:pt>
                <c:pt idx="217">
                  <c:v>11.538010219397151</c:v>
                </c:pt>
                <c:pt idx="218">
                  <c:v>11.408727393513365</c:v>
                </c:pt>
                <c:pt idx="219">
                  <c:v>11.280497663263171</c:v>
                </c:pt>
                <c:pt idx="220">
                  <c:v>11.153312807624856</c:v>
                </c:pt>
                <c:pt idx="221">
                  <c:v>11.027164700905796</c:v>
                </c:pt>
                <c:pt idx="222">
                  <c:v>10.902045311588944</c:v>
                </c:pt>
                <c:pt idx="223">
                  <c:v>10.777946701192128</c:v>
                </c:pt>
                <c:pt idx="224">
                  <c:v>10.654861023140189</c:v>
                </c:pt>
                <c:pt idx="225">
                  <c:v>10.532780521649903</c:v>
                </c:pt>
                <c:pt idx="226">
                  <c:v>10.41169753062762</c:v>
                </c:pt>
                <c:pt idx="227">
                  <c:v>10.2916044725796</c:v>
                </c:pt>
                <c:pt idx="228">
                  <c:v>10.172493857534956</c:v>
                </c:pt>
                <c:pt idx="229">
                  <c:v>10.054358281981203</c:v>
                </c:pt>
                <c:pt idx="230">
                  <c:v>9.937190427812272</c:v>
                </c:pt>
                <c:pt idx="231">
                  <c:v>9.8209830612889615</c:v>
                </c:pt>
                <c:pt idx="232">
                  <c:v>9.7057290320117744</c:v>
                </c:pt>
                <c:pt idx="233">
                  <c:v>9.5914212719060075</c:v>
                </c:pt>
                <c:pt idx="234">
                  <c:v>9.4780527942190673</c:v>
                </c:pt>
                <c:pt idx="235">
                  <c:v>9.3656166925298852</c:v>
                </c:pt>
                <c:pt idx="236">
                  <c:v>9.2541061397703839</c:v>
                </c:pt>
                <c:pt idx="237">
                  <c:v>9.1435143872588736</c:v>
                </c:pt>
                <c:pt idx="238">
                  <c:v>9.0338347637453094</c:v>
                </c:pt>
                <c:pt idx="239">
                  <c:v>8.925060674468309</c:v>
                </c:pt>
                <c:pt idx="240">
                  <c:v>8.8171856002238247</c:v>
                </c:pt>
                <c:pt idx="241">
                  <c:v>8.7102030964453832</c:v>
                </c:pt>
                <c:pt idx="242">
                  <c:v>8.6041067922957986</c:v>
                </c:pt>
                <c:pt idx="243">
                  <c:v>8.498890389770235</c:v>
                </c:pt>
                <c:pt idx="244">
                  <c:v>8.3945476628105524</c:v>
                </c:pt>
                <c:pt idx="245">
                  <c:v>8.2910724564307809</c:v>
                </c:pt>
                <c:pt idx="246">
                  <c:v>8.1884586858536696</c:v>
                </c:pt>
                <c:pt idx="247">
                  <c:v>8.086700335658179</c:v>
                </c:pt>
                <c:pt idx="248">
                  <c:v>7.9857914589377952</c:v>
                </c:pt>
                <c:pt idx="249">
                  <c:v>7.8857261764695963</c:v>
                </c:pt>
                <c:pt idx="250">
                  <c:v>7.7864986758939292</c:v>
                </c:pt>
                <c:pt idx="251">
                  <c:v>7.6881032109046048</c:v>
                </c:pt>
                <c:pt idx="252">
                  <c:v>7.5905341004494868</c:v>
                </c:pt>
                <c:pt idx="253">
                  <c:v>7.4937857279413853</c:v>
                </c:pt>
                <c:pt idx="254">
                  <c:v>7.3978525404791329</c:v>
                </c:pt>
                <c:pt idx="255">
                  <c:v>7.3027290480787252</c:v>
                </c:pt>
                <c:pt idx="256">
                  <c:v>7.2084098229144322</c:v>
                </c:pt>
                <c:pt idx="257">
                  <c:v>7.1148894985697533</c:v>
                </c:pt>
                <c:pt idx="258">
                  <c:v>7.0221627692981254</c:v>
                </c:pt>
                <c:pt idx="259">
                  <c:v>6.9302243892932456</c:v>
                </c:pt>
                <c:pt idx="260">
                  <c:v>6.8390691719689345</c:v>
                </c:pt>
                <c:pt idx="261">
                  <c:v>6.748691989248389</c:v>
                </c:pt>
                <c:pt idx="262">
                  <c:v>6.6590877708627509</c:v>
                </c:pt>
                <c:pt idx="263">
                  <c:v>6.5702515036588629</c:v>
                </c:pt>
                <c:pt idx="264">
                  <c:v>6.4821782309161051</c:v>
                </c:pt>
                <c:pt idx="265">
                  <c:v>6.3948630516722069</c:v>
                </c:pt>
                <c:pt idx="266">
                  <c:v>6.3083011200579255</c:v>
                </c:pt>
                <c:pt idx="267">
                  <c:v>6.2224876446404878</c:v>
                </c:pt>
                <c:pt idx="268">
                  <c:v>6.1374178877756673</c:v>
                </c:pt>
                <c:pt idx="269">
                  <c:v>6.0530871649684315</c:v>
                </c:pt>
                <c:pt idx="270">
                  <c:v>5.9694908442420083</c:v>
                </c:pt>
                <c:pt idx="271">
                  <c:v>5.8866243455152976</c:v>
                </c:pt>
                <c:pt idx="272">
                  <c:v>5.8044831399885117</c:v>
                </c:pt>
                <c:pt idx="273">
                  <c:v>5.7230627495369406</c:v>
                </c:pt>
                <c:pt idx="274">
                  <c:v>5.6423587461127447</c:v>
                </c:pt>
                <c:pt idx="275">
                  <c:v>5.5623667511546691</c:v>
                </c:pt>
                <c:pt idx="276">
                  <c:v>5.483082435005576</c:v>
                </c:pt>
                <c:pt idx="277">
                  <c:v>5.4045015163377075</c:v>
                </c:pt>
                <c:pt idx="278">
                  <c:v>5.3266197615855546</c:v>
                </c:pt>
                <c:pt idx="279">
                  <c:v>5.2494329843862646</c:v>
                </c:pt>
                <c:pt idx="280">
                  <c:v>5.1729370450274637</c:v>
                </c:pt>
                <c:pt idx="281">
                  <c:v>5.0971278499024129</c:v>
                </c:pt>
                <c:pt idx="282">
                  <c:v>5.0220013509723902</c:v>
                </c:pt>
                <c:pt idx="283">
                  <c:v>4.9475535452362189</c:v>
                </c:pt>
                <c:pt idx="284">
                  <c:v>4.8737804742068302</c:v>
                </c:pt>
                <c:pt idx="285">
                  <c:v>4.8006782233947805</c:v>
                </c:pt>
                <c:pt idx="286">
                  <c:v>4.7282429217986257</c:v>
                </c:pt>
                <c:pt idx="287">
                  <c:v>4.6564707414020585</c:v>
                </c:pt>
                <c:pt idx="288">
                  <c:v>4.5853578966777286</c:v>
                </c:pt>
                <c:pt idx="289">
                  <c:v>4.5149006440976391</c:v>
                </c:pt>
                <c:pt idx="290">
                  <c:v>4.445095281650052</c:v>
                </c:pt>
                <c:pt idx="291">
                  <c:v>4.375938148362791</c:v>
                </c:pt>
                <c:pt idx="292">
                  <c:v>4.3074256238328843</c:v>
                </c:pt>
                <c:pt idx="293">
                  <c:v>4.23955412776243</c:v>
                </c:pt>
                <c:pt idx="294">
                  <c:v>4.1723201195006254</c:v>
                </c:pt>
                <c:pt idx="295">
                  <c:v>4.1057200975918597</c:v>
                </c:pt>
                <c:pt idx="296">
                  <c:v>4.0397505993297989</c:v>
                </c:pt>
                <c:pt idx="297">
                  <c:v>3.9744082003173737</c:v>
                </c:pt>
                <c:pt idx="298">
                  <c:v>3.9096895140325931</c:v>
                </c:pt>
                <c:pt idx="299">
                  <c:v>3.8455911914000986</c:v>
                </c:pt>
                <c:pt idx="300">
                  <c:v>3.7821099203683919</c:v>
                </c:pt>
                <c:pt idx="301">
                  <c:v>3.7192424254926428</c:v>
                </c:pt>
                <c:pt idx="302">
                  <c:v>3.6569854675230125</c:v>
                </c:pt>
                <c:pt idx="303">
                  <c:v>3.595335842998411</c:v>
                </c:pt>
                <c:pt idx="304">
                  <c:v>3.5342903838456157</c:v>
                </c:pt>
                <c:pt idx="305">
                  <c:v>3.4738459569836695</c:v>
                </c:pt>
                <c:pt idx="306">
                  <c:v>3.4139994639335001</c:v>
                </c:pt>
                <c:pt idx="307">
                  <c:v>3.3547478404326725</c:v>
                </c:pt>
                <c:pt idx="308">
                  <c:v>3.2960880560552108</c:v>
                </c:pt>
                <c:pt idx="309">
                  <c:v>3.2380171138364213</c:v>
                </c:pt>
                <c:pt idx="310">
                  <c:v>3.1805320499026437</c:v>
                </c:pt>
                <c:pt idx="311">
                  <c:v>3.1236299331058555</c:v>
                </c:pt>
                <c:pt idx="312">
                  <c:v>3.0673078646630763</c:v>
                </c:pt>
                <c:pt idx="313">
                  <c:v>3.0115629778004931</c:v>
                </c:pt>
                <c:pt idx="314">
                  <c:v>2.9563924374022448</c:v>
                </c:pt>
                <c:pt idx="315">
                  <c:v>2.9017934396637974</c:v>
                </c:pt>
                <c:pt idx="316">
                  <c:v>2.8477632117498555</c:v>
                </c:pt>
                <c:pt idx="317">
                  <c:v>2.7942990114567308</c:v>
                </c:pt>
                <c:pt idx="318">
                  <c:v>2.7413981268791203</c:v>
                </c:pt>
                <c:pt idx="319">
                  <c:v>2.6890578760812205</c:v>
                </c:pt>
                <c:pt idx="320">
                  <c:v>2.6372756067721252</c:v>
                </c:pt>
                <c:pt idx="321">
                  <c:v>2.5860486959854416</c:v>
                </c:pt>
                <c:pt idx="322">
                  <c:v>2.5353745497630666</c:v>
                </c:pt>
                <c:pt idx="323">
                  <c:v>2.485250602843065</c:v>
                </c:pt>
                <c:pt idx="324">
                  <c:v>2.4356743183515923</c:v>
                </c:pt>
                <c:pt idx="325">
                  <c:v>2.3866431874988034</c:v>
                </c:pt>
                <c:pt idx="326">
                  <c:v>2.3381547292786924</c:v>
                </c:pt>
                <c:pt idx="327">
                  <c:v>2.2902064901728094</c:v>
                </c:pt>
                <c:pt idx="328">
                  <c:v>2.2427960438577932</c:v>
                </c:pt>
                <c:pt idx="329">
                  <c:v>2.1959209909166755</c:v>
                </c:pt>
                <c:pt idx="330">
                  <c:v>2.1495789585538945</c:v>
                </c:pt>
                <c:pt idx="331">
                  <c:v>2.1037676003139718</c:v>
                </c:pt>
                <c:pt idx="332">
                  <c:v>2.0584845958037978</c:v>
                </c:pt>
                <c:pt idx="333">
                  <c:v>2.0137276504184709</c:v>
                </c:pt>
                <c:pt idx="334">
                  <c:v>1.9694944950706514</c:v>
                </c:pt>
                <c:pt idx="335">
                  <c:v>1.9257828859233668</c:v>
                </c:pt>
                <c:pt idx="336">
                  <c:v>1.882590604126229</c:v>
                </c:pt>
                <c:pt idx="337">
                  <c:v>1.8399154555550108</c:v>
                </c:pt>
                <c:pt idx="338">
                  <c:v>1.7977552705545348</c:v>
                </c:pt>
                <c:pt idx="339">
                  <c:v>1.7561079036848304</c:v>
                </c:pt>
                <c:pt idx="340">
                  <c:v>1.714971233470507</c:v>
                </c:pt>
                <c:pt idx="341">
                  <c:v>1.6743431621533036</c:v>
                </c:pt>
                <c:pt idx="342">
                  <c:v>1.634221615447766</c:v>
                </c:pt>
                <c:pt idx="343">
                  <c:v>1.594604542300007</c:v>
                </c:pt>
                <c:pt idx="344">
                  <c:v>1.5554899146495114</c:v>
                </c:pt>
                <c:pt idx="345">
                  <c:v>1.5168757271939317</c:v>
                </c:pt>
                <c:pt idx="346">
                  <c:v>1.4787599971568453</c:v>
                </c:pt>
                <c:pt idx="347">
                  <c:v>1.44114076405842</c:v>
                </c:pt>
                <c:pt idx="348">
                  <c:v>1.404016089488952</c:v>
                </c:pt>
                <c:pt idx="349">
                  <c:v>1.3673840568852345</c:v>
                </c:pt>
                <c:pt idx="350">
                  <c:v>1.3312427713097179</c:v>
                </c:pt>
                <c:pt idx="351">
                  <c:v>1.2955903592324174</c:v>
                </c:pt>
                <c:pt idx="352">
                  <c:v>1.2604249683155349</c:v>
                </c:pt>
                <c:pt idx="353">
                  <c:v>1.225744767200752</c:v>
                </c:pt>
                <c:pt idx="354">
                  <c:v>1.1915479452991602</c:v>
                </c:pt>
                <c:pt idx="355">
                  <c:v>1.1578327125837837</c:v>
                </c:pt>
                <c:pt idx="356">
                  <c:v>1.124597299384668</c:v>
                </c:pt>
                <c:pt idx="357">
                  <c:v>1.0918399561864889</c:v>
                </c:pt>
                <c:pt idx="358">
                  <c:v>1.0595589534286491</c:v>
                </c:pt>
                <c:pt idx="359">
                  <c:v>1.0277525813078301</c:v>
                </c:pt>
                <c:pt idx="360">
                  <c:v>0.99641914958295807</c:v>
                </c:pt>
                <c:pt idx="361">
                  <c:v>0.96555698738255513</c:v>
                </c:pt>
                <c:pt idx="362">
                  <c:v>0.9351644430144388</c:v>
                </c:pt>
                <c:pt idx="363">
                  <c:v>0.90523988377773634</c:v>
                </c:pt>
                <c:pt idx="364">
                  <c:v>0.87578169577718279</c:v>
                </c:pt>
                <c:pt idx="365">
                  <c:v>0.84678828373966686</c:v>
                </c:pt>
                <c:pt idx="366">
                  <c:v>0.81825807083299729</c:v>
                </c:pt>
                <c:pt idx="367">
                  <c:v>0.79018949848685194</c:v>
                </c:pt>
                <c:pt idx="368">
                  <c:v>0.76258102621588464</c:v>
                </c:pt>
                <c:pt idx="369">
                  <c:v>0.7354311314449542</c:v>
                </c:pt>
                <c:pt idx="370">
                  <c:v>0.70873830933644733</c:v>
                </c:pt>
                <c:pt idx="371">
                  <c:v>0.68250107261966519</c:v>
                </c:pt>
                <c:pt idx="372">
                  <c:v>0.65671795142224465</c:v>
                </c:pt>
                <c:pt idx="373">
                  <c:v>0.63138749310358344</c:v>
                </c:pt>
                <c:pt idx="374">
                  <c:v>0.60650826209024233</c:v>
                </c:pt>
                <c:pt idx="375">
                  <c:v>0.58207883971329466</c:v>
                </c:pt>
                <c:pt idx="376">
                  <c:v>0.55809782404759611</c:v>
                </c:pt>
                <c:pt idx="377">
                  <c:v>0.53456382975294647</c:v>
                </c:pt>
                <c:pt idx="378">
                  <c:v>0.51147548791711717</c:v>
                </c:pt>
                <c:pt idx="379">
                  <c:v>0.48883144590071692</c:v>
                </c:pt>
                <c:pt idx="380">
                  <c:v>0.46663036718386852</c:v>
                </c:pt>
                <c:pt idx="381">
                  <c:v>0.44487093121467342</c:v>
                </c:pt>
                <c:pt idx="382">
                  <c:v>0.4235518332594343</c:v>
                </c:pt>
                <c:pt idx="383">
                  <c:v>0.40267178425461408</c:v>
                </c:pt>
                <c:pt idx="384">
                  <c:v>0.38222951066050359</c:v>
                </c:pt>
                <c:pt idx="385">
                  <c:v>0.36222375431657527</c:v>
                </c:pt>
                <c:pt idx="386">
                  <c:v>0.34265327229849674</c:v>
                </c:pt>
                <c:pt idx="387">
                  <c:v>0.323516836776782</c:v>
                </c:pt>
                <c:pt idx="388">
                  <c:v>0.30481323487705481</c:v>
                </c:pt>
                <c:pt idx="389">
                  <c:v>0.28654126854190243</c:v>
                </c:pt>
                <c:pt idx="390">
                  <c:v>0.26869975439429566</c:v>
                </c:pt>
                <c:pt idx="391">
                  <c:v>0.25128752360255296</c:v>
                </c:pt>
                <c:pt idx="392">
                  <c:v>0.23430342174682603</c:v>
                </c:pt>
                <c:pt idx="393">
                  <c:v>0.21774630868708431</c:v>
                </c:pt>
                <c:pt idx="394">
                  <c:v>0.20161505843257777</c:v>
                </c:pt>
                <c:pt idx="395">
                  <c:v>0.18590855901275496</c:v>
                </c:pt>
                <c:pt idx="396">
                  <c:v>0.1706257123496161</c:v>
                </c:pt>
                <c:pt idx="397">
                  <c:v>0.15576543413147975</c:v>
                </c:pt>
                <c:pt idx="398">
                  <c:v>0.14132665368814262</c:v>
                </c:pt>
                <c:pt idx="399">
                  <c:v>0.12730831386741198</c:v>
                </c:pt>
                <c:pt idx="400">
                  <c:v>0.11370937091299031</c:v>
                </c:pt>
                <c:pt idx="401">
                  <c:v>0.10052879434369293</c:v>
                </c:pt>
                <c:pt idx="402">
                  <c:v>8.7765566833978167E-2</c:v>
                </c:pt>
                <c:pt idx="403">
                  <c:v>7.5418684095771252E-2</c:v>
                </c:pt>
                <c:pt idx="404">
                  <c:v>6.3487154761562886E-2</c:v>
                </c:pt>
                <c:pt idx="405">
                  <c:v>5.1970000268763049E-2</c:v>
                </c:pt>
                <c:pt idx="406">
                  <c:v>4.0866254745291986E-2</c:v>
                </c:pt>
                <c:pt idx="407">
                  <c:v>3.0174964896389808E-2</c:v>
                </c:pt>
                <c:pt idx="408">
                  <c:v>1.9895189892626487E-2</c:v>
                </c:pt>
                <c:pt idx="409">
                  <c:v>1.0026001259094457E-2</c:v>
                </c:pt>
                <c:pt idx="410">
                  <c:v>5.6648276576603813E-4</c:v>
                </c:pt>
                <c:pt idx="411">
                  <c:v>-8.4842696810016171E-3</c:v>
                </c:pt>
                <c:pt idx="412">
                  <c:v>-1.7127148145831435E-2</c:v>
                </c:pt>
                <c:pt idx="413">
                  <c:v>-2.5363032770578185E-2</c:v>
                </c:pt>
                <c:pt idx="414">
                  <c:v>-3.3192791879483659E-2</c:v>
                </c:pt>
                <c:pt idx="415">
                  <c:v>-4.0617282083252181E-2</c:v>
                </c:pt>
                <c:pt idx="416">
                  <c:v>-4.7637348382062489E-2</c:v>
                </c:pt>
                <c:pt idx="417">
                  <c:v>-5.4253824267532516E-2</c:v>
                </c:pt>
                <c:pt idx="418">
                  <c:v>-6.0467531823652658E-2</c:v>
                </c:pt>
                <c:pt idx="419">
                  <c:v>-6.6279281826703396E-2</c:v>
                </c:pt>
                <c:pt idx="420">
                  <c:v>-7.1689873844173121E-2</c:v>
                </c:pt>
                <c:pt idx="421">
                  <c:v>-7.6700096332691051E-2</c:v>
                </c:pt>
                <c:pt idx="422">
                  <c:v>-8.1310726734990763E-2</c:v>
                </c:pt>
                <c:pt idx="423">
                  <c:v>-8.5522531575919297E-2</c:v>
                </c:pt>
                <c:pt idx="424">
                  <c:v>-8.9336266557506358E-2</c:v>
                </c:pt>
                <c:pt idx="425">
                  <c:v>-9.2752676653108712E-2</c:v>
                </c:pt>
                <c:pt idx="426">
                  <c:v>-9.5772496200643764E-2</c:v>
                </c:pt>
                <c:pt idx="427">
                  <c:v>-9.8396448994926902E-2</c:v>
                </c:pt>
                <c:pt idx="428">
                  <c:v>-0.10062524837912634</c:v>
                </c:pt>
                <c:pt idx="429">
                  <c:v>-0.10245959733535008</c:v>
                </c:pt>
                <c:pt idx="430">
                  <c:v>-0.10390018857437787</c:v>
                </c:pt>
                <c:pt idx="431">
                  <c:v>-0.10494770462455234</c:v>
                </c:pt>
                <c:pt idx="432">
                  <c:v>-0.10560281791984259</c:v>
                </c:pt>
                <c:pt idx="433">
                  <c:v>-0.10586619088709352</c:v>
                </c:pt>
                <c:pt idx="434">
                  <c:v>-0.10573847603247401</c:v>
                </c:pt>
                <c:pt idx="435">
                  <c:v>-0.10522031602713668</c:v>
                </c:pt>
                <c:pt idx="436">
                  <c:v>-0.10431234379210254</c:v>
                </c:pt>
                <c:pt idx="437">
                  <c:v>-0.10301518258238269</c:v>
                </c:pt>
                <c:pt idx="438">
                  <c:v>-0.10132944607034988</c:v>
                </c:pt>
                <c:pt idx="439">
                  <c:v>-9.9255738428372028E-2</c:v>
                </c:pt>
                <c:pt idx="440">
                  <c:v>-9.6794654410720257E-2</c:v>
                </c:pt>
                <c:pt idx="441">
                  <c:v>-9.3946779434763303E-2</c:v>
                </c:pt>
                <c:pt idx="442">
                  <c:v>-9.0712689661460205E-2</c:v>
                </c:pt>
                <c:pt idx="443">
                  <c:v>-8.7478514056419238E-2</c:v>
                </c:pt>
                <c:pt idx="444">
                  <c:v>-8.4244255482280123E-2</c:v>
                </c:pt>
                <c:pt idx="445">
                  <c:v>-8.1009916801804208E-2</c:v>
                </c:pt>
                <c:pt idx="446">
                  <c:v>-7.7775500877870649E-2</c:v>
                </c:pt>
                <c:pt idx="447">
                  <c:v>-7.4541010573472108E-2</c:v>
                </c:pt>
                <c:pt idx="448">
                  <c:v>-7.1306448751710758E-2</c:v>
                </c:pt>
                <c:pt idx="449">
                  <c:v>-6.8071818275794227E-2</c:v>
                </c:pt>
                <c:pt idx="450">
                  <c:v>-6.4837122009031453E-2</c:v>
                </c:pt>
                <c:pt idx="451">
                  <c:v>-6.1602362814828712E-2</c:v>
                </c:pt>
                <c:pt idx="452">
                  <c:v>-5.8367543556685518E-2</c:v>
                </c:pt>
                <c:pt idx="453">
                  <c:v>-5.513266709819048E-2</c:v>
                </c:pt>
                <c:pt idx="454">
                  <c:v>-5.1897736303017264E-2</c:v>
                </c:pt>
                <c:pt idx="455">
                  <c:v>-4.8662754034920569E-2</c:v>
                </c:pt>
                <c:pt idx="456">
                  <c:v>-4.5427723157731935E-2</c:v>
                </c:pt>
                <c:pt idx="457">
                  <c:v>-4.2192646535355809E-2</c:v>
                </c:pt>
                <c:pt idx="458">
                  <c:v>-3.8957527031765339E-2</c:v>
                </c:pt>
                <c:pt idx="459">
                  <c:v>-3.5722367510998415E-2</c:v>
                </c:pt>
                <c:pt idx="460">
                  <c:v>-3.2487170837153495E-2</c:v>
                </c:pt>
                <c:pt idx="461">
                  <c:v>-2.9251939874385572E-2</c:v>
                </c:pt>
                <c:pt idx="462">
                  <c:v>-2.6016677486902062E-2</c:v>
                </c:pt>
                <c:pt idx="463">
                  <c:v>-2.2781386538958816E-2</c:v>
                </c:pt>
                <c:pt idx="464">
                  <c:v>-1.9546069894855949E-2</c:v>
                </c:pt>
                <c:pt idx="465">
                  <c:v>-1.6310730418933772E-2</c:v>
                </c:pt>
                <c:pt idx="466">
                  <c:v>-1.3075370975568787E-2</c:v>
                </c:pt>
                <c:pt idx="467">
                  <c:v>-9.8399944291695223E-3</c:v>
                </c:pt>
                <c:pt idx="468">
                  <c:v>-6.6046036441724902E-3</c:v>
                </c:pt>
                <c:pt idx="469">
                  <c:v>-3.3692014850381551E-3</c:v>
                </c:pt>
                <c:pt idx="470">
                  <c:v>-1.337908162467601E-4</c:v>
                </c:pt>
                <c:pt idx="471">
                  <c:v>3.1016254977056868E-3</c:v>
                </c:pt>
                <c:pt idx="472">
                  <c:v>6.3370445923114898E-3</c:v>
                </c:pt>
                <c:pt idx="473">
                  <c:v>9.5724636030553797E-3</c:v>
                </c:pt>
                <c:pt idx="474">
                  <c:v>1.2807879665418563E-2</c:v>
                </c:pt>
                <c:pt idx="475">
                  <c:v>1.6043289914882797E-2</c:v>
                </c:pt>
                <c:pt idx="476">
                  <c:v>1.927869148693449E-2</c:v>
                </c:pt>
                <c:pt idx="477">
                  <c:v>2.2514081517068799E-2</c:v>
                </c:pt>
                <c:pt idx="478">
                  <c:v>2.5749457140793599E-2</c:v>
                </c:pt>
                <c:pt idx="479">
                  <c:v>2.8984815493633728E-2</c:v>
                </c:pt>
                <c:pt idx="480">
                  <c:v>3.2220153711134909E-2</c:v>
                </c:pt>
                <c:pt idx="481">
                  <c:v>3.5455468928867966E-2</c:v>
                </c:pt>
                <c:pt idx="482">
                  <c:v>3.8690758282432784E-2</c:v>
                </c:pt>
                <c:pt idx="483">
                  <c:v>4.1926018907462392E-2</c:v>
                </c:pt>
                <c:pt idx="484">
                  <c:v>4.5161247939627211E-2</c:v>
                </c:pt>
                <c:pt idx="485">
                  <c:v>4.8396442514638913E-2</c:v>
                </c:pt>
                <c:pt idx="486">
                  <c:v>5.1631599768254585E-2</c:v>
                </c:pt>
                <c:pt idx="487">
                  <c:v>5.4866716836280881E-2</c:v>
                </c:pt>
                <c:pt idx="488">
                  <c:v>5.8101790854577957E-2</c:v>
                </c:pt>
                <c:pt idx="489">
                  <c:v>6.1336818959063663E-2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8-3D4C-9EDE-4BAD7468A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57872"/>
        <c:axId val="134959520"/>
      </c:lineChart>
      <c:lineChart>
        <c:grouping val="standard"/>
        <c:varyColors val="0"/>
        <c:ser>
          <c:idx val="3"/>
          <c:order val="0"/>
          <c:tx>
            <c:strRef>
              <c:f>'Problem 1'!$D$12</c:f>
              <c:strCache>
                <c:ptCount val="1"/>
                <c:pt idx="0">
                  <c:v>Speed v (m/s)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'Problem 1'!$A$13:$A$502</c:f>
              <c:numCache>
                <c:formatCode>General</c:formatCode>
                <c:ptCount val="4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</c:numCache>
            </c:numRef>
          </c:cat>
          <c:val>
            <c:numRef>
              <c:f>'Problem 1'!$D$13:$D$502</c:f>
              <c:numCache>
                <c:formatCode>0.000000</c:formatCode>
                <c:ptCount val="490"/>
                <c:pt idx="0" formatCode="General">
                  <c:v>0</c:v>
                </c:pt>
                <c:pt idx="1">
                  <c:v>1.6379536987322174</c:v>
                </c:pt>
                <c:pt idx="2">
                  <c:v>3.2793930531098985</c:v>
                </c:pt>
                <c:pt idx="3">
                  <c:v>4.9243285733007438</c:v>
                </c:pt>
                <c:pt idx="4">
                  <c:v>6.5727707998908746</c:v>
                </c:pt>
                <c:pt idx="5">
                  <c:v>8.2247303039810298</c:v>
                </c:pt>
                <c:pt idx="6">
                  <c:v>9.8802176872831851</c:v>
                </c:pt>
                <c:pt idx="7">
                  <c:v>11.539243582217601</c:v>
                </c:pt>
                <c:pt idx="8">
                  <c:v>13.201818652010303</c:v>
                </c:pt>
                <c:pt idx="9">
                  <c:v>14.867953590790986</c:v>
                </c:pt>
                <c:pt idx="10">
                  <c:v>16.53765912369137</c:v>
                </c:pt>
                <c:pt idx="11">
                  <c:v>18.210946006943974</c:v>
                </c:pt>
                <c:pt idx="12">
                  <c:v>19.901832495052737</c:v>
                </c:pt>
                <c:pt idx="13">
                  <c:v>21.598910270583058</c:v>
                </c:pt>
                <c:pt idx="14">
                  <c:v>23.302395241868762</c:v>
                </c:pt>
                <c:pt idx="15">
                  <c:v>25.012499877073232</c:v>
                </c:pt>
                <c:pt idx="16">
                  <c:v>26.72943312979519</c:v>
                </c:pt>
                <c:pt idx="17">
                  <c:v>28.453400367203276</c:v>
                </c:pt>
                <c:pt idx="18">
                  <c:v>30.184603301456079</c:v>
                </c:pt>
                <c:pt idx="19">
                  <c:v>31.923239924967898</c:v>
                </c:pt>
                <c:pt idx="20">
                  <c:v>33.669504449936056</c:v>
                </c:pt>
                <c:pt idx="21">
                  <c:v>35.423587252436683</c:v>
                </c:pt>
                <c:pt idx="22">
                  <c:v>37.185674821311366</c:v>
                </c:pt>
                <c:pt idx="23">
                  <c:v>38.955949712000098</c:v>
                </c:pt>
                <c:pt idx="24">
                  <c:v>40.734590505421885</c:v>
                </c:pt>
                <c:pt idx="25">
                  <c:v>42.521771771959777</c:v>
                </c:pt>
                <c:pt idx="26">
                  <c:v>44.317664040570079</c:v>
                </c:pt>
                <c:pt idx="27">
                  <c:v>46.122433773003998</c:v>
                </c:pt>
                <c:pt idx="28">
                  <c:v>47.9362433431033</c:v>
                </c:pt>
                <c:pt idx="29">
                  <c:v>49.759251021108696</c:v>
                </c:pt>
                <c:pt idx="30">
                  <c:v>51.591610962899722</c:v>
                </c:pt>
                <c:pt idx="31">
                  <c:v>53.433473204067944</c:v>
                </c:pt>
                <c:pt idx="32">
                  <c:v>55.284983658710445</c:v>
                </c:pt>
                <c:pt idx="33">
                  <c:v>57.146284122817839</c:v>
                </c:pt>
                <c:pt idx="34">
                  <c:v>59.017512282120116</c:v>
                </c:pt>
                <c:pt idx="35">
                  <c:v>60.898801724244244</c:v>
                </c:pt>
                <c:pt idx="36">
                  <c:v>62.790281955029627</c:v>
                </c:pt>
                <c:pt idx="37">
                  <c:v>64.692078418840964</c:v>
                </c:pt>
                <c:pt idx="38">
                  <c:v>66.604312522712675</c:v>
                </c:pt>
                <c:pt idx="39">
                  <c:v>68.527101664154912</c:v>
                </c:pt>
                <c:pt idx="40">
                  <c:v>70.460559262447916</c:v>
                </c:pt>
                <c:pt idx="41">
                  <c:v>72.404794793249252</c:v>
                </c:pt>
                <c:pt idx="42">
                  <c:v>74.359913826337092</c:v>
                </c:pt>
                <c:pt idx="43">
                  <c:v>76.326018066312074</c:v>
                </c:pt>
                <c:pt idx="44">
                  <c:v>78.303205396080543</c:v>
                </c:pt>
                <c:pt idx="45">
                  <c:v>80.291569922942614</c:v>
                </c:pt>
                <c:pt idx="46">
                  <c:v>82.291202027110145</c:v>
                </c:pt>
                <c:pt idx="47">
                  <c:v>84.30218841248157</c:v>
                </c:pt>
                <c:pt idx="48">
                  <c:v>86.32461215950309</c:v>
                </c:pt>
                <c:pt idx="49">
                  <c:v>88.358552779948809</c:v>
                </c:pt>
                <c:pt idx="50">
                  <c:v>90.40408627345542</c:v>
                </c:pt>
                <c:pt idx="51">
                  <c:v>92.461285185651391</c:v>
                </c:pt>
                <c:pt idx="52">
                  <c:v>94.530218667723972</c:v>
                </c:pt>
                <c:pt idx="53">
                  <c:v>96.61095253727224</c:v>
                </c:pt>
                <c:pt idx="54">
                  <c:v>98.703549340298721</c:v>
                </c:pt>
                <c:pt idx="55">
                  <c:v>100.80806841419688</c:v>
                </c:pt>
                <c:pt idx="56">
                  <c:v>102.92456595159688</c:v>
                </c:pt>
                <c:pt idx="57">
                  <c:v>105.05309506493703</c:v>
                </c:pt>
                <c:pt idx="58">
                  <c:v>107.19370585163342</c:v>
                </c:pt>
                <c:pt idx="59">
                  <c:v>109.34644545972579</c:v>
                </c:pt>
                <c:pt idx="60">
                  <c:v>111.51135815388248</c:v>
                </c:pt>
                <c:pt idx="61">
                  <c:v>113.68848538165354</c:v>
                </c:pt>
                <c:pt idx="62">
                  <c:v>115.87786583986519</c:v>
                </c:pt>
                <c:pt idx="63">
                  <c:v>118.07953554105549</c:v>
                </c:pt>
                <c:pt idx="64">
                  <c:v>120.29352787985511</c:v>
                </c:pt>
                <c:pt idx="65">
                  <c:v>122.51987369922331</c:v>
                </c:pt>
                <c:pt idx="66">
                  <c:v>124.75860135645385</c:v>
                </c:pt>
                <c:pt idx="67">
                  <c:v>127.00973678887073</c:v>
                </c:pt>
                <c:pt idx="68">
                  <c:v>129.27330357913868</c:v>
                </c:pt>
                <c:pt idx="69">
                  <c:v>131.54932302011824</c:v>
                </c:pt>
                <c:pt idx="70">
                  <c:v>133.83781417919988</c:v>
                </c:pt>
                <c:pt idx="71">
                  <c:v>136.13879396205635</c:v>
                </c:pt>
                <c:pt idx="72">
                  <c:v>138.45227717575682</c:v>
                </c:pt>
                <c:pt idx="73">
                  <c:v>140.7782765911908</c:v>
                </c:pt>
                <c:pt idx="74">
                  <c:v>143.11680300475413</c:v>
                </c:pt>
                <c:pt idx="75">
                  <c:v>145.46786529925302</c:v>
                </c:pt>
                <c:pt idx="76">
                  <c:v>147.83147050398665</c:v>
                </c:pt>
                <c:pt idx="77">
                  <c:v>150.20762385397171</c:v>
                </c:pt>
                <c:pt idx="78">
                  <c:v>152.59632884827684</c:v>
                </c:pt>
                <c:pt idx="79">
                  <c:v>154.9975873074377</c:v>
                </c:pt>
                <c:pt idx="80">
                  <c:v>157.41139942992669</c:v>
                </c:pt>
                <c:pt idx="81">
                  <c:v>159.83776384765508</c:v>
                </c:pt>
                <c:pt idx="82">
                  <c:v>162.27667768048752</c:v>
                </c:pt>
                <c:pt idx="83">
                  <c:v>164.72813658975232</c:v>
                </c:pt>
                <c:pt idx="84">
                  <c:v>167.19213483073321</c:v>
                </c:pt>
                <c:pt idx="85">
                  <c:v>169.66866530413111</c:v>
                </c:pt>
                <c:pt idx="86">
                  <c:v>172.15771960648667</c:v>
                </c:pt>
                <c:pt idx="87">
                  <c:v>174.65928807955663</c:v>
                </c:pt>
                <c:pt idx="88">
                  <c:v>177.17335985863917</c:v>
                </c:pt>
                <c:pt idx="89">
                  <c:v>179.69992291984559</c:v>
                </c:pt>
                <c:pt idx="90">
                  <c:v>182.23896412631714</c:v>
                </c:pt>
                <c:pt idx="91">
                  <c:v>184.79046927338817</c:v>
                </c:pt>
                <c:pt idx="92">
                  <c:v>187.35442313269769</c:v>
                </c:pt>
                <c:pt idx="93">
                  <c:v>189.93080949525367</c:v>
                </c:pt>
                <c:pt idx="94">
                  <c:v>192.51961121345505</c:v>
                </c:pt>
                <c:pt idx="95">
                  <c:v>195.12081024207862</c:v>
                </c:pt>
                <c:pt idx="96">
                  <c:v>197.73438767823822</c:v>
                </c:pt>
                <c:pt idx="97">
                  <c:v>200.36032380032552</c:v>
                </c:pt>
                <c:pt idx="98">
                  <c:v>202.99859810594234</c:v>
                </c:pt>
                <c:pt idx="99">
                  <c:v>205.64918934883534</c:v>
                </c:pt>
                <c:pt idx="100">
                  <c:v>208.31207557484493</c:v>
                </c:pt>
                <c:pt idx="101">
                  <c:v>210.98723415688096</c:v>
                </c:pt>
                <c:pt idx="102">
                  <c:v>213.67464182893832</c:v>
                </c:pt>
                <c:pt idx="103">
                  <c:v>216.37427471916638</c:v>
                </c:pt>
                <c:pt idx="104">
                  <c:v>219.08610838200647</c:v>
                </c:pt>
                <c:pt idx="105">
                  <c:v>221.81011782941252</c:v>
                </c:pt>
                <c:pt idx="106">
                  <c:v>224.54627756116992</c:v>
                </c:pt>
                <c:pt idx="107">
                  <c:v>227.29456159432831</c:v>
                </c:pt>
                <c:pt idx="108">
                  <c:v>230.05494349176433</c:v>
                </c:pt>
                <c:pt idx="109">
                  <c:v>232.82739638989037</c:v>
                </c:pt>
                <c:pt idx="110">
                  <c:v>235.61189302552589</c:v>
                </c:pt>
                <c:pt idx="111">
                  <c:v>238.40840576194788</c:v>
                </c:pt>
                <c:pt idx="112">
                  <c:v>241.2169066141372</c:v>
                </c:pt>
                <c:pt idx="113">
                  <c:v>244.03736727323744</c:v>
                </c:pt>
                <c:pt idx="114">
                  <c:v>246.86975913024338</c:v>
                </c:pt>
                <c:pt idx="115">
                  <c:v>249.71405329893585</c:v>
                </c:pt>
                <c:pt idx="116">
                  <c:v>252.57022063807989</c:v>
                </c:pt>
                <c:pt idx="117">
                  <c:v>255.43823177290284</c:v>
                </c:pt>
                <c:pt idx="118">
                  <c:v>258.31805711586952</c:v>
                </c:pt>
                <c:pt idx="119">
                  <c:v>261.20966688677078</c:v>
                </c:pt>
                <c:pt idx="120">
                  <c:v>264.11303113214234</c:v>
                </c:pt>
                <c:pt idx="121">
                  <c:v>267.02811974402994</c:v>
                </c:pt>
                <c:pt idx="122">
                  <c:v>269.95490247811762</c:v>
                </c:pt>
                <c:pt idx="123">
                  <c:v>272.89334897123456</c:v>
                </c:pt>
                <c:pt idx="124">
                  <c:v>275.84342875825718</c:v>
                </c:pt>
                <c:pt idx="125">
                  <c:v>278.8051112884217</c:v>
                </c:pt>
                <c:pt idx="126">
                  <c:v>281.77836594106287</c:v>
                </c:pt>
                <c:pt idx="127">
                  <c:v>284.7631620407941</c:v>
                </c:pt>
                <c:pt idx="128">
                  <c:v>287.75946887214428</c:v>
                </c:pt>
                <c:pt idx="129">
                  <c:v>290.7672556936659</c:v>
                </c:pt>
                <c:pt idx="130">
                  <c:v>293.78649175152918</c:v>
                </c:pt>
                <c:pt idx="131">
                  <c:v>296.81714629261671</c:v>
                </c:pt>
                <c:pt idx="132">
                  <c:v>299.85918857713216</c:v>
                </c:pt>
                <c:pt idx="133">
                  <c:v>302.91258789073788</c:v>
                </c:pt>
                <c:pt idx="134">
                  <c:v>305.97731355623375</c:v>
                </c:pt>
                <c:pt idx="135">
                  <c:v>309.05333494479163</c:v>
                </c:pt>
                <c:pt idx="136">
                  <c:v>312.14062148675777</c:v>
                </c:pt>
                <c:pt idx="137">
                  <c:v>315.23914268203629</c:v>
                </c:pt>
                <c:pt idx="138">
                  <c:v>318.34886811006629</c:v>
                </c:pt>
                <c:pt idx="139">
                  <c:v>321.46976743940422</c:v>
                </c:pt>
                <c:pt idx="140">
                  <c:v>324.60181043692432</c:v>
                </c:pt>
                <c:pt idx="141">
                  <c:v>327.74496697664824</c:v>
                </c:pt>
                <c:pt idx="142">
                  <c:v>330.89920704821515</c:v>
                </c:pt>
                <c:pt idx="143">
                  <c:v>334.0645007650042</c:v>
                </c:pt>
                <c:pt idx="144">
                  <c:v>337.24081837191926</c:v>
                </c:pt>
                <c:pt idx="145">
                  <c:v>340.42813025284738</c:v>
                </c:pt>
                <c:pt idx="146">
                  <c:v>343.62640693780077</c:v>
                </c:pt>
                <c:pt idx="147">
                  <c:v>346.8356191097526</c:v>
                </c:pt>
                <c:pt idx="148">
                  <c:v>350.05573761117648</c:v>
                </c:pt>
                <c:pt idx="149">
                  <c:v>353.28673345029921</c:v>
                </c:pt>
                <c:pt idx="150">
                  <c:v>356.52857780707598</c:v>
                </c:pt>
                <c:pt idx="151">
                  <c:v>359.7812420388974</c:v>
                </c:pt>
                <c:pt idx="152">
                  <c:v>363.04469768603673</c:v>
                </c:pt>
                <c:pt idx="153">
                  <c:v>366.31891647684665</c:v>
                </c:pt>
                <c:pt idx="154">
                  <c:v>369.60387033271309</c:v>
                </c:pt>
                <c:pt idx="155">
                  <c:v>372.89953137277496</c:v>
                </c:pt>
                <c:pt idx="156">
                  <c:v>376.20587191841747</c:v>
                </c:pt>
                <c:pt idx="157">
                  <c:v>379.52286449754644</c:v>
                </c:pt>
                <c:pt idx="158">
                  <c:v>382.85048184865178</c:v>
                </c:pt>
                <c:pt idx="159">
                  <c:v>386.18869692466654</c:v>
                </c:pt>
                <c:pt idx="160">
                  <c:v>389.5374828966294</c:v>
                </c:pt>
                <c:pt idx="161">
                  <c:v>392.89681315715706</c:v>
                </c:pt>
                <c:pt idx="162">
                  <c:v>396.26666132373299</c:v>
                </c:pt>
                <c:pt idx="163">
                  <c:v>399.64700124181962</c:v>
                </c:pt>
                <c:pt idx="164">
                  <c:v>403.03780698779974</c:v>
                </c:pt>
                <c:pt idx="165">
                  <c:v>406.43905287175329</c:v>
                </c:pt>
                <c:pt idx="166">
                  <c:v>409.85071344007565</c:v>
                </c:pt>
                <c:pt idx="167">
                  <c:v>413.27276347794304</c:v>
                </c:pt>
                <c:pt idx="168">
                  <c:v>416.70517801163038</c:v>
                </c:pt>
                <c:pt idx="169">
                  <c:v>420.14793231068762</c:v>
                </c:pt>
                <c:pt idx="170">
                  <c:v>423.60100188997893</c:v>
                </c:pt>
                <c:pt idx="171">
                  <c:v>427.06436251159062</c:v>
                </c:pt>
                <c:pt idx="172">
                  <c:v>430.53799018661203</c:v>
                </c:pt>
                <c:pt idx="173">
                  <c:v>434.0218611767948</c:v>
                </c:pt>
                <c:pt idx="174">
                  <c:v>437.51595199609449</c:v>
                </c:pt>
                <c:pt idx="175">
                  <c:v>441.02023941209933</c:v>
                </c:pt>
                <c:pt idx="176">
                  <c:v>444.53470044735087</c:v>
                </c:pt>
                <c:pt idx="177">
                  <c:v>448.05931238055967</c:v>
                </c:pt>
                <c:pt idx="178">
                  <c:v>451.59405274772109</c:v>
                </c:pt>
                <c:pt idx="179">
                  <c:v>455.1388993431346</c:v>
                </c:pt>
                <c:pt idx="180">
                  <c:v>458.69383022033054</c:v>
                </c:pt>
                <c:pt idx="181">
                  <c:v>462.25882369290809</c:v>
                </c:pt>
                <c:pt idx="182">
                  <c:v>465.83385833528774</c:v>
                </c:pt>
                <c:pt idx="183">
                  <c:v>469.41891298338214</c:v>
                </c:pt>
                <c:pt idx="184">
                  <c:v>473.01396673518826</c:v>
                </c:pt>
                <c:pt idx="185">
                  <c:v>476.61899895130438</c:v>
                </c:pt>
                <c:pt idx="186">
                  <c:v>480.23398925537481</c:v>
                </c:pt>
                <c:pt idx="187">
                  <c:v>483.85891753446555</c:v>
                </c:pt>
                <c:pt idx="188">
                  <c:v>487.49376393937371</c:v>
                </c:pt>
                <c:pt idx="189">
                  <c:v>491.13850888487354</c:v>
                </c:pt>
                <c:pt idx="190">
                  <c:v>494.79313304990183</c:v>
                </c:pt>
                <c:pt idx="191">
                  <c:v>498.45761737768515</c:v>
                </c:pt>
                <c:pt idx="192">
                  <c:v>502.13194307581182</c:v>
                </c:pt>
                <c:pt idx="193">
                  <c:v>505.81609161625079</c:v>
                </c:pt>
                <c:pt idx="194">
                  <c:v>509.51004473531992</c:v>
                </c:pt>
                <c:pt idx="195">
                  <c:v>513.21378443360584</c:v>
                </c:pt>
                <c:pt idx="196">
                  <c:v>516.92729297583799</c:v>
                </c:pt>
                <c:pt idx="197">
                  <c:v>520.65055289071847</c:v>
                </c:pt>
                <c:pt idx="198">
                  <c:v>524.3835469707102</c:v>
                </c:pt>
                <c:pt idx="199">
                  <c:v>528.1262582717851</c:v>
                </c:pt>
                <c:pt idx="200">
                  <c:v>531.87867011313472</c:v>
                </c:pt>
                <c:pt idx="201">
                  <c:v>535.64076607684433</c:v>
                </c:pt>
                <c:pt idx="202">
                  <c:v>539.41253000753295</c:v>
                </c:pt>
                <c:pt idx="203">
                  <c:v>543.1939460119612</c:v>
                </c:pt>
                <c:pt idx="204">
                  <c:v>546.98499845860817</c:v>
                </c:pt>
                <c:pt idx="205">
                  <c:v>550.78567197721895</c:v>
                </c:pt>
                <c:pt idx="206">
                  <c:v>554.59595145832486</c:v>
                </c:pt>
                <c:pt idx="207">
                  <c:v>558.41582205273733</c:v>
                </c:pt>
                <c:pt idx="208">
                  <c:v>562.2452691710173</c:v>
                </c:pt>
                <c:pt idx="209">
                  <c:v>566.0842784829216</c:v>
                </c:pt>
                <c:pt idx="210">
                  <c:v>569.93283591682723</c:v>
                </c:pt>
                <c:pt idx="211">
                  <c:v>573.79092765913504</c:v>
                </c:pt>
                <c:pt idx="212">
                  <c:v>577.65854015365449</c:v>
                </c:pt>
                <c:pt idx="213">
                  <c:v>581.53566010097006</c:v>
                </c:pt>
                <c:pt idx="214">
                  <c:v>585.42227445779088</c:v>
                </c:pt>
                <c:pt idx="215">
                  <c:v>589.31837043628491</c:v>
                </c:pt>
                <c:pt idx="216">
                  <c:v>593.2239355033978</c:v>
                </c:pt>
                <c:pt idx="217">
                  <c:v>597.13895738015924</c:v>
                </c:pt>
                <c:pt idx="218">
                  <c:v>601.06342404097552</c:v>
                </c:pt>
                <c:pt idx="219">
                  <c:v>604.99732371291168</c:v>
                </c:pt>
                <c:pt idx="220">
                  <c:v>608.940644874962</c:v>
                </c:pt>
                <c:pt idx="221">
                  <c:v>612.89337625731162</c:v>
                </c:pt>
                <c:pt idx="222">
                  <c:v>616.85550684058899</c:v>
                </c:pt>
                <c:pt idx="223">
                  <c:v>620.82702585510992</c:v>
                </c:pt>
                <c:pt idx="224">
                  <c:v>624.80792278011529</c:v>
                </c:pt>
                <c:pt idx="225">
                  <c:v>628.79818734300159</c:v>
                </c:pt>
                <c:pt idx="226">
                  <c:v>632.79780951854639</c:v>
                </c:pt>
                <c:pt idx="227">
                  <c:v>636.80677952812846</c:v>
                </c:pt>
                <c:pt idx="228">
                  <c:v>640.825087838944</c:v>
                </c:pt>
                <c:pt idx="229">
                  <c:v>644.85272516321925</c:v>
                </c:pt>
                <c:pt idx="230">
                  <c:v>648.88968245742012</c:v>
                </c:pt>
                <c:pt idx="231">
                  <c:v>652.93595092145961</c:v>
                </c:pt>
                <c:pt idx="232">
                  <c:v>656.99152199790376</c:v>
                </c:pt>
                <c:pt idx="233">
                  <c:v>661.05638737117624</c:v>
                </c:pt>
                <c:pt idx="234">
                  <c:v>665.1305389667624</c:v>
                </c:pt>
                <c:pt idx="235">
                  <c:v>669.21396895041391</c:v>
                </c:pt>
                <c:pt idx="236">
                  <c:v>673.30666972735298</c:v>
                </c:pt>
                <c:pt idx="237">
                  <c:v>677.40863394147846</c:v>
                </c:pt>
                <c:pt idx="238">
                  <c:v>681.51985447457298</c:v>
                </c:pt>
                <c:pt idx="239">
                  <c:v>685.64032444551242</c:v>
                </c:pt>
                <c:pt idx="240">
                  <c:v>689.77003720947721</c:v>
                </c:pt>
                <c:pt idx="241">
                  <c:v>693.90898635716701</c:v>
                </c:pt>
                <c:pt idx="242">
                  <c:v>698.05716571401831</c:v>
                </c:pt>
                <c:pt idx="243">
                  <c:v>702.21456933942579</c:v>
                </c:pt>
                <c:pt idx="244">
                  <c:v>706.38119152596767</c:v>
                </c:pt>
                <c:pt idx="245">
                  <c:v>710.55702679863543</c:v>
                </c:pt>
                <c:pt idx="246">
                  <c:v>714.74206991406811</c:v>
                </c:pt>
                <c:pt idx="247">
                  <c:v>718.93631585979188</c:v>
                </c:pt>
                <c:pt idx="248">
                  <c:v>723.13975985346451</c:v>
                </c:pt>
                <c:pt idx="249">
                  <c:v>727.35239734212644</c:v>
                </c:pt>
                <c:pt idx="250">
                  <c:v>731.57422400145663</c:v>
                </c:pt>
                <c:pt idx="251">
                  <c:v>735.80523573503547</c:v>
                </c:pt>
                <c:pt idx="252">
                  <c:v>740.04542867361397</c:v>
                </c:pt>
                <c:pt idx="253">
                  <c:v>744.29479917438982</c:v>
                </c:pt>
                <c:pt idx="254">
                  <c:v>748.55334382029025</c:v>
                </c:pt>
                <c:pt idx="255">
                  <c:v>752.82105941926238</c:v>
                </c:pt>
                <c:pt idx="256">
                  <c:v>757.097943003571</c:v>
                </c:pt>
                <c:pt idx="257">
                  <c:v>761.38399182910393</c:v>
                </c:pt>
                <c:pt idx="258">
                  <c:v>765.6792033746857</c:v>
                </c:pt>
                <c:pt idx="259">
                  <c:v>769.98357534139882</c:v>
                </c:pt>
                <c:pt idx="260">
                  <c:v>774.29710565191374</c:v>
                </c:pt>
                <c:pt idx="261">
                  <c:v>778.6197924498274</c:v>
                </c:pt>
                <c:pt idx="262">
                  <c:v>782.95163409901022</c:v>
                </c:pt>
                <c:pt idx="263">
                  <c:v>787.29262918296195</c:v>
                </c:pt>
                <c:pt idx="264">
                  <c:v>791.64277650417682</c:v>
                </c:pt>
                <c:pt idx="265">
                  <c:v>796.00207508351752</c:v>
                </c:pt>
                <c:pt idx="266">
                  <c:v>800.37052415959897</c:v>
                </c:pt>
                <c:pt idx="267">
                  <c:v>804.74812318818101</c:v>
                </c:pt>
                <c:pt idx="268">
                  <c:v>809.13487184157111</c:v>
                </c:pt>
                <c:pt idx="269">
                  <c:v>813.53077000803682</c:v>
                </c:pt>
                <c:pt idx="270">
                  <c:v>817.93581779122792</c:v>
                </c:pt>
                <c:pt idx="271">
                  <c:v>822.35001550960862</c:v>
                </c:pt>
                <c:pt idx="272">
                  <c:v>826.77336369589977</c:v>
                </c:pt>
                <c:pt idx="273">
                  <c:v>831.20586309653174</c:v>
                </c:pt>
                <c:pt idx="274">
                  <c:v>835.64751467110716</c:v>
                </c:pt>
                <c:pt idx="275">
                  <c:v>840.09831959187409</c:v>
                </c:pt>
                <c:pt idx="276">
                  <c:v>844.55827924321011</c:v>
                </c:pt>
                <c:pt idx="277">
                  <c:v>849.02739522111676</c:v>
                </c:pt>
                <c:pt idx="278">
                  <c:v>853.50566933272466</c:v>
                </c:pt>
                <c:pt idx="279">
                  <c:v>857.99310359580966</c:v>
                </c:pt>
                <c:pt idx="280">
                  <c:v>862.48970023831953</c:v>
                </c:pt>
                <c:pt idx="281">
                  <c:v>866.99546169791188</c:v>
                </c:pt>
                <c:pt idx="282">
                  <c:v>871.51039062150323</c:v>
                </c:pt>
                <c:pt idx="283">
                  <c:v>876.03448986482886</c:v>
                </c:pt>
                <c:pt idx="284">
                  <c:v>880.5677624920138</c:v>
                </c:pt>
                <c:pt idx="285">
                  <c:v>885.11021177515568</c:v>
                </c:pt>
                <c:pt idx="286">
                  <c:v>889.66184119391824</c:v>
                </c:pt>
                <c:pt idx="287">
                  <c:v>894.22265443513629</c:v>
                </c:pt>
                <c:pt idx="288">
                  <c:v>898.79265539243249</c:v>
                </c:pt>
                <c:pt idx="289">
                  <c:v>903.37184816584545</c:v>
                </c:pt>
                <c:pt idx="290">
                  <c:v>907.96023706146889</c:v>
                </c:pt>
                <c:pt idx="291">
                  <c:v>912.55782659110321</c:v>
                </c:pt>
                <c:pt idx="292">
                  <c:v>917.16462147191828</c:v>
                </c:pt>
                <c:pt idx="293">
                  <c:v>921.78062662612763</c:v>
                </c:pt>
                <c:pt idx="294">
                  <c:v>926.4058471806751</c:v>
                </c:pt>
                <c:pt idx="295">
                  <c:v>931.04028846693257</c:v>
                </c:pt>
                <c:pt idx="296">
                  <c:v>935.68395602041005</c:v>
                </c:pt>
                <c:pt idx="297">
                  <c:v>940.33685558047739</c:v>
                </c:pt>
                <c:pt idx="298">
                  <c:v>944.99899309009777</c:v>
                </c:pt>
                <c:pt idx="299">
                  <c:v>949.67037469557363</c:v>
                </c:pt>
                <c:pt idx="300">
                  <c:v>954.35100674630405</c:v>
                </c:pt>
                <c:pt idx="301">
                  <c:v>959.04089579455444</c:v>
                </c:pt>
                <c:pt idx="302">
                  <c:v>963.74004859523836</c:v>
                </c:pt>
                <c:pt idx="303">
                  <c:v>968.44847210571129</c:v>
                </c:pt>
                <c:pt idx="304">
                  <c:v>973.16617348557656</c:v>
                </c:pt>
                <c:pt idx="305">
                  <c:v>977.89316009650372</c:v>
                </c:pt>
                <c:pt idx="306">
                  <c:v>982.6294395020584</c:v>
                </c:pt>
                <c:pt idx="307">
                  <c:v>987.3750194675456</c:v>
                </c:pt>
                <c:pt idx="308">
                  <c:v>992.129907959864</c:v>
                </c:pt>
                <c:pt idx="309">
                  <c:v>996.89411314737356</c:v>
                </c:pt>
                <c:pt idx="310">
                  <c:v>1001.6676433997746</c:v>
                </c:pt>
                <c:pt idx="311">
                  <c:v>1006.4505072880005</c:v>
                </c:pt>
                <c:pt idx="312">
                  <c:v>1011.2427135841209</c:v>
                </c:pt>
                <c:pt idx="313">
                  <c:v>1016.0442712612595</c:v>
                </c:pt>
                <c:pt idx="314">
                  <c:v>1020.8551894935227</c:v>
                </c:pt>
                <c:pt idx="315">
                  <c:v>1025.6754776559417</c:v>
                </c:pt>
                <c:pt idx="316">
                  <c:v>1030.5051453244262</c:v>
                </c:pt>
                <c:pt idx="317">
                  <c:v>1035.3442022757315</c:v>
                </c:pt>
                <c:pt idx="318">
                  <c:v>1040.1926584874384</c:v>
                </c:pt>
                <c:pt idx="319">
                  <c:v>1045.0505241379446</c:v>
                </c:pt>
                <c:pt idx="320">
                  <c:v>1049.9178096064695</c:v>
                </c:pt>
                <c:pt idx="321">
                  <c:v>1054.7945254730719</c:v>
                </c:pt>
                <c:pt idx="322">
                  <c:v>1059.6806825186795</c:v>
                </c:pt>
                <c:pt idx="323">
                  <c:v>1064.5762917251327</c:v>
                </c:pt>
                <c:pt idx="324">
                  <c:v>1069.4813642752392</c:v>
                </c:pt>
                <c:pt idx="325">
                  <c:v>1074.395911552843</c:v>
                </c:pt>
                <c:pt idx="326">
                  <c:v>1079.3199451429059</c:v>
                </c:pt>
                <c:pt idx="327">
                  <c:v>1084.2534768316013</c:v>
                </c:pt>
                <c:pt idx="328">
                  <c:v>1089.1965186064215</c:v>
                </c:pt>
                <c:pt idx="329">
                  <c:v>1094.1490826562977</c:v>
                </c:pt>
                <c:pt idx="330">
                  <c:v>1099.1111813717332</c:v>
                </c:pt>
                <c:pt idx="331">
                  <c:v>1104.0828273449497</c:v>
                </c:pt>
                <c:pt idx="332">
                  <c:v>1109.0640333700458</c:v>
                </c:pt>
                <c:pt idx="333">
                  <c:v>1114.0548124431698</c:v>
                </c:pt>
                <c:pt idx="334">
                  <c:v>1119.0551777627052</c:v>
                </c:pt>
                <c:pt idx="335">
                  <c:v>1124.0651427294686</c:v>
                </c:pt>
                <c:pt idx="336">
                  <c:v>1129.0847209469227</c:v>
                </c:pt>
                <c:pt idx="337">
                  <c:v>1134.1139262214003</c:v>
                </c:pt>
                <c:pt idx="338">
                  <c:v>1139.1527725623432</c:v>
                </c:pt>
                <c:pt idx="339">
                  <c:v>1144.2012741825538</c:v>
                </c:pt>
                <c:pt idx="340">
                  <c:v>1149.2594454984601</c:v>
                </c:pt>
                <c:pt idx="341">
                  <c:v>1154.327301130395</c:v>
                </c:pt>
                <c:pt idx="342">
                  <c:v>1159.4048559028872</c:v>
                </c:pt>
                <c:pt idx="343">
                  <c:v>1164.492124844968</c:v>
                </c:pt>
                <c:pt idx="344">
                  <c:v>1169.5891231904893</c:v>
                </c:pt>
                <c:pt idx="345">
                  <c:v>1174.6958663784571</c:v>
                </c:pt>
                <c:pt idx="346">
                  <c:v>1179.8123700533781</c:v>
                </c:pt>
                <c:pt idx="347">
                  <c:v>1184.9386500656194</c:v>
                </c:pt>
                <c:pt idx="348">
                  <c:v>1190.0747224717827</c:v>
                </c:pt>
                <c:pt idx="349">
                  <c:v>1195.2206035350921</c:v>
                </c:pt>
                <c:pt idx="350">
                  <c:v>1200.3763097257956</c:v>
                </c:pt>
                <c:pt idx="351">
                  <c:v>1205.5418577215814</c:v>
                </c:pt>
                <c:pt idx="352">
                  <c:v>1210.7172644080067</c:v>
                </c:pt>
                <c:pt idx="353">
                  <c:v>1215.9025468789421</c:v>
                </c:pt>
                <c:pt idx="354">
                  <c:v>1221.0977224370288</c:v>
                </c:pt>
                <c:pt idx="355">
                  <c:v>1226.3028085941514</c:v>
                </c:pt>
                <c:pt idx="356">
                  <c:v>1231.5178230719232</c:v>
                </c:pt>
                <c:pt idx="357">
                  <c:v>1236.7427838021877</c:v>
                </c:pt>
                <c:pt idx="358">
                  <c:v>1241.9777089275328</c:v>
                </c:pt>
                <c:pt idx="359">
                  <c:v>1247.2226168018208</c:v>
                </c:pt>
                <c:pt idx="360">
                  <c:v>1252.4775259907315</c:v>
                </c:pt>
                <c:pt idx="361">
                  <c:v>1257.7424552723216</c:v>
                </c:pt>
                <c:pt idx="362">
                  <c:v>1263.0174236375974</c:v>
                </c:pt>
                <c:pt idx="363">
                  <c:v>1268.3024502911021</c:v>
                </c:pt>
                <c:pt idx="364">
                  <c:v>1273.5975546515197</c:v>
                </c:pt>
                <c:pt idx="365">
                  <c:v>1278.9027563522909</c:v>
                </c:pt>
                <c:pt idx="366">
                  <c:v>1284.2180752422473</c:v>
                </c:pt>
                <c:pt idx="367">
                  <c:v>1289.5435313862579</c:v>
                </c:pt>
                <c:pt idx="368">
                  <c:v>1294.8791450658914</c:v>
                </c:pt>
                <c:pt idx="369">
                  <c:v>1300.2249367800948</c:v>
                </c:pt>
                <c:pt idx="370">
                  <c:v>1305.5809272458864</c:v>
                </c:pt>
                <c:pt idx="371">
                  <c:v>1310.9471373990636</c:v>
                </c:pt>
                <c:pt idx="372">
                  <c:v>1316.3235883949276</c:v>
                </c:pt>
                <c:pt idx="373">
                  <c:v>1321.7103016090223</c:v>
                </c:pt>
                <c:pt idx="374">
                  <c:v>1327.1072986378897</c:v>
                </c:pt>
                <c:pt idx="375">
                  <c:v>1332.5146012998405</c:v>
                </c:pt>
                <c:pt idx="376">
                  <c:v>1337.9322316357411</c:v>
                </c:pt>
                <c:pt idx="377">
                  <c:v>1343.3602119098157</c:v>
                </c:pt>
                <c:pt idx="378">
                  <c:v>1348.7985646104651</c:v>
                </c:pt>
                <c:pt idx="379">
                  <c:v>1354.2473124511014</c:v>
                </c:pt>
                <c:pt idx="380">
                  <c:v>1359.7064783709993</c:v>
                </c:pt>
                <c:pt idx="381">
                  <c:v>1365.1760855361626</c:v>
                </c:pt>
                <c:pt idx="382">
                  <c:v>1370.6561573402084</c:v>
                </c:pt>
                <c:pt idx="383">
                  <c:v>1376.1467174052673</c:v>
                </c:pt>
                <c:pt idx="384">
                  <c:v>1381.6477895829</c:v>
                </c:pt>
                <c:pt idx="385">
                  <c:v>1387.1593979550316</c:v>
                </c:pt>
                <c:pt idx="386">
                  <c:v>1392.6815668349013</c:v>
                </c:pt>
                <c:pt idx="387">
                  <c:v>1398.2143207680308</c:v>
                </c:pt>
                <c:pt idx="388">
                  <c:v>1403.7576845332082</c:v>
                </c:pt>
                <c:pt idx="389">
                  <c:v>1409.3116831434907</c:v>
                </c:pt>
                <c:pt idx="390">
                  <c:v>1414.8763418472229</c:v>
                </c:pt>
                <c:pt idx="391">
                  <c:v>1420.4516861290745</c:v>
                </c:pt>
                <c:pt idx="392">
                  <c:v>1426.037741711094</c:v>
                </c:pt>
                <c:pt idx="393">
                  <c:v>1431.6345345537816</c:v>
                </c:pt>
                <c:pt idx="394">
                  <c:v>1437.2420908571785</c:v>
                </c:pt>
                <c:pt idx="395">
                  <c:v>1442.8604370619751</c:v>
                </c:pt>
                <c:pt idx="396">
                  <c:v>1448.4895998506377</c:v>
                </c:pt>
                <c:pt idx="397">
                  <c:v>1454.1296061485525</c:v>
                </c:pt>
                <c:pt idx="398">
                  <c:v>1459.7804831251888</c:v>
                </c:pt>
                <c:pt idx="399">
                  <c:v>1465.4422581952804</c:v>
                </c:pt>
                <c:pt idx="400">
                  <c:v>1471.1149590200257</c:v>
                </c:pt>
                <c:pt idx="401">
                  <c:v>1476.7986135083077</c:v>
                </c:pt>
                <c:pt idx="402">
                  <c:v>1482.493249817931</c:v>
                </c:pt>
                <c:pt idx="403">
                  <c:v>1488.1988963568804</c:v>
                </c:pt>
                <c:pt idx="404">
                  <c:v>1493.9155817845965</c:v>
                </c:pt>
                <c:pt idx="405">
                  <c:v>1499.6433350132727</c:v>
                </c:pt>
                <c:pt idx="406">
                  <c:v>1505.3821852091712</c:v>
                </c:pt>
                <c:pt idx="407">
                  <c:v>1511.1321617939584</c:v>
                </c:pt>
                <c:pt idx="408">
                  <c:v>1516.8932944460607</c:v>
                </c:pt>
                <c:pt idx="409">
                  <c:v>1522.6656131020411</c:v>
                </c:pt>
                <c:pt idx="410">
                  <c:v>1528.4491479579947</c:v>
                </c:pt>
                <c:pt idx="411">
                  <c:v>1534.2439294709663</c:v>
                </c:pt>
                <c:pt idx="412">
                  <c:v>1540.0499883603875</c:v>
                </c:pt>
                <c:pt idx="413">
                  <c:v>1545.8673556095355</c:v>
                </c:pt>
                <c:pt idx="414">
                  <c:v>1551.6960624670126</c:v>
                </c:pt>
                <c:pt idx="415">
                  <c:v>1557.5361404482474</c:v>
                </c:pt>
                <c:pt idx="416">
                  <c:v>1563.3876213370165</c:v>
                </c:pt>
                <c:pt idx="417">
                  <c:v>1569.2505371869893</c:v>
                </c:pt>
                <c:pt idx="418">
                  <c:v>1575.1249203232933</c:v>
                </c:pt>
                <c:pt idx="419">
                  <c:v>1581.0108033441022</c:v>
                </c:pt>
                <c:pt idx="420">
                  <c:v>1586.9082191222467</c:v>
                </c:pt>
                <c:pt idx="421">
                  <c:v>1592.8172008068466</c:v>
                </c:pt>
                <c:pt idx="422">
                  <c:v>1598.7377818249665</c:v>
                </c:pt>
                <c:pt idx="423">
                  <c:v>1604.6699958832942</c:v>
                </c:pt>
                <c:pt idx="424">
                  <c:v>1610.6138769698418</c:v>
                </c:pt>
                <c:pt idx="425">
                  <c:v>1616.5694593556714</c:v>
                </c:pt>
                <c:pt idx="426">
                  <c:v>1622.5367775966427</c:v>
                </c:pt>
                <c:pt idx="427">
                  <c:v>1628.515866535186</c:v>
                </c:pt>
                <c:pt idx="428">
                  <c:v>1634.5067613020976</c:v>
                </c:pt>
                <c:pt idx="429">
                  <c:v>1640.5094973183616</c:v>
                </c:pt>
                <c:pt idx="430">
                  <c:v>1646.524110296994</c:v>
                </c:pt>
                <c:pt idx="431">
                  <c:v>1652.550636244913</c:v>
                </c:pt>
                <c:pt idx="432">
                  <c:v>1658.5891114648341</c:v>
                </c:pt>
                <c:pt idx="433">
                  <c:v>1664.6395725571901</c:v>
                </c:pt>
                <c:pt idx="434">
                  <c:v>1670.7020564220768</c:v>
                </c:pt>
                <c:pt idx="435">
                  <c:v>1676.7766002612248</c:v>
                </c:pt>
                <c:pt idx="436">
                  <c:v>1682.8632415799968</c:v>
                </c:pt>
                <c:pt idx="437">
                  <c:v>1688.9620181894118</c:v>
                </c:pt>
                <c:pt idx="438">
                  <c:v>1695.0729682081956</c:v>
                </c:pt>
                <c:pt idx="439">
                  <c:v>1701.1961300648577</c:v>
                </c:pt>
                <c:pt idx="440">
                  <c:v>1707.331542499797</c:v>
                </c:pt>
                <c:pt idx="441">
                  <c:v>1713.4792445674327</c:v>
                </c:pt>
                <c:pt idx="442">
                  <c:v>1713.4818004578967</c:v>
                </c:pt>
                <c:pt idx="443">
                  <c:v>1713.4842683702213</c:v>
                </c:pt>
                <c:pt idx="444">
                  <c:v>1713.4866483012654</c:v>
                </c:pt>
                <c:pt idx="445">
                  <c:v>1713.4889402479951</c:v>
                </c:pt>
                <c:pt idx="446">
                  <c:v>1713.4911442074833</c:v>
                </c:pt>
                <c:pt idx="447">
                  <c:v>1713.4932601769099</c:v>
                </c:pt>
                <c:pt idx="448">
                  <c:v>1713.4952881535617</c:v>
                </c:pt>
                <c:pt idx="449">
                  <c:v>1713.4972281348325</c:v>
                </c:pt>
                <c:pt idx="450">
                  <c:v>1713.499080118223</c:v>
                </c:pt>
                <c:pt idx="451">
                  <c:v>1713.5008441013408</c:v>
                </c:pt>
                <c:pt idx="452">
                  <c:v>1713.5025200819007</c:v>
                </c:pt>
                <c:pt idx="453">
                  <c:v>1713.5041080577244</c:v>
                </c:pt>
                <c:pt idx="454">
                  <c:v>1713.5056080267402</c:v>
                </c:pt>
                <c:pt idx="455">
                  <c:v>1713.5070199869838</c:v>
                </c:pt>
                <c:pt idx="456">
                  <c:v>1713.5083439365978</c:v>
                </c:pt>
                <c:pt idx="457">
                  <c:v>1713.5095798738319</c:v>
                </c:pt>
                <c:pt idx="458">
                  <c:v>1713.5107277970421</c:v>
                </c:pt>
                <c:pt idx="459">
                  <c:v>1713.5117877046926</c:v>
                </c:pt>
                <c:pt idx="460">
                  <c:v>1713.5127595953536</c:v>
                </c:pt>
                <c:pt idx="461">
                  <c:v>1713.5136434677027</c:v>
                </c:pt>
                <c:pt idx="462">
                  <c:v>1713.5144393205244</c:v>
                </c:pt>
                <c:pt idx="463">
                  <c:v>1713.5151471527104</c:v>
                </c:pt>
                <c:pt idx="464">
                  <c:v>1713.5157669632592</c:v>
                </c:pt>
                <c:pt idx="465">
                  <c:v>1713.5162987512765</c:v>
                </c:pt>
                <c:pt idx="466">
                  <c:v>1713.516742515975</c:v>
                </c:pt>
                <c:pt idx="467">
                  <c:v>1713.5170982566744</c:v>
                </c:pt>
                <c:pt idx="468">
                  <c:v>1713.5173659728014</c:v>
                </c:pt>
                <c:pt idx="469">
                  <c:v>1713.5175456638895</c:v>
                </c:pt>
                <c:pt idx="470">
                  <c:v>1713.5176373295794</c:v>
                </c:pt>
                <c:pt idx="471">
                  <c:v>1713.5176409696192</c:v>
                </c:pt>
                <c:pt idx="472">
                  <c:v>1713.5175565838636</c:v>
                </c:pt>
                <c:pt idx="473">
                  <c:v>1713.5173841722744</c:v>
                </c:pt>
                <c:pt idx="474">
                  <c:v>1713.5171237349205</c:v>
                </c:pt>
                <c:pt idx="475">
                  <c:v>1713.5167752719778</c:v>
                </c:pt>
                <c:pt idx="476">
                  <c:v>1713.5163387837295</c:v>
                </c:pt>
                <c:pt idx="477">
                  <c:v>1713.515814270565</c:v>
                </c:pt>
                <c:pt idx="478">
                  <c:v>1713.5152017329817</c:v>
                </c:pt>
                <c:pt idx="479">
                  <c:v>1713.5145011715836</c:v>
                </c:pt>
                <c:pt idx="480">
                  <c:v>1713.5137125870817</c:v>
                </c:pt>
                <c:pt idx="481">
                  <c:v>1713.5128359802941</c:v>
                </c:pt>
                <c:pt idx="482">
                  <c:v>1713.5118713521458</c:v>
                </c:pt>
                <c:pt idx="483">
                  <c:v>1713.5108187036692</c:v>
                </c:pt>
                <c:pt idx="484">
                  <c:v>1713.5096780360032</c:v>
                </c:pt>
                <c:pt idx="485">
                  <c:v>1713.5084493503939</c:v>
                </c:pt>
                <c:pt idx="486">
                  <c:v>1713.5071326481948</c:v>
                </c:pt>
                <c:pt idx="487">
                  <c:v>1713.5057279308658</c:v>
                </c:pt>
                <c:pt idx="488">
                  <c:v>1713.5042351999741</c:v>
                </c:pt>
                <c:pt idx="489">
                  <c:v>1713.502654457194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8-3D4C-9EDE-4BAD7468A46A}"/>
            </c:ext>
          </c:extLst>
        </c:ser>
        <c:ser>
          <c:idx val="12"/>
          <c:order val="1"/>
          <c:tx>
            <c:strRef>
              <c:f>'Problem 1'!$M$12</c:f>
              <c:strCache>
                <c:ptCount val="1"/>
                <c:pt idx="0">
                  <c:v>Downrange Distance (km)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'Problem 1'!$A$13:$A$502</c:f>
              <c:numCache>
                <c:formatCode>General</c:formatCode>
                <c:ptCount val="4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</c:numCache>
            </c:numRef>
          </c:cat>
          <c:val>
            <c:numRef>
              <c:f>'Problem 1'!$M$13:$M$502</c:f>
              <c:numCache>
                <c:formatCode>General</c:formatCode>
                <c:ptCount val="490"/>
                <c:pt idx="0">
                  <c:v>0</c:v>
                </c:pt>
                <c:pt idx="1">
                  <c:v>1.0029564330162426E-19</c:v>
                </c:pt>
                <c:pt idx="2">
                  <c:v>3.0109998609808697E-19</c:v>
                </c:pt>
                <c:pt idx="3">
                  <c:v>6.0262644188580372E-19</c:v>
                </c:pt>
                <c:pt idx="4">
                  <c:v>1.0050887813019904E-18</c:v>
                </c:pt>
                <c:pt idx="5">
                  <c:v>1.5087011319574117E-18</c:v>
                </c:pt>
                <c:pt idx="6">
                  <c:v>2.1136779782642606E-18</c:v>
                </c:pt>
                <c:pt idx="7">
                  <c:v>2.8202341612591567E-18</c:v>
                </c:pt>
                <c:pt idx="8">
                  <c:v>3.6285848784212408E-18</c:v>
                </c:pt>
                <c:pt idx="9">
                  <c:v>4.538945683485361E-18</c:v>
                </c:pt>
                <c:pt idx="10">
                  <c:v>5.5515324862503212E-18</c:v>
                </c:pt>
                <c:pt idx="11">
                  <c:v>2.3901088655605318E-3</c:v>
                </c:pt>
                <c:pt idx="12">
                  <c:v>5.2321279500405406E-3</c:v>
                </c:pt>
                <c:pt idx="13">
                  <c:v>8.5645623177107583E-3</c:v>
                </c:pt>
                <c:pt idx="14">
                  <c:v>1.2425760088305527E-2</c:v>
                </c:pt>
                <c:pt idx="15">
                  <c:v>1.6853905262812913E-2</c:v>
                </c:pt>
                <c:pt idx="16">
                  <c:v>2.1887010498415727E-2</c:v>
                </c:pt>
                <c:pt idx="17">
                  <c:v>2.7562909898052185E-2</c:v>
                </c:pt>
                <c:pt idx="18">
                  <c:v>3.3919251864836672E-2</c:v>
                </c:pt>
                <c:pt idx="19">
                  <c:v>4.0993492060582538E-2</c:v>
                </c:pt>
                <c:pt idx="20">
                  <c:v>4.8822886499513857E-2</c:v>
                </c:pt>
                <c:pt idx="21">
                  <c:v>5.7444484802061241E-2</c:v>
                </c:pt>
                <c:pt idx="22">
                  <c:v>6.6895123628829656E-2</c:v>
                </c:pt>
                <c:pt idx="23">
                  <c:v>7.7211420311018381E-2</c:v>
                </c:pt>
                <c:pt idx="24">
                  <c:v>8.8429766690499484E-2</c:v>
                </c:pt>
                <c:pt idx="25">
                  <c:v>0.100586323180237</c:v>
                </c:pt>
                <c:pt idx="26">
                  <c:v>0.11371701305362394</c:v>
                </c:pt>
                <c:pt idx="27">
                  <c:v>0.12785751696953218</c:v>
                </c:pt>
                <c:pt idx="28">
                  <c:v>0.14304326773834494</c:v>
                </c:pt>
                <c:pt idx="29">
                  <c:v>0.15930944533291913</c:v>
                </c:pt>
                <c:pt idx="30">
                  <c:v>0.17669097214726862</c:v>
                </c:pt>
                <c:pt idx="31">
                  <c:v>0.19522250850474054</c:v>
                </c:pt>
                <c:pt idx="32">
                  <c:v>0.21493844841655133</c:v>
                </c:pt>
                <c:pt idx="33">
                  <c:v>0.23587291559074197</c:v>
                </c:pt>
                <c:pt idx="34">
                  <c:v>0.25805975969088873</c:v>
                </c:pt>
                <c:pt idx="35">
                  <c:v>0.28153255284325435</c:v>
                </c:pt>
                <c:pt idx="36">
                  <c:v>0.30632458639047982</c:v>
                </c:pt>
                <c:pt idx="37">
                  <c:v>0.33246886788938812</c:v>
                </c:pt>
                <c:pt idx="38">
                  <c:v>0.3599981183499949</c:v>
                </c:pt>
                <c:pt idx="39">
                  <c:v>0.38894476971239433</c:v>
                </c:pt>
                <c:pt idx="40">
                  <c:v>0.41934096255779957</c:v>
                </c:pt>
                <c:pt idx="41">
                  <c:v>0.45121854404967487</c:v>
                </c:pt>
                <c:pt idx="42">
                  <c:v>0.48460906610058652</c:v>
                </c:pt>
                <c:pt idx="43">
                  <c:v>0.51954378376012555</c:v>
                </c:pt>
                <c:pt idx="44">
                  <c:v>0.55605365381901284</c:v>
                </c:pt>
                <c:pt idx="45">
                  <c:v>0.59416933362428759</c:v>
                </c:pt>
                <c:pt idx="46">
                  <c:v>0.63392118010029186</c:v>
                </c:pt>
                <c:pt idx="47">
                  <c:v>0.67533924897001163</c:v>
                </c:pt>
                <c:pt idx="48">
                  <c:v>0.71845329417119796</c:v>
                </c:pt>
                <c:pt idx="49">
                  <c:v>0.76329276746158325</c:v>
                </c:pt>
                <c:pt idx="50">
                  <c:v>0.8098868182074227</c:v>
                </c:pt>
                <c:pt idx="51">
                  <c:v>0.85826429334951904</c:v>
                </c:pt>
                <c:pt idx="52">
                  <c:v>0.90845373754084358</c:v>
                </c:pt>
                <c:pt idx="53">
                  <c:v>0.96048339344983569</c:v>
                </c:pt>
                <c:pt idx="54">
                  <c:v>1.0143812022234475</c:v>
                </c:pt>
                <c:pt idx="55">
                  <c:v>1.0701748041040042</c:v>
                </c:pt>
                <c:pt idx="56">
                  <c:v>1.1278915391939646</c:v>
                </c:pt>
                <c:pt idx="57">
                  <c:v>1.1875584483626973</c:v>
                </c:pt>
                <c:pt idx="58">
                  <c:v>1.2492022742894295</c:v>
                </c:pt>
                <c:pt idx="59">
                  <c:v>1.3128494626365745</c:v>
                </c:pt>
                <c:pt idx="60">
                  <c:v>1.3785261633477133</c:v>
                </c:pt>
                <c:pt idx="61">
                  <c:v>1.4462582320645738</c:v>
                </c:pt>
                <c:pt idx="62">
                  <c:v>1.5160712316574347</c:v>
                </c:pt>
                <c:pt idx="63">
                  <c:v>1.5879904338634663</c:v>
                </c:pt>
                <c:pt idx="64">
                  <c:v>1.6620408210276203</c:v>
                </c:pt>
                <c:pt idx="65">
                  <c:v>1.7382470879407834</c:v>
                </c:pt>
                <c:pt idx="66">
                  <c:v>1.8166336437700097</c:v>
                </c:pt>
                <c:pt idx="67">
                  <c:v>1.8972246140757696</c:v>
                </c:pt>
                <c:pt idx="68">
                  <c:v>1.9800438429112583</c:v>
                </c:pt>
                <c:pt idx="69">
                  <c:v>2.065114894998938</c:v>
                </c:pt>
                <c:pt idx="70">
                  <c:v>2.1524610579795995</c:v>
                </c:pt>
                <c:pt idx="71">
                  <c:v>2.2421053447293637</c:v>
                </c:pt>
                <c:pt idx="72">
                  <c:v>2.3340704957401659</c:v>
                </c:pt>
                <c:pt idx="73">
                  <c:v>2.4283789815593906</c:v>
                </c:pt>
                <c:pt idx="74">
                  <c:v>2.5250530052844686</c:v>
                </c:pt>
                <c:pt idx="75">
                  <c:v>2.6241145051083588</c:v>
                </c:pt>
                <c:pt idx="76">
                  <c:v>2.7255851569119773</c:v>
                </c:pt>
                <c:pt idx="77">
                  <c:v>2.8294863768997778</c:v>
                </c:pt>
                <c:pt idx="78">
                  <c:v>2.9358393242747911</c:v>
                </c:pt>
                <c:pt idx="79">
                  <c:v>3.0446649039495828</c:v>
                </c:pt>
                <c:pt idx="80">
                  <c:v>3.1559837692897093</c:v>
                </c:pt>
                <c:pt idx="81">
                  <c:v>3.2698163248863747</c:v>
                </c:pt>
                <c:pt idx="82">
                  <c:v>3.3861827293551219</c:v>
                </c:pt>
                <c:pt idx="83">
                  <c:v>3.5051028981575114</c:v>
                </c:pt>
                <c:pt idx="84">
                  <c:v>3.6265965064428665</c:v>
                </c:pt>
                <c:pt idx="85">
                  <c:v>3.7506829919072771</c:v>
                </c:pt>
                <c:pt idx="86">
                  <c:v>3.8773815576671771</c:v>
                </c:pt>
                <c:pt idx="87">
                  <c:v>4.0067111751449271</c:v>
                </c:pt>
                <c:pt idx="88">
                  <c:v>4.138690586963933</c:v>
                </c:pt>
                <c:pt idx="89">
                  <c:v>4.2733383098509661</c:v>
                </c:pt>
                <c:pt idx="90">
                  <c:v>4.4106726375434269</c:v>
                </c:pt>
                <c:pt idx="91">
                  <c:v>4.5507116436994348</c:v>
                </c:pt>
                <c:pt idx="92">
                  <c:v>4.6934731848086813</c:v>
                </c:pt>
                <c:pt idx="93">
                  <c:v>4.8389749031021463</c:v>
                </c:pt>
                <c:pt idx="94">
                  <c:v>4.9872342294588101</c:v>
                </c:pt>
                <c:pt idx="95">
                  <c:v>5.1382683863076251</c:v>
                </c:pt>
                <c:pt idx="96">
                  <c:v>5.2920943905231033</c:v>
                </c:pt>
                <c:pt idx="97">
                  <c:v>5.4487290563129349</c:v>
                </c:pt>
                <c:pt idx="98">
                  <c:v>5.6081889980961757</c:v>
                </c:pt>
                <c:pt idx="99">
                  <c:v>5.7704906333705956</c:v>
                </c:pt>
                <c:pt idx="100">
                  <c:v>5.9356501855678658</c:v>
                </c:pt>
                <c:pt idx="101">
                  <c:v>6.1036836868953612</c:v>
                </c:pt>
                <c:pt idx="102">
                  <c:v>6.2746069811633882</c:v>
                </c:pt>
                <c:pt idx="103">
                  <c:v>6.448435726596764</c:v>
                </c:pt>
                <c:pt idx="104">
                  <c:v>6.625185398629708</c:v>
                </c:pt>
                <c:pt idx="105">
                  <c:v>6.8048712926830941</c:v>
                </c:pt>
                <c:pt idx="106">
                  <c:v>6.9875085269231549</c:v>
                </c:pt>
                <c:pt idx="107">
                  <c:v>7.1731120450008294</c:v>
                </c:pt>
                <c:pt idx="108">
                  <c:v>7.3616966187709503</c:v>
                </c:pt>
                <c:pt idx="109">
                  <c:v>7.5532768509905708</c:v>
                </c:pt>
                <c:pt idx="110">
                  <c:v>7.7478671779957615</c:v>
                </c:pt>
                <c:pt idx="111">
                  <c:v>7.9454818723562646</c:v>
                </c:pt>
                <c:pt idx="112">
                  <c:v>8.1461350455074477</c:v>
                </c:pt>
                <c:pt idx="113">
                  <c:v>8.3498406503590292</c:v>
                </c:pt>
                <c:pt idx="114">
                  <c:v>8.5566124838801283</c:v>
                </c:pt>
                <c:pt idx="115">
                  <c:v>8.7664641896601907</c:v>
                </c:pt>
                <c:pt idx="116">
                  <c:v>8.9794092604454256</c:v>
                </c:pt>
                <c:pt idx="117">
                  <c:v>9.1954610406503896</c:v>
                </c:pt>
                <c:pt idx="118">
                  <c:v>9.4146327288444294</c:v>
                </c:pt>
                <c:pt idx="119">
                  <c:v>9.636937380212709</c:v>
                </c:pt>
                <c:pt idx="120">
                  <c:v>9.8623879089915647</c:v>
                </c:pt>
                <c:pt idx="121">
                  <c:v>10.090997090878016</c:v>
                </c:pt>
                <c:pt idx="122">
                  <c:v>10.322777565413235</c:v>
                </c:pt>
                <c:pt idx="123">
                  <c:v>10.557741838339835</c:v>
                </c:pt>
                <c:pt idx="124">
                  <c:v>10.795902283932875</c:v>
                </c:pt>
                <c:pt idx="125">
                  <c:v>11.037271147304475</c:v>
                </c:pt>
                <c:pt idx="126">
                  <c:v>11.28186054668198</c:v>
                </c:pt>
                <c:pt idx="127">
                  <c:v>11.529682475659644</c:v>
                </c:pt>
                <c:pt idx="128">
                  <c:v>11.780748805423809</c:v>
                </c:pt>
                <c:pt idx="129">
                  <c:v>12.035071286951558</c:v>
                </c:pt>
                <c:pt idx="130">
                  <c:v>12.29266155318291</c:v>
                </c:pt>
                <c:pt idx="131">
                  <c:v>12.553531121166566</c:v>
                </c:pt>
                <c:pt idx="132">
                  <c:v>12.817691394179267</c:v>
                </c:pt>
                <c:pt idx="133">
                  <c:v>13.085153663818842</c:v>
                </c:pt>
                <c:pt idx="134">
                  <c:v>13.355929112071054</c:v>
                </c:pt>
                <c:pt idx="135">
                  <c:v>13.630028813350329</c:v>
                </c:pt>
                <c:pt idx="136">
                  <c:v>13.907463736514476</c:v>
                </c:pt>
                <c:pt idx="137">
                  <c:v>14.188244746853572</c:v>
                </c:pt>
                <c:pt idx="138">
                  <c:v>14.472382608053122</c:v>
                </c:pt>
                <c:pt idx="139">
                  <c:v>14.759887984131648</c:v>
                </c:pt>
                <c:pt idx="140">
                  <c:v>15.050771441352902</c:v>
                </c:pt>
                <c:pt idx="141">
                  <c:v>15.345043450112829</c:v>
                </c:pt>
                <c:pt idx="142">
                  <c:v>15.642714386801529</c:v>
                </c:pt>
                <c:pt idx="143">
                  <c:v>15.943794535640345</c:v>
                </c:pt>
                <c:pt idx="144">
                  <c:v>16.248294090494316</c:v>
                </c:pt>
                <c:pt idx="145">
                  <c:v>16.556223156660192</c:v>
                </c:pt>
                <c:pt idx="146">
                  <c:v>16.867591752630229</c:v>
                </c:pt>
                <c:pt idx="147">
                  <c:v>17.18240981183196</c:v>
                </c:pt>
                <c:pt idx="148">
                  <c:v>17.500687184344201</c:v>
                </c:pt>
                <c:pt idx="149">
                  <c:v>17.822433638589494</c:v>
                </c:pt>
                <c:pt idx="150">
                  <c:v>18.147658863003223</c:v>
                </c:pt>
                <c:pt idx="151">
                  <c:v>18.476372467679678</c:v>
                </c:pt>
                <c:pt idx="152">
                  <c:v>18.80858398599522</c:v>
                </c:pt>
                <c:pt idx="153">
                  <c:v>19.144302876208908</c:v>
                </c:pt>
                <c:pt idx="154">
                  <c:v>19.483538523040728</c:v>
                </c:pt>
                <c:pt idx="155">
                  <c:v>19.826300239227749</c:v>
                </c:pt>
                <c:pt idx="156">
                  <c:v>20.172597267058393</c:v>
                </c:pt>
                <c:pt idx="157">
                  <c:v>20.522438779885146</c:v>
                </c:pt>
                <c:pt idx="158">
                  <c:v>20.875833883615876</c:v>
                </c:pt>
                <c:pt idx="159">
                  <c:v>21.232791618184091</c:v>
                </c:pt>
                <c:pt idx="160">
                  <c:v>21.593320958998344</c:v>
                </c:pt>
                <c:pt idx="161">
                  <c:v>21.957430818371066</c:v>
                </c:pt>
                <c:pt idx="162">
                  <c:v>22.325130046927061</c:v>
                </c:pt>
                <c:pt idx="163">
                  <c:v>22.696427434991939</c:v>
                </c:pt>
                <c:pt idx="164">
                  <c:v>23.071331713960738</c:v>
                </c:pt>
                <c:pt idx="165">
                  <c:v>23.449851557646987</c:v>
                </c:pt>
                <c:pt idx="166">
                  <c:v>23.831995583612454</c:v>
                </c:pt>
                <c:pt idx="167">
                  <c:v>24.217772354477866</c:v>
                </c:pt>
                <c:pt idx="168">
                  <c:v>24.607190379214821</c:v>
                </c:pt>
                <c:pt idx="169">
                  <c:v>25.000258114419157</c:v>
                </c:pt>
                <c:pt idx="170">
                  <c:v>25.396983965566037</c:v>
                </c:pt>
                <c:pt idx="171">
                  <c:v>25.797376288246983</c:v>
                </c:pt>
                <c:pt idx="172">
                  <c:v>26.201443389389127</c:v>
                </c:pt>
                <c:pt idx="173">
                  <c:v>26.60919352845691</c:v>
                </c:pt>
                <c:pt idx="174">
                  <c:v>27.020634918636468</c:v>
                </c:pt>
                <c:pt idx="175">
                  <c:v>27.435775728002991</c:v>
                </c:pt>
                <c:pt idx="176">
                  <c:v>27.854624080671218</c:v>
                </c:pt>
                <c:pt idx="177">
                  <c:v>28.277188057929411</c:v>
                </c:pt>
                <c:pt idx="178">
                  <c:v>28.703475699356936</c:v>
                </c:pt>
                <c:pt idx="179">
                  <c:v>29.133495003925763</c:v>
                </c:pt>
                <c:pt idx="180">
                  <c:v>29.56725393108611</c:v>
                </c:pt>
                <c:pt idx="181">
                  <c:v>30.004760401836407</c:v>
                </c:pt>
                <c:pt idx="182">
                  <c:v>30.446022299777884</c:v>
                </c:pt>
                <c:pt idx="183">
                  <c:v>30.89104747215395</c:v>
                </c:pt>
                <c:pt idx="184">
                  <c:v>31.33984373087462</c:v>
                </c:pt>
                <c:pt idx="185">
                  <c:v>31.792418853526179</c:v>
                </c:pt>
                <c:pt idx="186">
                  <c:v>32.248780584366365</c:v>
                </c:pt>
                <c:pt idx="187">
                  <c:v>32.708936635305214</c:v>
                </c:pt>
                <c:pt idx="188">
                  <c:v>33.172894686871814</c:v>
                </c:pt>
                <c:pt idx="189">
                  <c:v>33.640662389167169</c:v>
                </c:pt>
                <c:pt idx="190">
                  <c:v>34.112247362803444</c:v>
                </c:pt>
                <c:pt idx="191">
                  <c:v>34.587657199829657</c:v>
                </c:pt>
                <c:pt idx="192">
                  <c:v>35.066899464644202</c:v>
                </c:pt>
                <c:pt idx="193">
                  <c:v>35.549981694894228</c:v>
                </c:pt>
                <c:pt idx="194">
                  <c:v>36.036911402362207</c:v>
                </c:pt>
                <c:pt idx="195">
                  <c:v>36.52769607383982</c:v>
                </c:pt>
                <c:pt idx="196">
                  <c:v>37.022343171989334</c:v>
                </c:pt>
                <c:pt idx="197">
                  <c:v>37.52086013619278</c:v>
                </c:pt>
                <c:pt idx="198">
                  <c:v>38.023254383388938</c:v>
                </c:pt>
                <c:pt idx="199">
                  <c:v>38.529533308898465</c:v>
                </c:pt>
                <c:pt idx="200">
                  <c:v>39.039704287237292</c:v>
                </c:pt>
                <c:pt idx="201">
                  <c:v>39.553774672918472</c:v>
                </c:pt>
                <c:pt idx="202">
                  <c:v>40.07175180124262</c:v>
                </c:pt>
                <c:pt idx="203">
                  <c:v>40.593642989077217</c:v>
                </c:pt>
                <c:pt idx="204">
                  <c:v>41.119455535624851</c:v>
                </c:pt>
                <c:pt idx="205">
                  <c:v>41.649196723180602</c:v>
                </c:pt>
                <c:pt idx="206">
                  <c:v>42.182873817878786</c:v>
                </c:pt>
                <c:pt idx="207">
                  <c:v>42.720494070429098</c:v>
                </c:pt>
                <c:pt idx="208">
                  <c:v>43.262064716842495</c:v>
                </c:pt>
                <c:pt idx="209">
                  <c:v>43.80759297914679</c:v>
                </c:pt>
                <c:pt idx="210">
                  <c:v>44.357086066092272</c:v>
                </c:pt>
                <c:pt idx="211">
                  <c:v>44.910551173847367</c:v>
                </c:pt>
                <c:pt idx="212">
                  <c:v>45.46799548668465</c:v>
                </c:pt>
                <c:pt idx="213">
                  <c:v>46.029426177657228</c:v>
                </c:pt>
                <c:pt idx="214">
                  <c:v>46.594850409265661</c:v>
                </c:pt>
                <c:pt idx="215">
                  <c:v>47.164275334115636</c:v>
                </c:pt>
                <c:pt idx="216">
                  <c:v>47.737708095566475</c:v>
                </c:pt>
                <c:pt idx="217">
                  <c:v>48.315155828370663</c:v>
                </c:pt>
                <c:pt idx="218">
                  <c:v>48.896625659304441</c:v>
                </c:pt>
                <c:pt idx="219">
                  <c:v>49.48212470778973</c:v>
                </c:pt>
                <c:pt idx="220">
                  <c:v>50.07166008650745</c:v>
                </c:pt>
                <c:pt idx="221">
                  <c:v>50.665238902002343</c:v>
                </c:pt>
                <c:pt idx="222">
                  <c:v>51.262868255279464</c:v>
                </c:pt>
                <c:pt idx="223">
                  <c:v>51.864555242392512</c:v>
                </c:pt>
                <c:pt idx="224">
                  <c:v>52.470306955023993</c:v>
                </c:pt>
                <c:pt idx="225">
                  <c:v>53.080130481057523</c:v>
                </c:pt>
                <c:pt idx="226">
                  <c:v>53.69403290514218</c:v>
                </c:pt>
                <c:pt idx="227">
                  <c:v>54.312021309249232</c:v>
                </c:pt>
                <c:pt idx="228">
                  <c:v>54.934102773221227</c:v>
                </c:pt>
                <c:pt idx="229">
                  <c:v>55.560284375313564</c:v>
                </c:pt>
                <c:pt idx="230">
                  <c:v>56.19057319272877</c:v>
                </c:pt>
                <c:pt idx="231">
                  <c:v>56.824976302143398</c:v>
                </c:pt>
                <c:pt idx="232">
                  <c:v>57.463500780227875</c:v>
                </c:pt>
                <c:pt idx="233">
                  <c:v>58.106153704159283</c:v>
                </c:pt>
                <c:pt idx="234">
                  <c:v>58.752942152127112</c:v>
                </c:pt>
                <c:pt idx="235">
                  <c:v>59.403873203832319</c:v>
                </c:pt>
                <c:pt idx="236">
                  <c:v>60.058953940979542</c:v>
                </c:pt>
                <c:pt idx="237">
                  <c:v>60.718191447762685</c:v>
                </c:pt>
                <c:pt idx="238">
                  <c:v>61.381592811344063</c:v>
                </c:pt>
                <c:pt idx="239">
                  <c:v>62.049165122326968</c:v>
                </c:pt>
                <c:pt idx="240">
                  <c:v>62.720915475222007</c:v>
                </c:pt>
                <c:pt idx="241">
                  <c:v>63.396850968907117</c:v>
                </c:pt>
                <c:pt idx="242">
                  <c:v>64.076978707081437</c:v>
                </c:pt>
                <c:pt idx="243">
                  <c:v>64.761305798713153</c:v>
                </c:pt>
                <c:pt idx="244">
                  <c:v>65.449839358481256</c:v>
                </c:pt>
                <c:pt idx="245">
                  <c:v>66.142586507211519</c:v>
                </c:pt>
                <c:pt idx="246">
                  <c:v>66.83955437230658</c:v>
                </c:pt>
                <c:pt idx="247">
                  <c:v>67.540750088170356</c:v>
                </c:pt>
                <c:pt idx="248">
                  <c:v>68.246180796626788</c:v>
                </c:pt>
                <c:pt idx="249">
                  <c:v>68.955853647332972</c:v>
                </c:pt>
                <c:pt idx="250">
                  <c:v>69.669775798186862</c:v>
                </c:pt>
                <c:pt idx="251">
                  <c:v>70.387954415729595</c:v>
                </c:pt>
                <c:pt idx="252">
                  <c:v>71.110396675542376</c:v>
                </c:pt>
                <c:pt idx="253">
                  <c:v>71.837109762638192</c:v>
                </c:pt>
                <c:pt idx="254">
                  <c:v>72.568100871848344</c:v>
                </c:pt>
                <c:pt idx="255">
                  <c:v>73.303377208203756</c:v>
                </c:pt>
                <c:pt idx="256">
                  <c:v>74.042945987311398</c:v>
                </c:pt>
                <c:pt idx="257">
                  <c:v>74.786814435725589</c:v>
                </c:pt>
                <c:pt idx="258">
                  <c:v>75.534989791314558</c:v>
                </c:pt>
                <c:pt idx="259">
                  <c:v>76.287479303621922</c:v>
                </c:pt>
                <c:pt idx="260">
                  <c:v>77.044290234223681</c:v>
                </c:pt>
                <c:pt idx="261">
                  <c:v>77.80542985708027</c:v>
                </c:pt>
                <c:pt idx="262">
                  <c:v>78.570905458884056</c:v>
                </c:pt>
                <c:pt idx="263">
                  <c:v>79.340724339402271</c:v>
                </c:pt>
                <c:pt idx="264">
                  <c:v>80.114893811815364</c:v>
                </c:pt>
                <c:pt idx="265">
                  <c:v>80.893421203050906</c:v>
                </c:pt>
                <c:pt idx="266">
                  <c:v>81.676313854113118</c:v>
                </c:pt>
                <c:pt idx="267">
                  <c:v>82.463579120407985</c:v>
                </c:pt>
                <c:pt idx="268">
                  <c:v>83.255224372064092</c:v>
                </c:pt>
                <c:pt idx="269">
                  <c:v>84.0512569942493</c:v>
                </c:pt>
                <c:pt idx="270">
                  <c:v>84.851684387483033</c:v>
                </c:pt>
                <c:pt idx="271">
                  <c:v>85.656513967944719</c:v>
                </c:pt>
                <c:pt idx="272">
                  <c:v>86.465753167777819</c:v>
                </c:pt>
                <c:pt idx="273">
                  <c:v>87.279409435390079</c:v>
                </c:pt>
                <c:pt idx="274">
                  <c:v>88.097490235749675</c:v>
                </c:pt>
                <c:pt idx="275">
                  <c:v>88.920003050677437</c:v>
                </c:pt>
                <c:pt idx="276">
                  <c:v>89.746955379135159</c:v>
                </c:pt>
                <c:pt idx="277">
                  <c:v>90.578354737510168</c:v>
                </c:pt>
                <c:pt idx="278">
                  <c:v>91.414208659895863</c:v>
                </c:pt>
                <c:pt idx="279">
                  <c:v>92.254524698368797</c:v>
                </c:pt>
                <c:pt idx="280">
                  <c:v>93.099310423261826</c:v>
                </c:pt>
                <c:pt idx="281">
                  <c:v>93.948573423433615</c:v>
                </c:pt>
                <c:pt idx="282">
                  <c:v>94.802321306534623</c:v>
                </c:pt>
                <c:pt idx="283">
                  <c:v>95.66056169926938</c:v>
                </c:pt>
                <c:pt idx="284">
                  <c:v>96.523302247655266</c:v>
                </c:pt>
                <c:pt idx="285">
                  <c:v>97.390550617277796</c:v>
                </c:pt>
                <c:pt idx="286">
                  <c:v>98.262314493542334</c:v>
                </c:pt>
                <c:pt idx="287">
                  <c:v>99.138601581922487</c:v>
                </c:pt>
                <c:pt idx="288">
                  <c:v>100.01941960820506</c:v>
                </c:pt>
                <c:pt idx="289">
                  <c:v>100.90477631873162</c:v>
                </c:pt>
                <c:pt idx="290">
                  <c:v>101.79467948063667</c:v>
                </c:pt>
                <c:pt idx="291">
                  <c:v>102.68913688208271</c:v>
                </c:pt>
                <c:pt idx="292">
                  <c:v>103.58815633249179</c:v>
                </c:pt>
                <c:pt idx="293">
                  <c:v>104.49174566277406</c:v>
                </c:pt>
                <c:pt idx="294">
                  <c:v>105.39991272555292</c:v>
                </c:pt>
                <c:pt idx="295">
                  <c:v>106.3126653953871</c:v>
                </c:pt>
                <c:pt idx="296">
                  <c:v>107.23001156898961</c:v>
                </c:pt>
                <c:pt idx="297">
                  <c:v>108.15195916544347</c:v>
                </c:pt>
                <c:pt idx="298">
                  <c:v>109.07851612641454</c:v>
                </c:pt>
                <c:pt idx="299">
                  <c:v>110.00969041636102</c:v>
                </c:pt>
                <c:pt idx="300">
                  <c:v>110.9454900227402</c:v>
                </c:pt>
                <c:pt idx="301">
                  <c:v>111.88592295621194</c:v>
                </c:pt>
                <c:pt idx="302">
                  <c:v>112.83099725083945</c:v>
                </c:pt>
                <c:pt idx="303">
                  <c:v>113.78072096428677</c:v>
                </c:pt>
                <c:pt idx="304">
                  <c:v>114.73510217801366</c:v>
                </c:pt>
                <c:pt idx="305">
                  <c:v>115.69414899746737</c:v>
                </c:pt>
                <c:pt idx="306">
                  <c:v>116.65786955227146</c:v>
                </c:pt>
                <c:pt idx="307">
                  <c:v>117.62627199641207</c:v>
                </c:pt>
                <c:pt idx="308">
                  <c:v>118.59936450842092</c:v>
                </c:pt>
                <c:pt idx="309">
                  <c:v>119.57715529155578</c:v>
                </c:pt>
                <c:pt idx="310">
                  <c:v>120.55965257397811</c:v>
                </c:pt>
                <c:pt idx="311">
                  <c:v>121.54686460892772</c:v>
                </c:pt>
                <c:pt idx="312">
                  <c:v>122.53879967489488</c:v>
                </c:pt>
                <c:pt idx="313">
                  <c:v>123.53546607578956</c:v>
                </c:pt>
                <c:pt idx="314">
                  <c:v>124.53687214110798</c:v>
                </c:pt>
                <c:pt idx="315">
                  <c:v>125.54302622609633</c:v>
                </c:pt>
                <c:pt idx="316">
                  <c:v>126.55393671191204</c:v>
                </c:pt>
                <c:pt idx="317">
                  <c:v>127.56961200578206</c:v>
                </c:pt>
                <c:pt idx="318">
                  <c:v>128.59006054115866</c:v>
                </c:pt>
                <c:pt idx="319">
                  <c:v>129.61529077787256</c:v>
                </c:pt>
                <c:pt idx="320">
                  <c:v>130.6453112022833</c:v>
                </c:pt>
                <c:pt idx="321">
                  <c:v>131.68013032742715</c:v>
                </c:pt>
                <c:pt idx="322">
                  <c:v>132.71975669316222</c:v>
                </c:pt>
                <c:pt idx="323">
                  <c:v>133.76419886631115</c:v>
                </c:pt>
                <c:pt idx="324">
                  <c:v>134.813465440801</c:v>
                </c:pt>
                <c:pt idx="325">
                  <c:v>135.86756503780072</c:v>
                </c:pt>
                <c:pt idx="326">
                  <c:v>136.92650630585601</c:v>
                </c:pt>
                <c:pt idx="327">
                  <c:v>137.99029792102155</c:v>
                </c:pt>
                <c:pt idx="328">
                  <c:v>139.05894858699077</c:v>
                </c:pt>
                <c:pt idx="329">
                  <c:v>140.13246703522293</c:v>
                </c:pt>
                <c:pt idx="330">
                  <c:v>141.21086202506791</c:v>
                </c:pt>
                <c:pt idx="331">
                  <c:v>142.29414234388815</c:v>
                </c:pt>
                <c:pt idx="332">
                  <c:v>143.38231680717837</c:v>
                </c:pt>
                <c:pt idx="333">
                  <c:v>144.47539425868257</c:v>
                </c:pt>
                <c:pt idx="334">
                  <c:v>145.57338357050853</c:v>
                </c:pt>
                <c:pt idx="335">
                  <c:v>146.67629364324009</c:v>
                </c:pt>
                <c:pt idx="336">
                  <c:v>147.78413340604641</c:v>
                </c:pt>
                <c:pt idx="337">
                  <c:v>148.89691181678921</c:v>
                </c:pt>
                <c:pt idx="338">
                  <c:v>150.01463786212736</c:v>
                </c:pt>
                <c:pt idx="339">
                  <c:v>151.13732055761886</c:v>
                </c:pt>
                <c:pt idx="340">
                  <c:v>152.26496894782051</c:v>
                </c:pt>
                <c:pt idx="341">
                  <c:v>153.39759210638505</c:v>
                </c:pt>
                <c:pt idx="342">
                  <c:v>154.53519913615571</c:v>
                </c:pt>
                <c:pt idx="343">
                  <c:v>155.67779916925858</c:v>
                </c:pt>
                <c:pt idx="344">
                  <c:v>156.82540136719203</c:v>
                </c:pt>
                <c:pt idx="345">
                  <c:v>157.97801492091426</c:v>
                </c:pt>
                <c:pt idx="346">
                  <c:v>159.13564905092775</c:v>
                </c:pt>
                <c:pt idx="347">
                  <c:v>160.29831300736174</c:v>
                </c:pt>
                <c:pt idx="348">
                  <c:v>161.46601607005198</c:v>
                </c:pt>
                <c:pt idx="349">
                  <c:v>162.63876754861806</c:v>
                </c:pt>
                <c:pt idx="350">
                  <c:v>163.81657678253822</c:v>
                </c:pt>
                <c:pt idx="351">
                  <c:v>164.99945314122189</c:v>
                </c:pt>
                <c:pt idx="352">
                  <c:v>166.18740602407951</c:v>
                </c:pt>
                <c:pt idx="353">
                  <c:v>167.3804448605899</c:v>
                </c:pt>
                <c:pt idx="354">
                  <c:v>168.57857911036527</c:v>
                </c:pt>
                <c:pt idx="355">
                  <c:v>169.78181826321375</c:v>
                </c:pt>
                <c:pt idx="356">
                  <c:v>170.99017183919929</c:v>
                </c:pt>
                <c:pt idx="357">
                  <c:v>172.20364938869906</c:v>
                </c:pt>
                <c:pt idx="358">
                  <c:v>173.42226049245858</c:v>
                </c:pt>
                <c:pt idx="359">
                  <c:v>174.64601476164415</c:v>
                </c:pt>
                <c:pt idx="360">
                  <c:v>175.87492183789274</c:v>
                </c:pt>
                <c:pt idx="361">
                  <c:v>177.1089913933595</c:v>
                </c:pt>
                <c:pt idx="362">
                  <c:v>178.34823313076274</c:v>
                </c:pt>
                <c:pt idx="363">
                  <c:v>179.59265678342624</c:v>
                </c:pt>
                <c:pt idx="364">
                  <c:v>180.84227211531922</c:v>
                </c:pt>
                <c:pt idx="365">
                  <c:v>182.09708892109356</c:v>
                </c:pt>
                <c:pt idx="366">
                  <c:v>183.35711702611871</c:v>
                </c:pt>
                <c:pt idx="367">
                  <c:v>184.6223662865138</c:v>
                </c:pt>
                <c:pt idx="368">
                  <c:v>185.89284658917734</c:v>
                </c:pt>
                <c:pt idx="369">
                  <c:v>187.16856785181432</c:v>
                </c:pt>
                <c:pt idx="370">
                  <c:v>188.44954002296069</c:v>
                </c:pt>
                <c:pt idx="371">
                  <c:v>189.73577308200524</c:v>
                </c:pt>
                <c:pt idx="372">
                  <c:v>191.02727703920897</c:v>
                </c:pt>
                <c:pt idx="373">
                  <c:v>192.32406193572172</c:v>
                </c:pt>
                <c:pt idx="374">
                  <c:v>193.62613784359627</c:v>
                </c:pt>
                <c:pt idx="375">
                  <c:v>194.93351486579971</c:v>
                </c:pt>
                <c:pt idx="376">
                  <c:v>196.24620313622233</c:v>
                </c:pt>
                <c:pt idx="377">
                  <c:v>197.5642128196836</c:v>
                </c:pt>
                <c:pt idx="378">
                  <c:v>198.88755411193571</c:v>
                </c:pt>
                <c:pt idx="379">
                  <c:v>200.21623723966437</c:v>
                </c:pt>
                <c:pt idx="380">
                  <c:v>201.55027246048672</c:v>
                </c:pt>
                <c:pt idx="381">
                  <c:v>202.88967006294689</c:v>
                </c:pt>
                <c:pt idx="382">
                  <c:v>204.23444036650847</c:v>
                </c:pt>
                <c:pt idx="383">
                  <c:v>205.58459372154451</c:v>
                </c:pt>
                <c:pt idx="384">
                  <c:v>206.94014050932461</c:v>
                </c:pt>
                <c:pt idx="385">
                  <c:v>208.30109114199931</c:v>
                </c:pt>
                <c:pt idx="386">
                  <c:v>209.66745606258172</c:v>
                </c:pt>
                <c:pt idx="387">
                  <c:v>211.03924574492618</c:v>
                </c:pt>
                <c:pt idx="388">
                  <c:v>212.41647069370444</c:v>
                </c:pt>
                <c:pt idx="389">
                  <c:v>213.79914144437868</c:v>
                </c:pt>
                <c:pt idx="390">
                  <c:v>215.18726856317184</c:v>
                </c:pt>
                <c:pt idx="391">
                  <c:v>216.5808626470351</c:v>
                </c:pt>
                <c:pt idx="392">
                  <c:v>217.97993432361238</c:v>
                </c:pt>
                <c:pt idx="393">
                  <c:v>219.38449425120211</c:v>
                </c:pt>
                <c:pt idx="394">
                  <c:v>220.79455311871581</c:v>
                </c:pt>
                <c:pt idx="395">
                  <c:v>222.21012164563413</c:v>
                </c:pt>
                <c:pt idx="396">
                  <c:v>223.63121058195946</c:v>
                </c:pt>
                <c:pt idx="397">
                  <c:v>225.05783070816608</c:v>
                </c:pt>
                <c:pt idx="398">
                  <c:v>226.48999283514686</c:v>
                </c:pt>
                <c:pt idx="399">
                  <c:v>227.92770780415728</c:v>
                </c:pt>
                <c:pt idx="400">
                  <c:v>229.37098648675621</c:v>
                </c:pt>
                <c:pt idx="401">
                  <c:v>230.81983978474378</c:v>
                </c:pt>
                <c:pt idx="402">
                  <c:v>232.27427863009612</c:v>
                </c:pt>
                <c:pt idx="403">
                  <c:v>233.73431398489697</c:v>
                </c:pt>
                <c:pt idx="404">
                  <c:v>235.19995684126621</c:v>
                </c:pt>
                <c:pt idx="405">
                  <c:v>236.67121822128544</c:v>
                </c:pt>
                <c:pt idx="406">
                  <c:v>238.14810917691997</c:v>
                </c:pt>
                <c:pt idx="407">
                  <c:v>239.63064078993807</c:v>
                </c:pt>
                <c:pt idx="408">
                  <c:v>241.11882417182682</c:v>
                </c:pt>
                <c:pt idx="409">
                  <c:v>242.61267046370475</c:v>
                </c:pt>
                <c:pt idx="410">
                  <c:v>244.11219083623118</c:v>
                </c:pt>
                <c:pt idx="411">
                  <c:v>245.61739648951249</c:v>
                </c:pt>
                <c:pt idx="412">
                  <c:v>247.12829865300492</c:v>
                </c:pt>
                <c:pt idx="413">
                  <c:v>248.64490858541402</c:v>
                </c:pt>
                <c:pt idx="414">
                  <c:v>250.16723757459098</c:v>
                </c:pt>
                <c:pt idx="415">
                  <c:v>251.69529693742533</c:v>
                </c:pt>
                <c:pt idx="416">
                  <c:v>253.22909801973447</c:v>
                </c:pt>
                <c:pt idx="417">
                  <c:v>254.76865219614965</c:v>
                </c:pt>
                <c:pt idx="418">
                  <c:v>256.31397086999857</c:v>
                </c:pt>
                <c:pt idx="419">
                  <c:v>257.86506547318447</c:v>
                </c:pt>
                <c:pt idx="420">
                  <c:v>259.42194746606191</c:v>
                </c:pt>
                <c:pt idx="421">
                  <c:v>260.98462833730855</c:v>
                </c:pt>
                <c:pt idx="422">
                  <c:v>262.55311960379407</c:v>
                </c:pt>
                <c:pt idx="423">
                  <c:v>264.12743281044504</c:v>
                </c:pt>
                <c:pt idx="424">
                  <c:v>265.70757953010616</c:v>
                </c:pt>
                <c:pt idx="425">
                  <c:v>267.29357136339826</c:v>
                </c:pt>
                <c:pt idx="426">
                  <c:v>268.8854199385724</c:v>
                </c:pt>
                <c:pt idx="427">
                  <c:v>270.48313691136008</c:v>
                </c:pt>
                <c:pt idx="428">
                  <c:v>272.08673396482027</c:v>
                </c:pt>
                <c:pt idx="429">
                  <c:v>273.69622280918219</c:v>
                </c:pt>
                <c:pt idx="430">
                  <c:v>275.31161518168466</c:v>
                </c:pt>
                <c:pt idx="431">
                  <c:v>276.93292284641149</c:v>
                </c:pt>
                <c:pt idx="432">
                  <c:v>278.56015759412304</c:v>
                </c:pt>
                <c:pt idx="433">
                  <c:v>280.19333124208407</c:v>
                </c:pt>
                <c:pt idx="434">
                  <c:v>281.83245563388772</c:v>
                </c:pt>
                <c:pt idx="435">
                  <c:v>283.4775426392751</c:v>
                </c:pt>
                <c:pt idx="436">
                  <c:v>285.12860415395158</c:v>
                </c:pt>
                <c:pt idx="437">
                  <c:v>286.78565209939887</c:v>
                </c:pt>
                <c:pt idx="438">
                  <c:v>288.44869842268304</c:v>
                </c:pt>
                <c:pt idx="439">
                  <c:v>290.11775509625835</c:v>
                </c:pt>
                <c:pt idx="440">
                  <c:v>291.79283411776743</c:v>
                </c:pt>
                <c:pt idx="441">
                  <c:v>293.47394750983688</c:v>
                </c:pt>
                <c:pt idx="442">
                  <c:v>295.15506613396826</c:v>
                </c:pt>
                <c:pt idx="443">
                  <c:v>296.83618980682922</c:v>
                </c:pt>
                <c:pt idx="444">
                  <c:v>298.51731834507945</c:v>
                </c:pt>
                <c:pt idx="445">
                  <c:v>300.19845156537076</c:v>
                </c:pt>
                <c:pt idx="446">
                  <c:v>301.87958928434762</c:v>
                </c:pt>
                <c:pt idx="447">
                  <c:v>303.56073131864707</c:v>
                </c:pt>
                <c:pt idx="448">
                  <c:v>305.24187748489948</c:v>
                </c:pt>
                <c:pt idx="449">
                  <c:v>306.9230275997283</c:v>
                </c:pt>
                <c:pt idx="450">
                  <c:v>308.60418147975071</c:v>
                </c:pt>
                <c:pt idx="451">
                  <c:v>310.28533894157789</c:v>
                </c:pt>
                <c:pt idx="452">
                  <c:v>311.96649980181502</c:v>
                </c:pt>
                <c:pt idx="453">
                  <c:v>313.64766387706186</c:v>
                </c:pt>
                <c:pt idx="454">
                  <c:v>315.32883098391289</c:v>
                </c:pt>
                <c:pt idx="455">
                  <c:v>317.01000093895772</c:v>
                </c:pt>
                <c:pt idx="456">
                  <c:v>318.69117355878109</c:v>
                </c:pt>
                <c:pt idx="457">
                  <c:v>320.37234865996345</c:v>
                </c:pt>
                <c:pt idx="458">
                  <c:v>322.05352605908115</c:v>
                </c:pt>
                <c:pt idx="459">
                  <c:v>323.73470557270662</c:v>
                </c:pt>
                <c:pt idx="460">
                  <c:v>325.41588701740869</c:v>
                </c:pt>
                <c:pt idx="461">
                  <c:v>327.09707020975304</c:v>
                </c:pt>
                <c:pt idx="462">
                  <c:v>328.77825496630231</c:v>
                </c:pt>
                <c:pt idx="463">
                  <c:v>330.45944110361631</c:v>
                </c:pt>
                <c:pt idx="464">
                  <c:v>332.14062843825252</c:v>
                </c:pt>
                <c:pt idx="465">
                  <c:v>333.82181678676631</c:v>
                </c:pt>
                <c:pt idx="466">
                  <c:v>335.50300596571094</c:v>
                </c:pt>
                <c:pt idx="467">
                  <c:v>337.18419579163839</c:v>
                </c:pt>
                <c:pt idx="468">
                  <c:v>338.86538608109902</c:v>
                </c:pt>
                <c:pt idx="469">
                  <c:v>340.54657665064246</c:v>
                </c:pt>
                <c:pt idx="470">
                  <c:v>342.22776731681728</c:v>
                </c:pt>
                <c:pt idx="471">
                  <c:v>343.90895789617196</c:v>
                </c:pt>
                <c:pt idx="472">
                  <c:v>345.59014820525442</c:v>
                </c:pt>
                <c:pt idx="473">
                  <c:v>347.27133806061278</c:v>
                </c:pt>
                <c:pt idx="474">
                  <c:v>348.95252727879574</c:v>
                </c:pt>
                <c:pt idx="475">
                  <c:v>350.63371567635232</c:v>
                </c:pt>
                <c:pt idx="476">
                  <c:v>352.31490306983278</c:v>
                </c:pt>
                <c:pt idx="477">
                  <c:v>353.99608927578845</c:v>
                </c:pt>
                <c:pt idx="478">
                  <c:v>355.6772741107722</c:v>
                </c:pt>
                <c:pt idx="479">
                  <c:v>357.35845739133862</c:v>
                </c:pt>
                <c:pt idx="480">
                  <c:v>359.03963893404443</c:v>
                </c:pt>
                <c:pt idx="481">
                  <c:v>360.72081855544872</c:v>
                </c:pt>
                <c:pt idx="482">
                  <c:v>362.40199607211309</c:v>
                </c:pt>
                <c:pt idx="483">
                  <c:v>364.0831713006022</c:v>
                </c:pt>
                <c:pt idx="484">
                  <c:v>365.76434405748375</c:v>
                </c:pt>
                <c:pt idx="485">
                  <c:v>367.44551415932904</c:v>
                </c:pt>
                <c:pt idx="486">
                  <c:v>369.12668142271303</c:v>
                </c:pt>
                <c:pt idx="487">
                  <c:v>370.80784566421471</c:v>
                </c:pt>
                <c:pt idx="488">
                  <c:v>372.48900670041735</c:v>
                </c:pt>
                <c:pt idx="489">
                  <c:v>374.17016434790906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8-3D4C-9EDE-4BAD7468A46A}"/>
            </c:ext>
          </c:extLst>
        </c:ser>
        <c:ser>
          <c:idx val="14"/>
          <c:order val="3"/>
          <c:tx>
            <c:strRef>
              <c:f>'Problem 1'!$O$12</c:f>
              <c:strCache>
                <c:ptCount val="1"/>
                <c:pt idx="0">
                  <c:v>Altitude (Dm)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'Problem 1'!$O$13:$O$502</c:f>
              <c:numCache>
                <c:formatCode>General</c:formatCode>
                <c:ptCount val="490"/>
                <c:pt idx="0">
                  <c:v>0</c:v>
                </c:pt>
                <c:pt idx="1">
                  <c:v>0.16379536987322174</c:v>
                </c:pt>
                <c:pt idx="2">
                  <c:v>0.4917346751842116</c:v>
                </c:pt>
                <c:pt idx="3">
                  <c:v>0.9841675325142859</c:v>
                </c:pt>
                <c:pt idx="4">
                  <c:v>1.6414446125033735</c:v>
                </c:pt>
                <c:pt idx="5">
                  <c:v>2.4639176429014764</c:v>
                </c:pt>
                <c:pt idx="6">
                  <c:v>3.4519394116297946</c:v>
                </c:pt>
                <c:pt idx="7">
                  <c:v>4.6058637698515543</c:v>
                </c:pt>
                <c:pt idx="8">
                  <c:v>5.926045635052585</c:v>
                </c:pt>
                <c:pt idx="9">
                  <c:v>7.4128409941316828</c:v>
                </c:pt>
                <c:pt idx="10">
                  <c:v>9.0666069065008195</c:v>
                </c:pt>
                <c:pt idx="11">
                  <c:v>10.871946819589835</c:v>
                </c:pt>
                <c:pt idx="12">
                  <c:v>12.841730238941995</c:v>
                </c:pt>
                <c:pt idx="13">
                  <c:v>14.975754358765348</c:v>
                </c:pt>
                <c:pt idx="14">
                  <c:v>17.273774844963746</c:v>
                </c:pt>
                <c:pt idx="15">
                  <c:v>19.735506414571709</c:v>
                </c:pt>
                <c:pt idx="16">
                  <c:v>22.360623432676562</c:v>
                </c:pt>
                <c:pt idx="17">
                  <c:v>25.14876052629204</c:v>
                </c:pt>
                <c:pt idx="18">
                  <c:v>28.099513214520027</c:v>
                </c:pt>
                <c:pt idx="19">
                  <c:v>31.212438554240304</c:v>
                </c:pt>
                <c:pt idx="20">
                  <c:v>34.487055800494552</c:v>
                </c:pt>
                <c:pt idx="21">
                  <c:v>37.922847080675062</c:v>
                </c:pt>
                <c:pt idx="22">
                  <c:v>41.519258081586898</c:v>
                </c:pt>
                <c:pt idx="23">
                  <c:v>45.275698748421938</c:v>
                </c:pt>
                <c:pt idx="24">
                  <c:v>49.191543994662467</c:v>
                </c:pt>
                <c:pt idx="25">
                  <c:v>53.266134421918913</c:v>
                </c:pt>
                <c:pt idx="26">
                  <c:v>57.498777048699935</c:v>
                </c:pt>
                <c:pt idx="27">
                  <c:v>61.888746047112704</c:v>
                </c:pt>
                <c:pt idx="28">
                  <c:v>66.435283486495308</c:v>
                </c:pt>
                <c:pt idx="29">
                  <c:v>71.13760008299208</c:v>
                </c:pt>
                <c:pt idx="30">
                  <c:v>75.994875954095306</c:v>
                </c:pt>
                <c:pt idx="31">
                  <c:v>81.006261377192089</c:v>
                </c:pt>
                <c:pt idx="32">
                  <c:v>86.170877551174343</c:v>
                </c:pt>
                <c:pt idx="33">
                  <c:v>91.487817360191144</c:v>
                </c:pt>
                <c:pt idx="34">
                  <c:v>96.956146138645835</c:v>
                </c:pt>
                <c:pt idx="35">
                  <c:v>102.57490243656598</c:v>
                </c:pt>
                <c:pt idx="36">
                  <c:v>108.34309878450156</c:v>
                </c:pt>
                <c:pt idx="37">
                  <c:v>114.25972245713504</c:v>
                </c:pt>
                <c:pt idx="38">
                  <c:v>120.32373623481681</c:v>
                </c:pt>
                <c:pt idx="39">
                  <c:v>126.53407916227043</c:v>
                </c:pt>
                <c:pt idx="40">
                  <c:v>132.88966730374335</c:v>
                </c:pt>
                <c:pt idx="41">
                  <c:v>139.38939449391108</c:v>
                </c:pt>
                <c:pt idx="42">
                  <c:v>146.03213308387572</c:v>
                </c:pt>
                <c:pt idx="43">
                  <c:v>152.81673468163152</c:v>
                </c:pt>
                <c:pt idx="44">
                  <c:v>159.7420308864051</c:v>
                </c:pt>
                <c:pt idx="45">
                  <c:v>166.80683401630893</c:v>
                </c:pt>
                <c:pt idx="46">
                  <c:v>174.00993782878066</c:v>
                </c:pt>
                <c:pt idx="47">
                  <c:v>181.35011823331428</c:v>
                </c:pt>
                <c:pt idx="48">
                  <c:v>188.82613399601917</c:v>
                </c:pt>
                <c:pt idx="49">
                  <c:v>196.43672743557821</c:v>
                </c:pt>
                <c:pt idx="50">
                  <c:v>204.18062511020432</c:v>
                </c:pt>
                <c:pt idx="51">
                  <c:v>212.05653849522824</c:v>
                </c:pt>
                <c:pt idx="52">
                  <c:v>220.06316465097879</c:v>
                </c:pt>
                <c:pt idx="53">
                  <c:v>228.19918688064763</c:v>
                </c:pt>
                <c:pt idx="54">
                  <c:v>236.46327537785791</c:v>
                </c:pt>
                <c:pt idx="55">
                  <c:v>244.85408786368549</c:v>
                </c:pt>
                <c:pt idx="56">
                  <c:v>253.3702702129072</c:v>
                </c:pt>
                <c:pt idx="57">
                  <c:v>262.01045706927755</c:v>
                </c:pt>
                <c:pt idx="58">
                  <c:v>270.77327244966045</c:v>
                </c:pt>
                <c:pt idx="59">
                  <c:v>279.65733033686581</c:v>
                </c:pt>
                <c:pt idx="60">
                  <c:v>288.66123526106628</c:v>
                </c:pt>
                <c:pt idx="61">
                  <c:v>297.78358286968916</c:v>
                </c:pt>
                <c:pt idx="62">
                  <c:v>307.02296048570207</c:v>
                </c:pt>
                <c:pt idx="63">
                  <c:v>316.37794765423052</c:v>
                </c:pt>
                <c:pt idx="64">
                  <c:v>325.8471166774649</c:v>
                </c:pt>
                <c:pt idx="65">
                  <c:v>335.42903313783211</c:v>
                </c:pt>
                <c:pt idx="66">
                  <c:v>345.12225640942796</c:v>
                </c:pt>
                <c:pt idx="67">
                  <c:v>354.92534015771741</c:v>
                </c:pt>
                <c:pt idx="68">
                  <c:v>364.83683282753105</c:v>
                </c:pt>
                <c:pt idx="69">
                  <c:v>374.8552781193975</c:v>
                </c:pt>
                <c:pt idx="70">
                  <c:v>384.97921545426607</c:v>
                </c:pt>
                <c:pt idx="71">
                  <c:v>395.20718042668739</c:v>
                </c:pt>
                <c:pt idx="72">
                  <c:v>405.53770524653197</c:v>
                </c:pt>
                <c:pt idx="73">
                  <c:v>415.96931916933653</c:v>
                </c:pt>
                <c:pt idx="74">
                  <c:v>426.50054891538076</c:v>
                </c:pt>
                <c:pt idx="75">
                  <c:v>437.12991907760431</c:v>
                </c:pt>
                <c:pt idx="76">
                  <c:v>447.85595251848508</c:v>
                </c:pt>
                <c:pt idx="77">
                  <c:v>458.67717075600586</c:v>
                </c:pt>
                <c:pt idx="78">
                  <c:v>469.59209433884627</c:v>
                </c:pt>
                <c:pt idx="79">
                  <c:v>480.59924321094149</c:v>
                </c:pt>
                <c:pt idx="80">
                  <c:v>491.69713706555706</c:v>
                </c:pt>
                <c:pt idx="81">
                  <c:v>502.88429568903382</c:v>
                </c:pt>
                <c:pt idx="82">
                  <c:v>514.15923929436303</c:v>
                </c:pt>
                <c:pt idx="83">
                  <c:v>525.52048884475369</c:v>
                </c:pt>
                <c:pt idx="84">
                  <c:v>536.96656636736179</c:v>
                </c:pt>
                <c:pt idx="85">
                  <c:v>548.49599525735061</c:v>
                </c:pt>
                <c:pt idx="86">
                  <c:v>560.10730057245746</c:v>
                </c:pt>
                <c:pt idx="87">
                  <c:v>571.79900931824147</c:v>
                </c:pt>
                <c:pt idx="88">
                  <c:v>583.5696507241928</c:v>
                </c:pt>
                <c:pt idx="89">
                  <c:v>595.41775651088096</c:v>
                </c:pt>
                <c:pt idx="90">
                  <c:v>607.34186114832517</c:v>
                </c:pt>
                <c:pt idx="91">
                  <c:v>619.34050210576788</c:v>
                </c:pt>
                <c:pt idx="92">
                  <c:v>631.41222009303294</c:v>
                </c:pt>
                <c:pt idx="93">
                  <c:v>643.55555929365312</c:v>
                </c:pt>
                <c:pt idx="94">
                  <c:v>655.76906758994801</c:v>
                </c:pt>
                <c:pt idx="95">
                  <c:v>668.05129678023457</c:v>
                </c:pt>
                <c:pt idx="96">
                  <c:v>680.40080278835228</c:v>
                </c:pt>
                <c:pt idx="97">
                  <c:v>692.81614586568298</c:v>
                </c:pt>
                <c:pt idx="98">
                  <c:v>705.29589078584536</c:v>
                </c:pt>
                <c:pt idx="99">
                  <c:v>717.8386070322415</c:v>
                </c:pt>
                <c:pt idx="100">
                  <c:v>730.4428689786339</c:v>
                </c:pt>
                <c:pt idx="101">
                  <c:v>743.10725606292522</c:v>
                </c:pt>
                <c:pt idx="102">
                  <c:v>755.83035295431671</c:v>
                </c:pt>
                <c:pt idx="103">
                  <c:v>768.61074971401479</c:v>
                </c:pt>
                <c:pt idx="104">
                  <c:v>781.44704194965561</c:v>
                </c:pt>
                <c:pt idx="105">
                  <c:v>794.33783096361481</c:v>
                </c:pt>
                <c:pt idx="106">
                  <c:v>807.28172389536576</c:v>
                </c:pt>
                <c:pt idx="107">
                  <c:v>820.27733385805061</c:v>
                </c:pt>
                <c:pt idx="108">
                  <c:v>833.32328006942134</c:v>
                </c:pt>
                <c:pt idx="109">
                  <c:v>846.41818797731048</c:v>
                </c:pt>
                <c:pt idx="110">
                  <c:v>859.56068937978421</c:v>
                </c:pt>
                <c:pt idx="111">
                  <c:v>872.74942254013024</c:v>
                </c:pt>
                <c:pt idx="112">
                  <c:v>885.98303229683029</c:v>
                </c:pt>
                <c:pt idx="113">
                  <c:v>899.26017016866194</c:v>
                </c:pt>
                <c:pt idx="114">
                  <c:v>912.57949445507552</c:v>
                </c:pt>
                <c:pt idx="115">
                  <c:v>925.93967033198498</c:v>
                </c:pt>
                <c:pt idx="116">
                  <c:v>939.33936994311148</c:v>
                </c:pt>
                <c:pt idx="117">
                  <c:v>952.77727248701535</c:v>
                </c:pt>
                <c:pt idx="118">
                  <c:v>966.25206429994705</c:v>
                </c:pt>
                <c:pt idx="119">
                  <c:v>979.76243893464834</c:v>
                </c:pt>
                <c:pt idx="120">
                  <c:v>993.30709723522909</c:v>
                </c:pt>
                <c:pt idx="121">
                  <c:v>1006.884747408244</c:v>
                </c:pt>
                <c:pt idx="122">
                  <c:v>1020.4941050900903</c:v>
                </c:pt>
                <c:pt idx="123">
                  <c:v>1034.133893410843</c:v>
                </c:pt>
                <c:pt idx="124">
                  <c:v>1047.8028430546469</c:v>
                </c:pt>
                <c:pt idx="125">
                  <c:v>1061.4996923167714</c:v>
                </c:pt>
                <c:pt idx="126">
                  <c:v>1075.2231871574472</c:v>
                </c:pt>
                <c:pt idx="127">
                  <c:v>1088.9720812525816</c:v>
                </c:pt>
                <c:pt idx="128">
                  <c:v>1102.7451360414661</c:v>
                </c:pt>
                <c:pt idx="129">
                  <c:v>1116.541120771572</c:v>
                </c:pt>
                <c:pt idx="130">
                  <c:v>1130.3588125405365</c:v>
                </c:pt>
                <c:pt idx="131">
                  <c:v>1144.1969963354363</c:v>
                </c:pt>
                <c:pt idx="132">
                  <c:v>1158.054465069438</c:v>
                </c:pt>
                <c:pt idx="133">
                  <c:v>1171.9300196159254</c:v>
                </c:pt>
                <c:pt idx="134">
                  <c:v>1185.8224688401847</c:v>
                </c:pt>
                <c:pt idx="135">
                  <c:v>1199.7306296287406</c:v>
                </c:pt>
                <c:pt idx="136">
                  <c:v>1213.653326916424</c:v>
                </c:pt>
                <c:pt idx="137">
                  <c:v>1227.5893937112548</c:v>
                </c:pt>
                <c:pt idx="138">
                  <c:v>1241.5376711172216</c:v>
                </c:pt>
                <c:pt idx="139">
                  <c:v>1255.497008355032</c:v>
                </c:pt>
                <c:pt idx="140">
                  <c:v>1269.4662627809137</c:v>
                </c:pt>
                <c:pt idx="141">
                  <c:v>1283.4442999035355</c:v>
                </c:pt>
                <c:pt idx="142">
                  <c:v>1297.4299933991228</c:v>
                </c:pt>
                <c:pt idx="143">
                  <c:v>1311.4222251248357</c:v>
                </c:pt>
                <c:pt idx="144">
                  <c:v>1325.4198851304759</c:v>
                </c:pt>
                <c:pt idx="145">
                  <c:v>1339.4218716685905</c:v>
                </c:pt>
                <c:pt idx="146">
                  <c:v>1353.4270912030322</c:v>
                </c:pt>
                <c:pt idx="147">
                  <c:v>1367.4344584160422</c:v>
                </c:pt>
                <c:pt idx="148">
                  <c:v>1381.4428962139109</c:v>
                </c:pt>
                <c:pt idx="149">
                  <c:v>1395.4513357312776</c:v>
                </c:pt>
                <c:pt idx="150">
                  <c:v>1409.4587163341246</c:v>
                </c:pt>
                <c:pt idx="151">
                  <c:v>1423.4639856215188</c:v>
                </c:pt>
                <c:pt idx="152">
                  <c:v>1437.4660994261558</c:v>
                </c:pt>
                <c:pt idx="153">
                  <c:v>1451.4640218137565</c:v>
                </c:pt>
                <c:pt idx="154">
                  <c:v>1465.4567250813666</c:v>
                </c:pt>
                <c:pt idx="155">
                  <c:v>1479.4431897546058</c:v>
                </c:pt>
                <c:pt idx="156">
                  <c:v>1493.4224045839151</c:v>
                </c:pt>
                <c:pt idx="157">
                  <c:v>1507.3933665398474</c:v>
                </c:pt>
                <c:pt idx="158">
                  <c:v>1521.3550808074424</c:v>
                </c:pt>
                <c:pt idx="159">
                  <c:v>1535.3065607797328</c:v>
                </c:pt>
                <c:pt idx="160">
                  <c:v>1549.2468280504188</c:v>
                </c:pt>
                <c:pt idx="161">
                  <c:v>1563.1749124057537</c:v>
                </c:pt>
                <c:pt idx="162">
                  <c:v>1577.0898518156757</c:v>
                </c:pt>
                <c:pt idx="163">
                  <c:v>1590.9906924242282</c:v>
                </c:pt>
                <c:pt idx="164">
                  <c:v>1604.8764885393002</c:v>
                </c:pt>
                <c:pt idx="165">
                  <c:v>1618.7463026217226</c:v>
                </c:pt>
                <c:pt idx="166">
                  <c:v>1632.5992052737574</c:v>
                </c:pt>
                <c:pt idx="167">
                  <c:v>1646.4342752270081</c:v>
                </c:pt>
                <c:pt idx="168">
                  <c:v>1660.2505993297866</c:v>
                </c:pt>
                <c:pt idx="169">
                  <c:v>1674.0472725339641</c:v>
                </c:pt>
                <c:pt idx="170">
                  <c:v>1687.8233978813387</c:v>
                </c:pt>
                <c:pt idx="171">
                  <c:v>1701.5780864895455</c:v>
                </c:pt>
                <c:pt idx="172">
                  <c:v>1715.3104575375401</c:v>
                </c:pt>
                <c:pt idx="173">
                  <c:v>1729.0196382506776</c:v>
                </c:pt>
                <c:pt idx="174">
                  <c:v>1742.7047638854194</c:v>
                </c:pt>
                <c:pt idx="175">
                  <c:v>1756.3649777136857</c:v>
                </c:pt>
                <c:pt idx="176">
                  <c:v>1769.9994310068832</c:v>
                </c:pt>
                <c:pt idx="177">
                  <c:v>1783.607283019631</c:v>
                </c:pt>
                <c:pt idx="178">
                  <c:v>1797.1877009732016</c:v>
                </c:pt>
                <c:pt idx="179">
                  <c:v>1810.7398600387078</c:v>
                </c:pt>
                <c:pt idx="180">
                  <c:v>1824.2629433200486</c:v>
                </c:pt>
                <c:pt idx="181">
                  <c:v>1837.7561418366397</c:v>
                </c:pt>
                <c:pt idx="182">
                  <c:v>1851.2186545059437</c:v>
                </c:pt>
                <c:pt idx="183">
                  <c:v>1864.6496881258252</c:v>
                </c:pt>
                <c:pt idx="184">
                  <c:v>1878.0484573567414</c:v>
                </c:pt>
                <c:pt idx="185">
                  <c:v>1891.4141847037922</c:v>
                </c:pt>
                <c:pt idx="186">
                  <c:v>1904.7461004986449</c:v>
                </c:pt>
                <c:pt idx="187">
                  <c:v>1918.0434428813483</c:v>
                </c:pt>
                <c:pt idx="188">
                  <c:v>1931.3054577820524</c:v>
                </c:pt>
                <c:pt idx="189">
                  <c:v>1944.5313989026545</c:v>
                </c:pt>
                <c:pt idx="190">
                  <c:v>1957.7205276983761</c:v>
                </c:pt>
                <c:pt idx="191">
                  <c:v>1970.8721133592953</c:v>
                </c:pt>
                <c:pt idx="192">
                  <c:v>1983.9854327918415</c:v>
                </c:pt>
                <c:pt idx="193">
                  <c:v>1997.0597706002695</c:v>
                </c:pt>
                <c:pt idx="194">
                  <c:v>2010.0944190681232</c:v>
                </c:pt>
                <c:pt idx="195">
                  <c:v>2023.0886781397026</c:v>
                </c:pt>
                <c:pt idx="196">
                  <c:v>2036.0418554015473</c:v>
                </c:pt>
                <c:pt idx="197">
                  <c:v>2048.9532660639443</c:v>
                </c:pt>
                <c:pt idx="198">
                  <c:v>2061.8222329424748</c:v>
                </c:pt>
                <c:pt idx="199">
                  <c:v>2074.6480864396081</c:v>
                </c:pt>
                <c:pt idx="200">
                  <c:v>2087.4301645263531</c:v>
                </c:pt>
                <c:pt idx="201">
                  <c:v>2100.167812723982</c:v>
                </c:pt>
                <c:pt idx="202">
                  <c:v>2112.8603840858268</c:v>
                </c:pt>
                <c:pt idx="203">
                  <c:v>2125.5072391791641</c:v>
                </c:pt>
                <c:pt idx="204">
                  <c:v>2138.1077460671977</c:v>
                </c:pt>
                <c:pt idx="205">
                  <c:v>2150.6612802911432</c:v>
                </c:pt>
                <c:pt idx="206">
                  <c:v>2163.1672248524251</c:v>
                </c:pt>
                <c:pt idx="207">
                  <c:v>2175.6249701949937</c:v>
                </c:pt>
                <c:pt idx="208">
                  <c:v>2188.0339141877707</c:v>
                </c:pt>
                <c:pt idx="209">
                  <c:v>2200.3934621072303</c:v>
                </c:pt>
                <c:pt idx="210">
                  <c:v>2212.70302662012</c:v>
                </c:pt>
                <c:pt idx="211">
                  <c:v>2224.9620277663298</c:v>
                </c:pt>
                <c:pt idx="212">
                  <c:v>2237.1698929419208</c:v>
                </c:pt>
                <c:pt idx="213">
                  <c:v>2249.3260568823089</c:v>
                </c:pt>
                <c:pt idx="214">
                  <c:v>2261.4299616456201</c:v>
                </c:pt>
                <c:pt idx="215">
                  <c:v>2273.4810565962193</c:v>
                </c:pt>
                <c:pt idx="216">
                  <c:v>2285.4787983884121</c:v>
                </c:pt>
                <c:pt idx="217">
                  <c:v>2297.422650950336</c:v>
                </c:pt>
                <c:pt idx="218">
                  <c:v>2309.3120854680369</c:v>
                </c:pt>
                <c:pt idx="219">
                  <c:v>2321.1465803697429</c:v>
                </c:pt>
                <c:pt idx="220">
                  <c:v>2332.9256213103313</c:v>
                </c:pt>
                <c:pt idx="221">
                  <c:v>2344.648701156003</c:v>
                </c:pt>
                <c:pt idx="222">
                  <c:v>2356.3153199691615</c:v>
                </c:pt>
                <c:pt idx="223">
                  <c:v>2367.9249849935031</c:v>
                </c:pt>
                <c:pt idx="224">
                  <c:v>2379.4772106393252</c:v>
                </c:pt>
                <c:pt idx="225">
                  <c:v>2390.9715184690476</c:v>
                </c:pt>
                <c:pt idx="226">
                  <c:v>2402.4074371829638</c:v>
                </c:pt>
                <c:pt idx="227">
                  <c:v>2413.7845026052123</c:v>
                </c:pt>
                <c:pt idx="228">
                  <c:v>2425.1022576699802</c:v>
                </c:pt>
                <c:pt idx="229">
                  <c:v>2436.3602524079388</c:v>
                </c:pt>
                <c:pt idx="230">
                  <c:v>2447.5580439329146</c:v>
                </c:pt>
                <c:pt idx="231">
                  <c:v>2458.6951964288005</c:v>
                </c:pt>
                <c:pt idx="232">
                  <c:v>2469.7712811367046</c:v>
                </c:pt>
                <c:pt idx="233">
                  <c:v>2480.7858763423474</c:v>
                </c:pt>
                <c:pt idx="234">
                  <c:v>2491.7385673637023</c:v>
                </c:pt>
                <c:pt idx="235">
                  <c:v>2502.6289465388863</c:v>
                </c:pt>
                <c:pt idx="236">
                  <c:v>2513.4566132143041</c:v>
                </c:pt>
                <c:pt idx="237">
                  <c:v>2524.2211737330408</c:v>
                </c:pt>
                <c:pt idx="238">
                  <c:v>2534.9222414235164</c:v>
                </c:pt>
                <c:pt idx="239">
                  <c:v>2545.5594365883926</c:v>
                </c:pt>
                <c:pt idx="240">
                  <c:v>2556.1323864937431</c:v>
                </c:pt>
                <c:pt idx="241">
                  <c:v>2566.6407253584839</c:v>
                </c:pt>
                <c:pt idx="242">
                  <c:v>2577.0840943440662</c:v>
                </c:pt>
                <c:pt idx="243">
                  <c:v>2587.4621415444362</c:v>
                </c:pt>
                <c:pt idx="244">
                  <c:v>2597.774521976261</c:v>
                </c:pt>
                <c:pt idx="245">
                  <c:v>2608.02089756942</c:v>
                </c:pt>
                <c:pt idx="246">
                  <c:v>2618.2009371577701</c:v>
                </c:pt>
                <c:pt idx="247">
                  <c:v>2628.3143164701783</c:v>
                </c:pt>
                <c:pt idx="248">
                  <c:v>2638.3607181218285</c:v>
                </c:pt>
                <c:pt idx="249">
                  <c:v>2648.3398316058024</c:v>
                </c:pt>
                <c:pt idx="250">
                  <c:v>2658.2513532849321</c:v>
                </c:pt>
                <c:pt idx="251">
                  <c:v>2668.0949863839314</c:v>
                </c:pt>
                <c:pt idx="252">
                  <c:v>2677.8704409818042</c:v>
                </c:pt>
                <c:pt idx="253">
                  <c:v>2687.5774340045273</c:v>
                </c:pt>
                <c:pt idx="254">
                  <c:v>2697.2156892180174</c:v>
                </c:pt>
                <c:pt idx="255">
                  <c:v>2706.7849372213723</c:v>
                </c:pt>
                <c:pt idx="256">
                  <c:v>2716.2849154403984</c:v>
                </c:pt>
                <c:pt idx="257">
                  <c:v>2725.7153681214136</c:v>
                </c:pt>
                <c:pt idx="258">
                  <c:v>2735.0760463253387</c:v>
                </c:pt>
                <c:pt idx="259">
                  <c:v>2744.3667079220672</c:v>
                </c:pt>
                <c:pt idx="260">
                  <c:v>2753.5871175851207</c:v>
                </c:pt>
                <c:pt idx="261">
                  <c:v>2762.7370467865894</c:v>
                </c:pt>
                <c:pt idx="262">
                  <c:v>2771.8162737923549</c:v>
                </c:pt>
                <c:pt idx="263">
                  <c:v>2780.8245836576016</c:v>
                </c:pt>
                <c:pt idx="264">
                  <c:v>2789.7617682226137</c:v>
                </c:pt>
                <c:pt idx="265">
                  <c:v>2798.6276261088556</c:v>
                </c:pt>
                <c:pt idx="266">
                  <c:v>2807.4219627153448</c:v>
                </c:pt>
                <c:pt idx="267">
                  <c:v>2816.1445902153082</c:v>
                </c:pt>
                <c:pt idx="268">
                  <c:v>2824.7953275531281</c:v>
                </c:pt>
                <c:pt idx="269">
                  <c:v>2833.3740004415772</c:v>
                </c:pt>
                <c:pt idx="270">
                  <c:v>2841.8804413593407</c:v>
                </c:pt>
                <c:pt idx="271">
                  <c:v>2850.3144895488294</c:v>
                </c:pt>
                <c:pt idx="272">
                  <c:v>2858.6759910142823</c:v>
                </c:pt>
                <c:pt idx="273">
                  <c:v>2866.9647985201582</c:v>
                </c:pt>
                <c:pt idx="274">
                  <c:v>2875.1807715898167</c:v>
                </c:pt>
                <c:pt idx="275">
                  <c:v>2883.3237765044933</c:v>
                </c:pt>
                <c:pt idx="276">
                  <c:v>2891.393686302561</c:v>
                </c:pt>
                <c:pt idx="277">
                  <c:v>2899.3903807790866</c:v>
                </c:pt>
                <c:pt idx="278">
                  <c:v>2907.3137464856745</c:v>
                </c:pt>
                <c:pt idx="279">
                  <c:v>2915.1636767306068</c:v>
                </c:pt>
                <c:pt idx="280">
                  <c:v>2922.9400715792699</c:v>
                </c:pt>
                <c:pt idx="281">
                  <c:v>2930.6428378548776</c:v>
                </c:pt>
                <c:pt idx="282">
                  <c:v>2938.2718891394838</c:v>
                </c:pt>
                <c:pt idx="283">
                  <c:v>2945.827145775288</c:v>
                </c:pt>
                <c:pt idx="284">
                  <c:v>2953.3085348662344</c:v>
                </c:pt>
                <c:pt idx="285">
                  <c:v>2960.7159902799003</c:v>
                </c:pt>
                <c:pt idx="286">
                  <c:v>2968.0494526496846</c:v>
                </c:pt>
                <c:pt idx="287">
                  <c:v>2975.3088693772788</c:v>
                </c:pt>
                <c:pt idx="288">
                  <c:v>2982.4941946354411</c:v>
                </c:pt>
                <c:pt idx="289">
                  <c:v>2989.6053893710578</c:v>
                </c:pt>
                <c:pt idx="290">
                  <c:v>2996.6424213085002</c:v>
                </c:pt>
                <c:pt idx="291">
                  <c:v>3003.6052649532744</c:v>
                </c:pt>
                <c:pt idx="292">
                  <c:v>3010.4939015959662</c:v>
                </c:pt>
                <c:pt idx="293">
                  <c:v>3017.308319316478</c:v>
                </c:pt>
                <c:pt idx="294">
                  <c:v>3024.0485129885606</c:v>
                </c:pt>
                <c:pt idx="295">
                  <c:v>3030.7144842846378</c:v>
                </c:pt>
                <c:pt idx="296">
                  <c:v>3037.3062416809285</c:v>
                </c:pt>
                <c:pt idx="297">
                  <c:v>3043.8238004628579</c:v>
                </c:pt>
                <c:pt idx="298">
                  <c:v>3050.2671827307695</c:v>
                </c:pt>
                <c:pt idx="299">
                  <c:v>3056.6364174059249</c:v>
                </c:pt>
                <c:pt idx="300">
                  <c:v>3062.9315402368038</c:v>
                </c:pt>
                <c:pt idx="301">
                  <c:v>3069.1525938056952</c:v>
                </c:pt>
                <c:pt idx="302">
                  <c:v>3075.2996275355858</c:v>
                </c:pt>
                <c:pt idx="303">
                  <c:v>3081.3726976973421</c:v>
                </c:pt>
                <c:pt idx="304">
                  <c:v>3087.3718674171887</c:v>
                </c:pt>
                <c:pt idx="305">
                  <c:v>3093.2972066844795</c:v>
                </c:pt>
                <c:pt idx="306">
                  <c:v>3099.1487923597679</c:v>
                </c:pt>
                <c:pt idx="307">
                  <c:v>3104.9267081831695</c:v>
                </c:pt>
                <c:pt idx="308">
                  <c:v>3110.6310447830238</c:v>
                </c:pt>
                <c:pt idx="309">
                  <c:v>3116.2618996848469</c:v>
                </c:pt>
                <c:pt idx="310">
                  <c:v>3121.8193773205849</c:v>
                </c:pt>
                <c:pt idx="311">
                  <c:v>3127.3035890381616</c:v>
                </c:pt>
                <c:pt idx="312">
                  <c:v>3132.7146531113208</c:v>
                </c:pt>
                <c:pt idx="313">
                  <c:v>3138.0526947497697</c:v>
                </c:pt>
                <c:pt idx="314">
                  <c:v>3143.3178461096131</c:v>
                </c:pt>
                <c:pt idx="315">
                  <c:v>3148.5102463040889</c:v>
                </c:pt>
                <c:pt idx="316">
                  <c:v>3153.6300414146003</c:v>
                </c:pt>
                <c:pt idx="317">
                  <c:v>3158.6773845020411</c:v>
                </c:pt>
                <c:pt idx="318">
                  <c:v>3163.6524356184236</c:v>
                </c:pt>
                <c:pt idx="319">
                  <c:v>3168.5553618188014</c:v>
                </c:pt>
                <c:pt idx="320">
                  <c:v>3173.3863371734897</c:v>
                </c:pt>
                <c:pt idx="321">
                  <c:v>3178.1455427805859</c:v>
                </c:pt>
                <c:pt idx="322">
                  <c:v>3182.8331667787852</c:v>
                </c:pt>
                <c:pt idx="323">
                  <c:v>3187.4494043604982</c:v>
                </c:pt>
                <c:pt idx="324">
                  <c:v>3191.9944577852639</c:v>
                </c:pt>
                <c:pt idx="325">
                  <c:v>3196.468536393465</c:v>
                </c:pt>
                <c:pt idx="326">
                  <c:v>3200.8718566203397</c:v>
                </c:pt>
                <c:pt idx="327">
                  <c:v>3205.2046420102934</c:v>
                </c:pt>
                <c:pt idx="328">
                  <c:v>3209.4671232315122</c:v>
                </c:pt>
                <c:pt idx="329">
                  <c:v>3213.6595380908757</c:v>
                </c:pt>
                <c:pt idx="330">
                  <c:v>3217.7821315491665</c:v>
                </c:pt>
                <c:pt idx="331">
                  <c:v>3221.8351557365881</c:v>
                </c:pt>
                <c:pt idx="332">
                  <c:v>3225.8188699685734</c:v>
                </c:pt>
                <c:pt idx="333">
                  <c:v>3229.7335407619057</c:v>
                </c:pt>
                <c:pt idx="334">
                  <c:v>3233.5794418511323</c:v>
                </c:pt>
                <c:pt idx="335">
                  <c:v>3237.356854205284</c:v>
                </c:pt>
                <c:pt idx="336">
                  <c:v>3241.066066044898</c:v>
                </c:pt>
                <c:pt idx="337">
                  <c:v>3244.7073728593405</c:v>
                </c:pt>
                <c:pt idx="338">
                  <c:v>3248.2810774244344</c:v>
                </c:pt>
                <c:pt idx="339">
                  <c:v>3251.7874898203891</c:v>
                </c:pt>
                <c:pt idx="340">
                  <c:v>3255.2269274500345</c:v>
                </c:pt>
                <c:pt idx="341">
                  <c:v>3258.5997150573603</c:v>
                </c:pt>
                <c:pt idx="342">
                  <c:v>3261.9061847463586</c:v>
                </c:pt>
                <c:pt idx="343">
                  <c:v>3265.1466760001708</c:v>
                </c:pt>
                <c:pt idx="344">
                  <c:v>3268.3215357005433</c:v>
                </c:pt>
                <c:pt idx="345">
                  <c:v>3271.4311181475828</c:v>
                </c:pt>
                <c:pt idx="346">
                  <c:v>3274.4757850798255</c:v>
                </c:pt>
                <c:pt idx="347">
                  <c:v>3277.4559056946077</c:v>
                </c:pt>
                <c:pt idx="348">
                  <c:v>3280.3718566687444</c:v>
                </c:pt>
                <c:pt idx="349">
                  <c:v>3283.2240221795182</c:v>
                </c:pt>
                <c:pt idx="350">
                  <c:v>3286.0127939259728</c:v>
                </c:pt>
                <c:pt idx="351">
                  <c:v>3288.7385711505194</c:v>
                </c:pt>
                <c:pt idx="352">
                  <c:v>3291.4017606608459</c:v>
                </c:pt>
                <c:pt idx="353">
                  <c:v>3294.0027768521445</c:v>
                </c:pt>
                <c:pt idx="354">
                  <c:v>3296.54204172964</c:v>
                </c:pt>
                <c:pt idx="355">
                  <c:v>3299.0199849314376</c:v>
                </c:pt>
                <c:pt idx="356">
                  <c:v>3301.4370437516759</c:v>
                </c:pt>
                <c:pt idx="357">
                  <c:v>3303.7936631639941</c:v>
                </c:pt>
                <c:pt idx="358">
                  <c:v>3306.0902958453107</c:v>
                </c:pt>
                <c:pt idx="359">
                  <c:v>3308.3274021999196</c:v>
                </c:pt>
                <c:pt idx="360">
                  <c:v>3310.505450383891</c:v>
                </c:pt>
                <c:pt idx="361">
                  <c:v>3312.6249163297953</c:v>
                </c:pt>
                <c:pt idx="362">
                  <c:v>3314.6862837717367</c:v>
                </c:pt>
                <c:pt idx="363">
                  <c:v>3316.690044270706</c:v>
                </c:pt>
                <c:pt idx="364">
                  <c:v>3318.6366972402438</c:v>
                </c:pt>
                <c:pt idx="365">
                  <c:v>3320.5267499724264</c:v>
                </c:pt>
                <c:pt idx="366">
                  <c:v>3322.3607176641663</c:v>
                </c:pt>
                <c:pt idx="367">
                  <c:v>3324.1391234438315</c:v>
                </c:pt>
                <c:pt idx="368">
                  <c:v>3325.8624983981804</c:v>
                </c:pt>
                <c:pt idx="369">
                  <c:v>3327.5313815996242</c:v>
                </c:pt>
                <c:pt idx="370">
                  <c:v>3329.1463201337983</c:v>
                </c:pt>
                <c:pt idx="371">
                  <c:v>3330.7078691274646</c:v>
                </c:pt>
                <c:pt idx="372">
                  <c:v>3332.2165917767306</c:v>
                </c:pt>
                <c:pt idx="373">
                  <c:v>3333.6730593755883</c:v>
                </c:pt>
                <c:pt idx="374">
                  <c:v>3335.0778513447831</c:v>
                </c:pt>
                <c:pt idx="375">
                  <c:v>3336.4315552610001</c:v>
                </c:pt>
                <c:pt idx="376">
                  <c:v>3337.734766886379</c:v>
                </c:pt>
                <c:pt idx="377">
                  <c:v>3338.9880901983515</c:v>
                </c:pt>
                <c:pt idx="378">
                  <c:v>3340.1921374198078</c:v>
                </c:pt>
                <c:pt idx="379">
                  <c:v>3341.3475290495867</c:v>
                </c:pt>
                <c:pt idx="380">
                  <c:v>3342.4548938932967</c:v>
                </c:pt>
                <c:pt idx="381">
                  <c:v>3343.5148690944625</c:v>
                </c:pt>
                <c:pt idx="382">
                  <c:v>3344.5281001660032</c:v>
                </c:pt>
                <c:pt idx="383">
                  <c:v>3345.4952410220417</c:v>
                </c:pt>
                <c:pt idx="384">
                  <c:v>3346.4169540100397</c:v>
                </c:pt>
                <c:pt idx="385">
                  <c:v>3347.293909943272</c:v>
                </c:pt>
                <c:pt idx="386">
                  <c:v>3348.126788133628</c:v>
                </c:pt>
                <c:pt idx="387">
                  <c:v>3348.9162764247508</c:v>
                </c:pt>
                <c:pt idx="388">
                  <c:v>3349.6630712255064</c:v>
                </c:pt>
                <c:pt idx="389">
                  <c:v>3350.3678775437934</c:v>
                </c:pt>
                <c:pt idx="390">
                  <c:v>3351.0314090206857</c:v>
                </c:pt>
                <c:pt idx="391">
                  <c:v>3351.6543879649143</c:v>
                </c:pt>
                <c:pt idx="392">
                  <c:v>3352.2375453876857</c:v>
                </c:pt>
                <c:pt idx="393">
                  <c:v>3352.7816210378396</c:v>
                </c:pt>
                <c:pt idx="394">
                  <c:v>3353.2873634373523</c:v>
                </c:pt>
                <c:pt idx="395">
                  <c:v>3353.7555299171704</c:v>
                </c:pt>
                <c:pt idx="396">
                  <c:v>3354.1868866533973</c:v>
                </c:pt>
                <c:pt idx="397">
                  <c:v>3354.5822087038168</c:v>
                </c:pt>
                <c:pt idx="398">
                  <c:v>3354.9422800447637</c:v>
                </c:pt>
                <c:pt idx="399">
                  <c:v>3355.2678936083357</c:v>
                </c:pt>
                <c:pt idx="400">
                  <c:v>3355.5598513199561</c:v>
                </c:pt>
                <c:pt idx="401">
                  <c:v>3355.8189641362819</c:v>
                </c:pt>
                <c:pt idx="402">
                  <c:v>3356.046052083459</c:v>
                </c:pt>
                <c:pt idx="403">
                  <c:v>3356.2419442957266</c:v>
                </c:pt>
                <c:pt idx="404">
                  <c:v>3356.4074790543759</c:v>
                </c:pt>
                <c:pt idx="405">
                  <c:v>3356.5435038270543</c:v>
                </c:pt>
                <c:pt idx="406">
                  <c:v>3356.6508753074258</c:v>
                </c:pt>
                <c:pt idx="407">
                  <c:v>3356.7304594551861</c:v>
                </c:pt>
                <c:pt idx="408">
                  <c:v>3356.7831315364283</c:v>
                </c:pt>
                <c:pt idx="409">
                  <c:v>3356.8097761643671</c:v>
                </c:pt>
                <c:pt idx="410">
                  <c:v>3356.811287340422</c:v>
                </c:pt>
                <c:pt idx="411">
                  <c:v>3356.7885684956536</c:v>
                </c:pt>
                <c:pt idx="412">
                  <c:v>3356.7425325325617</c:v>
                </c:pt>
                <c:pt idx="413">
                  <c:v>3356.674101867246</c:v>
                </c:pt>
                <c:pt idx="414">
                  <c:v>3356.5842084719238</c:v>
                </c:pt>
                <c:pt idx="415">
                  <c:v>3356.4737939178149</c:v>
                </c:pt>
                <c:pt idx="416">
                  <c:v>3356.3438094183875</c:v>
                </c:pt>
                <c:pt idx="417">
                  <c:v>3356.19521587297</c:v>
                </c:pt>
                <c:pt idx="418">
                  <c:v>3356.028983910729</c:v>
                </c:pt>
                <c:pt idx="419">
                  <c:v>3355.8460939350175</c:v>
                </c:pt>
                <c:pt idx="420">
                  <c:v>3355.6475361680868</c:v>
                </c:pt>
                <c:pt idx="421">
                  <c:v>3355.4343106961724</c:v>
                </c:pt>
                <c:pt idx="422">
                  <c:v>3355.2074275149507</c:v>
                </c:pt>
                <c:pt idx="423">
                  <c:v>3354.9679065753662</c:v>
                </c:pt>
                <c:pt idx="424">
                  <c:v>3354.7167778298362</c:v>
                </c:pt>
                <c:pt idx="425">
                  <c:v>3354.4550812788248</c:v>
                </c:pt>
                <c:pt idx="426">
                  <c:v>3354.1838670178013</c:v>
                </c:pt>
                <c:pt idx="427">
                  <c:v>3353.9041952845678</c:v>
                </c:pt>
                <c:pt idx="428">
                  <c:v>3353.6171365069727</c:v>
                </c:pt>
                <c:pt idx="429">
                  <c:v>3353.3237713510002</c:v>
                </c:pt>
                <c:pt idx="430">
                  <c:v>3353.025190769245</c:v>
                </c:pt>
                <c:pt idx="431">
                  <c:v>3352.7224960497651</c:v>
                </c:pt>
                <c:pt idx="432">
                  <c:v>3352.4167988653253</c:v>
                </c:pt>
                <c:pt idx="433">
                  <c:v>3352.1092213230199</c:v>
                </c:pt>
                <c:pt idx="434">
                  <c:v>3351.8008960142893</c:v>
                </c:pt>
                <c:pt idx="435">
                  <c:v>3351.4929660653188</c:v>
                </c:pt>
                <c:pt idx="436">
                  <c:v>3351.1865851878306</c:v>
                </c:pt>
                <c:pt idx="437">
                  <c:v>3350.8829177302678</c:v>
                </c:pt>
                <c:pt idx="438">
                  <c:v>3350.5831387293701</c:v>
                </c:pt>
                <c:pt idx="439">
                  <c:v>3350.2884339621405</c:v>
                </c:pt>
                <c:pt idx="440">
                  <c:v>3349.999999998216</c:v>
                </c:pt>
                <c:pt idx="441">
                  <c:v>3349.7190442526248</c:v>
                </c:pt>
                <c:pt idx="442">
                  <c:v>3349.4477599116312</c:v>
                </c:pt>
                <c:pt idx="443">
                  <c:v>3349.1861472750729</c:v>
                </c:pt>
                <c:pt idx="444">
                  <c:v>3348.934206632709</c:v>
                </c:pt>
                <c:pt idx="445">
                  <c:v>3348.6919382642163</c:v>
                </c:pt>
                <c:pt idx="446">
                  <c:v>3348.459342439191</c:v>
                </c:pt>
                <c:pt idx="447">
                  <c:v>3348.2364194171482</c:v>
                </c:pt>
                <c:pt idx="448">
                  <c:v>3348.0231694475196</c:v>
                </c:pt>
                <c:pt idx="449">
                  <c:v>3347.8195927696552</c:v>
                </c:pt>
                <c:pt idx="450">
                  <c:v>3347.6256896128207</c:v>
                </c:pt>
                <c:pt idx="451">
                  <c:v>3347.4414601962003</c:v>
                </c:pt>
                <c:pt idx="452">
                  <c:v>3347.2669047288919</c:v>
                </c:pt>
                <c:pt idx="453">
                  <c:v>3347.1020234099096</c:v>
                </c:pt>
                <c:pt idx="454">
                  <c:v>3346.9468164281825</c:v>
                </c:pt>
                <c:pt idx="455">
                  <c:v>3346.8012839625553</c:v>
                </c:pt>
                <c:pt idx="456">
                  <c:v>3346.6654261817857</c:v>
                </c:pt>
                <c:pt idx="457">
                  <c:v>3346.5392432445456</c:v>
                </c:pt>
                <c:pt idx="458">
                  <c:v>3346.4227352994212</c:v>
                </c:pt>
                <c:pt idx="459">
                  <c:v>3346.315902484911</c:v>
                </c:pt>
                <c:pt idx="460">
                  <c:v>3346.2187449294279</c:v>
                </c:pt>
                <c:pt idx="461">
                  <c:v>3346.1312627512971</c:v>
                </c:pt>
                <c:pt idx="462">
                  <c:v>3346.0534560587557</c:v>
                </c:pt>
                <c:pt idx="463">
                  <c:v>3345.9853249499529</c:v>
                </c:pt>
                <c:pt idx="464">
                  <c:v>3345.9268695129526</c:v>
                </c:pt>
                <c:pt idx="465">
                  <c:v>3345.8780898257269</c:v>
                </c:pt>
                <c:pt idx="466">
                  <c:v>3345.8389859561621</c:v>
                </c:pt>
                <c:pt idx="467">
                  <c:v>3345.8095579620558</c:v>
                </c:pt>
                <c:pt idx="468">
                  <c:v>3345.7898058911169</c:v>
                </c:pt>
                <c:pt idx="469">
                  <c:v>3345.7797297809643</c:v>
                </c:pt>
                <c:pt idx="470">
                  <c:v>3345.7793296591312</c:v>
                </c:pt>
                <c:pt idx="471">
                  <c:v>3345.7886055430595</c:v>
                </c:pt>
                <c:pt idx="472">
                  <c:v>3345.8075574401032</c:v>
                </c:pt>
                <c:pt idx="473">
                  <c:v>3345.8361853475276</c:v>
                </c:pt>
                <c:pt idx="474">
                  <c:v>3345.8744892525078</c:v>
                </c:pt>
                <c:pt idx="475">
                  <c:v>3345.9224691321324</c:v>
                </c:pt>
                <c:pt idx="476">
                  <c:v>3345.9801249534003</c:v>
                </c:pt>
                <c:pt idx="477">
                  <c:v>3346.04745667322</c:v>
                </c:pt>
                <c:pt idx="478">
                  <c:v>3346.124464238414</c:v>
                </c:pt>
                <c:pt idx="479">
                  <c:v>3346.2111475857141</c:v>
                </c:pt>
                <c:pt idx="480">
                  <c:v>3346.307506641765</c:v>
                </c:pt>
                <c:pt idx="481">
                  <c:v>3346.4135413231224</c:v>
                </c:pt>
                <c:pt idx="482">
                  <c:v>3346.5292515362539</c:v>
                </c:pt>
                <c:pt idx="483">
                  <c:v>3346.6546371775394</c:v>
                </c:pt>
                <c:pt idx="484">
                  <c:v>3346.7896981332706</c:v>
                </c:pt>
                <c:pt idx="485">
                  <c:v>3346.9344342796517</c:v>
                </c:pt>
                <c:pt idx="486">
                  <c:v>3347.0888454827996</c:v>
                </c:pt>
                <c:pt idx="487">
                  <c:v>3347.252931598744</c:v>
                </c:pt>
                <c:pt idx="488">
                  <c:v>3347.4266924734279</c:v>
                </c:pt>
                <c:pt idx="489">
                  <c:v>3347.610127942708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8-3D4C-9EDE-4BAD7468A46A}"/>
            </c:ext>
          </c:extLst>
        </c:ser>
        <c:ser>
          <c:idx val="0"/>
          <c:order val="4"/>
          <c:tx>
            <c:v>Acceleration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'Problem 1'!$B$13:$B$502</c:f>
              <c:numCache>
                <c:formatCode>0.00</c:formatCode>
                <c:ptCount val="490"/>
                <c:pt idx="0">
                  <c:v>1.6379536987322174</c:v>
                </c:pt>
                <c:pt idx="1">
                  <c:v>1.6414393543776811</c:v>
                </c:pt>
                <c:pt idx="2">
                  <c:v>1.6449355201908451</c:v>
                </c:pt>
                <c:pt idx="3">
                  <c:v>1.6484422265901308</c:v>
                </c:pt>
                <c:pt idx="4">
                  <c:v>1.6519595040901545</c:v>
                </c:pt>
                <c:pt idx="5">
                  <c:v>1.6554873833021551</c:v>
                </c:pt>
                <c:pt idx="6">
                  <c:v>1.6590258949344168</c:v>
                </c:pt>
                <c:pt idx="7">
                  <c:v>1.6625750697927009</c:v>
                </c:pt>
                <c:pt idx="8">
                  <c:v>1.6661349387806823</c:v>
                </c:pt>
                <c:pt idx="9">
                  <c:v>1.6697055329003825</c:v>
                </c:pt>
                <c:pt idx="10">
                  <c:v>1.6732868832526051</c:v>
                </c:pt>
                <c:pt idx="11">
                  <c:v>1.690886488108764</c:v>
                </c:pt>
                <c:pt idx="12">
                  <c:v>1.6970777755303199</c:v>
                </c:pt>
                <c:pt idx="13">
                  <c:v>1.7034849712857043</c:v>
                </c:pt>
                <c:pt idx="14">
                  <c:v>1.7101046352044684</c:v>
                </c:pt>
                <c:pt idx="15">
                  <c:v>1.7169332527219587</c:v>
                </c:pt>
                <c:pt idx="16">
                  <c:v>1.7239672374080857</c:v>
                </c:pt>
                <c:pt idx="17">
                  <c:v>1.7312029342528046</c:v>
                </c:pt>
                <c:pt idx="18">
                  <c:v>1.7386366235118191</c:v>
                </c:pt>
                <c:pt idx="19">
                  <c:v>1.7462645249681557</c:v>
                </c:pt>
                <c:pt idx="20">
                  <c:v>1.7540828025006243</c:v>
                </c:pt>
                <c:pt idx="21">
                  <c:v>1.7620875688746824</c:v>
                </c:pt>
                <c:pt idx="22">
                  <c:v>1.7702748906887344</c:v>
                </c:pt>
                <c:pt idx="23">
                  <c:v>1.7786407934217852</c:v>
                </c:pt>
                <c:pt idx="24">
                  <c:v>1.7871812665378917</c:v>
                </c:pt>
                <c:pt idx="25">
                  <c:v>1.7958922686103043</c:v>
                </c:pt>
                <c:pt idx="26">
                  <c:v>1.8047697324339165</c:v>
                </c:pt>
                <c:pt idx="27">
                  <c:v>1.813809570099304</c:v>
                </c:pt>
                <c:pt idx="28">
                  <c:v>1.8230076780053985</c:v>
                </c:pt>
                <c:pt idx="29">
                  <c:v>1.8323599417910277</c:v>
                </c:pt>
                <c:pt idx="30">
                  <c:v>1.8418622411682213</c:v>
                </c:pt>
                <c:pt idx="31">
                  <c:v>1.8515104546424974</c:v>
                </c:pt>
                <c:pt idx="32">
                  <c:v>1.8613004641073938</c:v>
                </c:pt>
                <c:pt idx="33">
                  <c:v>1.8712281593022764</c:v>
                </c:pt>
                <c:pt idx="34">
                  <c:v>1.881289442124126</c:v>
                </c:pt>
                <c:pt idx="35">
                  <c:v>1.8914802307853809</c:v>
                </c:pt>
                <c:pt idx="36">
                  <c:v>1.9017964638113314</c:v>
                </c:pt>
                <c:pt idx="37">
                  <c:v>1.912234103871705</c:v>
                </c:pt>
                <c:pt idx="38">
                  <c:v>1.9227891414422327</c:v>
                </c:pt>
                <c:pt idx="39">
                  <c:v>1.933457598293002</c:v>
                </c:pt>
                <c:pt idx="40">
                  <c:v>1.9442355308013375</c:v>
                </c:pt>
                <c:pt idx="41">
                  <c:v>1.9551190330878385</c:v>
                </c:pt>
                <c:pt idx="42">
                  <c:v>1.9661042399749871</c:v>
                </c:pt>
                <c:pt idx="43">
                  <c:v>1.9771873297684714</c:v>
                </c:pt>
                <c:pt idx="44">
                  <c:v>1.988364526862072</c:v>
                </c:pt>
                <c:pt idx="45">
                  <c:v>1.9996321041675291</c:v>
                </c:pt>
                <c:pt idx="46">
                  <c:v>2.0109863853714178</c:v>
                </c:pt>
                <c:pt idx="47">
                  <c:v>2.0224237470215254</c:v>
                </c:pt>
                <c:pt idx="48">
                  <c:v>2.033940620445712</c:v>
                </c:pt>
                <c:pt idx="49">
                  <c:v>2.0455334935066163</c:v>
                </c:pt>
                <c:pt idx="50">
                  <c:v>2.0571989121959735</c:v>
                </c:pt>
                <c:pt idx="51">
                  <c:v>2.0689334820725822</c:v>
                </c:pt>
                <c:pt idx="52">
                  <c:v>2.0807338695482751</c:v>
                </c:pt>
                <c:pt idx="53">
                  <c:v>2.0925968030264839</c:v>
                </c:pt>
                <c:pt idx="54">
                  <c:v>2.104519073898155</c:v>
                </c:pt>
                <c:pt idx="55">
                  <c:v>2.1164975373999999</c:v>
                </c:pt>
                <c:pt idx="56">
                  <c:v>2.12852911334015</c:v>
                </c:pt>
                <c:pt idx="57">
                  <c:v>2.1406107866964033</c:v>
                </c:pt>
                <c:pt idx="58">
                  <c:v>2.1527396080923569</c:v>
                </c:pt>
                <c:pt idx="59">
                  <c:v>2.1649126941566985</c:v>
                </c:pt>
                <c:pt idx="60">
                  <c:v>2.1771272277710523</c:v>
                </c:pt>
                <c:pt idx="61">
                  <c:v>2.1893804582116649</c:v>
                </c:pt>
                <c:pt idx="62">
                  <c:v>2.2016697011903021</c:v>
                </c:pt>
                <c:pt idx="63">
                  <c:v>2.2139923387996157</c:v>
                </c:pt>
                <c:pt idx="64">
                  <c:v>2.2263458193682029</c:v>
                </c:pt>
                <c:pt idx="65">
                  <c:v>2.2387276572305481</c:v>
                </c:pt>
                <c:pt idx="66">
                  <c:v>2.2511354324168797</c:v>
                </c:pt>
                <c:pt idx="67">
                  <c:v>2.2635667902679453</c:v>
                </c:pt>
                <c:pt idx="68">
                  <c:v>2.2760194409795567</c:v>
                </c:pt>
                <c:pt idx="69">
                  <c:v>2.288491159081647</c:v>
                </c:pt>
                <c:pt idx="70">
                  <c:v>2.3009797828564782</c:v>
                </c:pt>
                <c:pt idx="71">
                  <c:v>2.3134832137004659</c:v>
                </c:pt>
                <c:pt idx="72">
                  <c:v>2.32599941543398</c:v>
                </c:pt>
                <c:pt idx="73">
                  <c:v>2.3385264135633155</c:v>
                </c:pt>
                <c:pt idx="74">
                  <c:v>2.3510622944988984</c:v>
                </c:pt>
                <c:pt idx="75">
                  <c:v>2.3636052047336178</c:v>
                </c:pt>
                <c:pt idx="76">
                  <c:v>2.3761533499850458</c:v>
                </c:pt>
                <c:pt idx="77">
                  <c:v>2.3887049943051371</c:v>
                </c:pt>
                <c:pt idx="78">
                  <c:v>2.4012584591608501</c:v>
                </c:pt>
                <c:pt idx="79">
                  <c:v>2.4138121224889906</c:v>
                </c:pt>
                <c:pt idx="80">
                  <c:v>2.4263644177283936</c:v>
                </c:pt>
                <c:pt idx="81">
                  <c:v>2.4389138328324491</c:v>
                </c:pt>
                <c:pt idx="82">
                  <c:v>2.4514589092647978</c:v>
                </c:pt>
                <c:pt idx="83">
                  <c:v>2.4639982409808789</c:v>
                </c:pt>
                <c:pt idx="84">
                  <c:v>2.4765304733978946</c:v>
                </c:pt>
                <c:pt idx="85">
                  <c:v>2.4890543023555636</c:v>
                </c:pt>
                <c:pt idx="86">
                  <c:v>2.5015684730699621</c:v>
                </c:pt>
                <c:pt idx="87">
                  <c:v>2.51407177908255</c:v>
                </c:pt>
                <c:pt idx="88">
                  <c:v>2.5265630612064083</c:v>
                </c:pt>
                <c:pt idx="89">
                  <c:v>2.5390412064715422</c:v>
                </c:pt>
                <c:pt idx="90">
                  <c:v>2.5515051470710133</c:v>
                </c:pt>
                <c:pt idx="91">
                  <c:v>2.5639538593095228</c:v>
                </c:pt>
                <c:pt idx="92">
                  <c:v>2.5763863625559678</c:v>
                </c:pt>
                <c:pt idx="93">
                  <c:v>2.5888017182013847</c:v>
                </c:pt>
                <c:pt idx="94">
                  <c:v>2.6011990286235709</c:v>
                </c:pt>
                <c:pt idx="95">
                  <c:v>2.6135774361595954</c:v>
                </c:pt>
                <c:pt idx="96">
                  <c:v>2.6259361220873041</c:v>
                </c:pt>
                <c:pt idx="97">
                  <c:v>2.6382743056168216</c:v>
                </c:pt>
                <c:pt idx="98">
                  <c:v>2.6505912428929936</c:v>
                </c:pt>
                <c:pt idx="99">
                  <c:v>2.662886226009586</c:v>
                </c:pt>
                <c:pt idx="100">
                  <c:v>2.6751585820360297</c:v>
                </c:pt>
                <c:pt idx="101">
                  <c:v>2.687407672057371</c:v>
                </c:pt>
                <c:pt idx="102">
                  <c:v>2.6996328902280546</c:v>
                </c:pt>
                <c:pt idx="103">
                  <c:v>2.7118336628400876</c:v>
                </c:pt>
                <c:pt idx="104">
                  <c:v>2.7240094474060514</c:v>
                </c:pt>
                <c:pt idx="105">
                  <c:v>2.7361597317574038</c:v>
                </c:pt>
                <c:pt idx="106">
                  <c:v>2.7482840331584084</c:v>
                </c:pt>
                <c:pt idx="107">
                  <c:v>2.760381897436031</c:v>
                </c:pt>
                <c:pt idx="108">
                  <c:v>2.7724528981260352</c:v>
                </c:pt>
                <c:pt idx="109">
                  <c:v>2.7844966356355125</c:v>
                </c:pt>
                <c:pt idx="110">
                  <c:v>2.7965127364220002</c:v>
                </c:pt>
                <c:pt idx="111">
                  <c:v>2.8085008521893196</c:v>
                </c:pt>
                <c:pt idx="112">
                  <c:v>2.8204606591002284</c:v>
                </c:pt>
                <c:pt idx="113">
                  <c:v>2.832391857005931</c:v>
                </c:pt>
                <c:pt idx="114">
                  <c:v>2.8442941686924765</c:v>
                </c:pt>
                <c:pt idx="115">
                  <c:v>2.8561673391440232</c:v>
                </c:pt>
                <c:pt idx="116">
                  <c:v>2.868011134822936</c:v>
                </c:pt>
                <c:pt idx="117">
                  <c:v>2.8798253429666629</c:v>
                </c:pt>
                <c:pt idx="118">
                  <c:v>2.8916097709012707</c:v>
                </c:pt>
                <c:pt idx="119">
                  <c:v>2.9033642453715629</c:v>
                </c:pt>
                <c:pt idx="120">
                  <c:v>2.9150886118876258</c:v>
                </c:pt>
                <c:pt idx="121">
                  <c:v>2.9267827340876567</c:v>
                </c:pt>
                <c:pt idx="122">
                  <c:v>2.9384464931169192</c:v>
                </c:pt>
                <c:pt idx="123">
                  <c:v>2.9500797870226196</c:v>
                </c:pt>
                <c:pt idx="124">
                  <c:v>2.9616825301645386</c:v>
                </c:pt>
                <c:pt idx="125">
                  <c:v>2.9732546526411805</c:v>
                </c:pt>
                <c:pt idx="126">
                  <c:v>2.9847960997312502</c:v>
                </c:pt>
                <c:pt idx="127">
                  <c:v>2.9963068313501982</c:v>
                </c:pt>
                <c:pt idx="128">
                  <c:v>3.0077868215216306</c:v>
                </c:pt>
                <c:pt idx="129">
                  <c:v>3.0192360578633082</c:v>
                </c:pt>
                <c:pt idx="130">
                  <c:v>3.0306545410875065</c:v>
                </c:pt>
                <c:pt idx="131">
                  <c:v>3.0420422845154733</c:v>
                </c:pt>
                <c:pt idx="132">
                  <c:v>3.0533993136057149</c:v>
                </c:pt>
                <c:pt idx="133">
                  <c:v>3.0647256654958648</c:v>
                </c:pt>
                <c:pt idx="134">
                  <c:v>3.0760213885578538</c:v>
                </c:pt>
                <c:pt idx="135">
                  <c:v>3.0872865419661117</c:v>
                </c:pt>
                <c:pt idx="136">
                  <c:v>3.0985211952785425</c:v>
                </c:pt>
                <c:pt idx="137">
                  <c:v>3.1097254280299924</c:v>
                </c:pt>
                <c:pt idx="138">
                  <c:v>3.1208993293379392</c:v>
                </c:pt>
                <c:pt idx="139">
                  <c:v>3.1320429975201272</c:v>
                </c:pt>
                <c:pt idx="140">
                  <c:v>3.143156539723897</c:v>
                </c:pt>
                <c:pt idx="141">
                  <c:v>3.1542400715669112</c:v>
                </c:pt>
                <c:pt idx="142">
                  <c:v>3.16529371678903</c:v>
                </c:pt>
                <c:pt idx="143">
                  <c:v>3.1763176069150654</c:v>
                </c:pt>
                <c:pt idx="144">
                  <c:v>3.1873118809281387</c:v>
                </c:pt>
                <c:pt idx="145">
                  <c:v>3.1982766849534006</c:v>
                </c:pt>
                <c:pt idx="146">
                  <c:v>3.2092121719518318</c:v>
                </c:pt>
                <c:pt idx="147">
                  <c:v>3.2201185014238898</c:v>
                </c:pt>
                <c:pt idx="148">
                  <c:v>3.2309958391227349</c:v>
                </c:pt>
                <c:pt idx="149">
                  <c:v>3.2418443567767925</c:v>
                </c:pt>
                <c:pt idx="150">
                  <c:v>3.252664231821409</c:v>
                </c:pt>
                <c:pt idx="151">
                  <c:v>3.263455647139347</c:v>
                </c:pt>
                <c:pt idx="152">
                  <c:v>3.2742187908099094</c:v>
                </c:pt>
                <c:pt idx="153">
                  <c:v>3.2849538558664206</c:v>
                </c:pt>
                <c:pt idx="154">
                  <c:v>3.2956610400618724</c:v>
                </c:pt>
                <c:pt idx="155">
                  <c:v>3.3063405456424864</c:v>
                </c:pt>
                <c:pt idx="156">
                  <c:v>3.3169925791289798</c:v>
                </c:pt>
                <c:pt idx="157">
                  <c:v>3.3276173511053209</c:v>
                </c:pt>
                <c:pt idx="158">
                  <c:v>3.3382150760147504</c:v>
                </c:pt>
                <c:pt idx="159">
                  <c:v>3.3487859719628803</c:v>
                </c:pt>
                <c:pt idx="160">
                  <c:v>3.3593302605276478</c:v>
                </c:pt>
                <c:pt idx="161">
                  <c:v>3.3698481665759346</c:v>
                </c:pt>
                <c:pt idx="162">
                  <c:v>3.3803399180866576</c:v>
                </c:pt>
                <c:pt idx="163">
                  <c:v>3.3908057459801397</c:v>
                </c:pt>
                <c:pt idx="164">
                  <c:v>3.4012458839535715</c:v>
                </c:pt>
                <c:pt idx="165">
                  <c:v>3.4116605683223864</c:v>
                </c:pt>
                <c:pt idx="166">
                  <c:v>3.4220500378673737</c:v>
                </c:pt>
                <c:pt idx="167">
                  <c:v>3.4324145336873508</c:v>
                </c:pt>
                <c:pt idx="168">
                  <c:v>3.4427542990572304</c:v>
                </c:pt>
                <c:pt idx="169">
                  <c:v>3.45306957929132</c:v>
                </c:pt>
                <c:pt idx="170">
                  <c:v>3.4633606216116886</c:v>
                </c:pt>
                <c:pt idx="171">
                  <c:v>3.4736276750214463</c:v>
                </c:pt>
                <c:pt idx="172">
                  <c:v>3.4838709901827922</c:v>
                </c:pt>
                <c:pt idx="173">
                  <c:v>3.4940908192996636</c:v>
                </c:pt>
                <c:pt idx="174">
                  <c:v>3.5042874160048694</c:v>
                </c:pt>
                <c:pt idx="175">
                  <c:v>3.5144610352515442</c:v>
                </c:pt>
                <c:pt idx="176">
                  <c:v>3.5246119332087922</c:v>
                </c:pt>
                <c:pt idx="177">
                  <c:v>3.5347403671614037</c:v>
                </c:pt>
                <c:pt idx="178">
                  <c:v>3.5448465954134925</c:v>
                </c:pt>
                <c:pt idx="179">
                  <c:v>3.5549308771959396</c:v>
                </c:pt>
                <c:pt idx="180">
                  <c:v>3.5649934725775294</c:v>
                </c:pt>
                <c:pt idx="181">
                  <c:v>3.5750346423796384</c:v>
                </c:pt>
                <c:pt idx="182">
                  <c:v>3.5850546480943843</c:v>
                </c:pt>
                <c:pt idx="183">
                  <c:v>3.5950537518061112</c:v>
                </c:pt>
                <c:pt idx="184">
                  <c:v>3.6050322161160988</c:v>
                </c:pt>
                <c:pt idx="185">
                  <c:v>3.614990304070405</c:v>
                </c:pt>
                <c:pt idx="186">
                  <c:v>3.6249282790907214</c:v>
                </c:pt>
                <c:pt idx="187">
                  <c:v>3.6348464049081568</c:v>
                </c:pt>
                <c:pt idx="188">
                  <c:v>3.6447449454998462</c:v>
                </c:pt>
                <c:pt idx="189">
                  <c:v>3.6546241650282876</c:v>
                </c:pt>
                <c:pt idx="190">
                  <c:v>3.6644843277833274</c:v>
                </c:pt>
                <c:pt idx="191">
                  <c:v>3.6743256981266921</c:v>
                </c:pt>
                <c:pt idx="192">
                  <c:v>3.684148540438994</c:v>
                </c:pt>
                <c:pt idx="193">
                  <c:v>3.6939531190691195</c:v>
                </c:pt>
                <c:pt idx="194">
                  <c:v>3.7037396982859194</c:v>
                </c:pt>
                <c:pt idx="195">
                  <c:v>3.7135085422321348</c:v>
                </c:pt>
                <c:pt idx="196">
                  <c:v>3.7232599148804622</c:v>
                </c:pt>
                <c:pt idx="197">
                  <c:v>3.7329940799917112</c:v>
                </c:pt>
                <c:pt idx="198">
                  <c:v>3.7427113010749586</c:v>
                </c:pt>
                <c:pt idx="199">
                  <c:v>3.7524118413496494</c:v>
                </c:pt>
                <c:pt idx="200">
                  <c:v>3.7620959637095628</c:v>
                </c:pt>
                <c:pt idx="201">
                  <c:v>3.7717639306885933</c:v>
                </c:pt>
                <c:pt idx="202">
                  <c:v>3.7814160044282747</c:v>
                </c:pt>
                <c:pt idx="203">
                  <c:v>3.7910524466469919</c:v>
                </c:pt>
                <c:pt idx="204">
                  <c:v>3.8006735186108136</c:v>
                </c:pt>
                <c:pt idx="205">
                  <c:v>3.8102794811059022</c:v>
                </c:pt>
                <c:pt idx="206">
                  <c:v>3.8198705944124365</c:v>
                </c:pt>
                <c:pt idx="207">
                  <c:v>3.8294471182799965</c:v>
                </c:pt>
                <c:pt idx="208">
                  <c:v>3.8390093119043578</c:v>
                </c:pt>
                <c:pt idx="209">
                  <c:v>3.8485574339056554</c:v>
                </c:pt>
                <c:pt idx="210">
                  <c:v>3.8580917423078493</c:v>
                </c:pt>
                <c:pt idx="211">
                  <c:v>3.8676124945194665</c:v>
                </c:pt>
                <c:pt idx="212">
                  <c:v>3.8771199473155589</c:v>
                </c:pt>
                <c:pt idx="213">
                  <c:v>3.8866143568208429</c:v>
                </c:pt>
                <c:pt idx="214">
                  <c:v>3.8960959784939782</c:v>
                </c:pt>
                <c:pt idx="215">
                  <c:v>3.9055650671129314</c:v>
                </c:pt>
                <c:pt idx="216">
                  <c:v>3.9150218767614104</c:v>
                </c:pt>
                <c:pt idx="217">
                  <c:v>3.9244666608163041</c:v>
                </c:pt>
                <c:pt idx="218">
                  <c:v>3.9338996719361123</c:v>
                </c:pt>
                <c:pt idx="219">
                  <c:v>3.9433211620503172</c:v>
                </c:pt>
                <c:pt idx="220">
                  <c:v>3.9527313823496666</c:v>
                </c:pt>
                <c:pt idx="221">
                  <c:v>3.9621305832773364</c:v>
                </c:pt>
                <c:pt idx="222">
                  <c:v>3.9715190145209385</c:v>
                </c:pt>
                <c:pt idx="223">
                  <c:v>3.9808969250053461</c:v>
                </c:pt>
                <c:pt idx="224">
                  <c:v>3.9902645628862961</c:v>
                </c:pt>
                <c:pt idx="225">
                  <c:v>3.9996221755447601</c:v>
                </c:pt>
                <c:pt idx="226">
                  <c:v>4.0089700095820318</c:v>
                </c:pt>
                <c:pt idx="227">
                  <c:v>4.018308310815522</c:v>
                </c:pt>
                <c:pt idx="228">
                  <c:v>4.0276373242752266</c:v>
                </c:pt>
                <c:pt idx="229">
                  <c:v>4.0369572942008416</c:v>
                </c:pt>
                <c:pt idx="230">
                  <c:v>4.0462684640395103</c:v>
                </c:pt>
                <c:pt idx="231">
                  <c:v>4.0555710764441635</c:v>
                </c:pt>
                <c:pt idx="232">
                  <c:v>4.064865373272446</c:v>
                </c:pt>
                <c:pt idx="233">
                  <c:v>4.0741515955861951</c:v>
                </c:pt>
                <c:pt idx="234">
                  <c:v>4.0834299836514578</c:v>
                </c:pt>
                <c:pt idx="235">
                  <c:v>4.0927007769390222</c:v>
                </c:pt>
                <c:pt idx="236">
                  <c:v>4.1019642141254469</c:v>
                </c:pt>
                <c:pt idx="237">
                  <c:v>4.1112205330945644</c:v>
                </c:pt>
                <c:pt idx="238">
                  <c:v>4.120469970939439</c:v>
                </c:pt>
                <c:pt idx="239">
                  <c:v>4.1297127639647808</c:v>
                </c:pt>
                <c:pt idx="240">
                  <c:v>4.1389491476897611</c:v>
                </c:pt>
                <c:pt idx="241">
                  <c:v>4.1481793568512524</c:v>
                </c:pt>
                <c:pt idx="242">
                  <c:v>4.1574036254074542</c:v>
                </c:pt>
                <c:pt idx="243">
                  <c:v>4.1666221865418871</c:v>
                </c:pt>
                <c:pt idx="244">
                  <c:v>4.175835272667765</c:v>
                </c:pt>
                <c:pt idx="245">
                  <c:v>4.185043115432693</c:v>
                </c:pt>
                <c:pt idx="246">
                  <c:v>4.1942459457237211</c:v>
                </c:pt>
                <c:pt idx="247">
                  <c:v>4.2034439936726908</c:v>
                </c:pt>
                <c:pt idx="248">
                  <c:v>4.212637488661918</c:v>
                </c:pt>
                <c:pt idx="249">
                  <c:v>4.2218266593301514</c:v>
                </c:pt>
                <c:pt idx="250">
                  <c:v>4.2310117335788098</c:v>
                </c:pt>
                <c:pt idx="251">
                  <c:v>4.2401929385785184</c:v>
                </c:pt>
                <c:pt idx="252">
                  <c:v>4.2493705007758695</c:v>
                </c:pt>
                <c:pt idx="253">
                  <c:v>4.2585446459004643</c:v>
                </c:pt>
                <c:pt idx="254">
                  <c:v>4.2677155989721722</c:v>
                </c:pt>
                <c:pt idx="255">
                  <c:v>4.2768835843086359</c:v>
                </c:pt>
                <c:pt idx="256">
                  <c:v>4.2860488255329861</c:v>
                </c:pt>
                <c:pt idx="257">
                  <c:v>4.2952115455817719</c:v>
                </c:pt>
                <c:pt idx="258">
                  <c:v>4.3043719667130969</c:v>
                </c:pt>
                <c:pt idx="259">
                  <c:v>4.3135303105149481</c:v>
                </c:pt>
                <c:pt idx="260">
                  <c:v>4.322686797913704</c:v>
                </c:pt>
                <c:pt idx="261">
                  <c:v>4.3318416491828327</c:v>
                </c:pt>
                <c:pt idx="262">
                  <c:v>4.3409950839517553</c:v>
                </c:pt>
                <c:pt idx="263">
                  <c:v>4.350147321214874</c:v>
                </c:pt>
                <c:pt idx="264">
                  <c:v>4.359298579340753</c:v>
                </c:pt>
                <c:pt idx="265">
                  <c:v>4.3684490760814603</c:v>
                </c:pt>
                <c:pt idx="266">
                  <c:v>4.3775990285820425</c:v>
                </c:pt>
                <c:pt idx="267">
                  <c:v>4.3867486533901472</c:v>
                </c:pt>
                <c:pt idx="268">
                  <c:v>4.3958981664657699</c:v>
                </c:pt>
                <c:pt idx="269">
                  <c:v>4.4050477831911294</c:v>
                </c:pt>
                <c:pt idx="270">
                  <c:v>4.4141977183806747</c:v>
                </c:pt>
                <c:pt idx="271">
                  <c:v>4.4233481862911876</c:v>
                </c:pt>
                <c:pt idx="272">
                  <c:v>4.4324994006320191</c:v>
                </c:pt>
                <c:pt idx="273">
                  <c:v>4.4416515745754124</c:v>
                </c:pt>
                <c:pt idx="274">
                  <c:v>4.4508049207669451</c:v>
                </c:pt>
                <c:pt idx="275">
                  <c:v>4.4599596513360567</c:v>
                </c:pt>
                <c:pt idx="276">
                  <c:v>4.4691159779066769</c:v>
                </c:pt>
                <c:pt idx="277">
                  <c:v>4.4782741116079388</c:v>
                </c:pt>
                <c:pt idx="278">
                  <c:v>4.4874342630849791</c:v>
                </c:pt>
                <c:pt idx="279">
                  <c:v>4.4965966425098269</c:v>
                </c:pt>
                <c:pt idx="280">
                  <c:v>4.505761459592363</c:v>
                </c:pt>
                <c:pt idx="281">
                  <c:v>4.514928923591353</c:v>
                </c:pt>
                <c:pt idx="282">
                  <c:v>4.5240992433255709</c:v>
                </c:pt>
                <c:pt idx="283">
                  <c:v>4.5332726271849655</c:v>
                </c:pt>
                <c:pt idx="284">
                  <c:v>4.5424492831419148</c:v>
                </c:pt>
                <c:pt idx="285">
                  <c:v>4.551629418762535</c:v>
                </c:pt>
                <c:pt idx="286">
                  <c:v>4.5608132412180566</c:v>
                </c:pt>
                <c:pt idx="287">
                  <c:v>4.5700009572962497</c:v>
                </c:pt>
                <c:pt idx="288">
                  <c:v>4.579192773412915</c:v>
                </c:pt>
                <c:pt idx="289">
                  <c:v>4.5883888956234324</c:v>
                </c:pt>
                <c:pt idx="290">
                  <c:v>4.5975895296343454</c:v>
                </c:pt>
                <c:pt idx="291">
                  <c:v>4.6067948808150225</c:v>
                </c:pt>
                <c:pt idx="292">
                  <c:v>4.6160051542093381</c:v>
                </c:pt>
                <c:pt idx="293">
                  <c:v>4.6252205545474245</c:v>
                </c:pt>
                <c:pt idx="294">
                  <c:v>4.6344412862574575</c:v>
                </c:pt>
                <c:pt idx="295">
                  <c:v>4.6436675534774894</c:v>
                </c:pt>
                <c:pt idx="296">
                  <c:v>4.652899560067322</c:v>
                </c:pt>
                <c:pt idx="297">
                  <c:v>4.6621375096204236</c:v>
                </c:pt>
                <c:pt idx="298">
                  <c:v>4.6713816054758901</c:v>
                </c:pt>
                <c:pt idx="299">
                  <c:v>4.680632050730436</c:v>
                </c:pt>
                <c:pt idx="300">
                  <c:v>4.6898890482504285</c:v>
                </c:pt>
                <c:pt idx="301">
                  <c:v>4.6991528006839607</c:v>
                </c:pt>
                <c:pt idx="302">
                  <c:v>4.7084235104729588</c:v>
                </c:pt>
                <c:pt idx="303">
                  <c:v>4.7177013798653222</c:v>
                </c:pt>
                <c:pt idx="304">
                  <c:v>4.726986610927101</c:v>
                </c:pt>
                <c:pt idx="305">
                  <c:v>4.7362794055547131</c:v>
                </c:pt>
                <c:pt idx="306">
                  <c:v>4.7455799654871802</c:v>
                </c:pt>
                <c:pt idx="307">
                  <c:v>4.7548884923184103</c:v>
                </c:pt>
                <c:pt idx="308">
                  <c:v>4.7642051875095079</c:v>
                </c:pt>
                <c:pt idx="309">
                  <c:v>4.7735302524011178</c:v>
                </c:pt>
                <c:pt idx="310">
                  <c:v>4.7828638882257977</c:v>
                </c:pt>
                <c:pt idx="311">
                  <c:v>4.7922062961204208</c:v>
                </c:pt>
                <c:pt idx="312">
                  <c:v>4.8015576771386188</c:v>
                </c:pt>
                <c:pt idx="313">
                  <c:v>4.8109182322632504</c:v>
                </c:pt>
                <c:pt idx="314">
                  <c:v>4.8202881624188958</c:v>
                </c:pt>
                <c:pt idx="315">
                  <c:v>4.8296676684843929</c:v>
                </c:pt>
                <c:pt idx="316">
                  <c:v>4.8390569513053956</c:v>
                </c:pt>
                <c:pt idx="317">
                  <c:v>4.8484562117069769</c:v>
                </c:pt>
                <c:pt idx="318">
                  <c:v>4.857865650506235</c:v>
                </c:pt>
                <c:pt idx="319">
                  <c:v>4.8672854685249725</c:v>
                </c:pt>
                <c:pt idx="320">
                  <c:v>4.8767158666023693</c:v>
                </c:pt>
                <c:pt idx="321">
                  <c:v>4.8861570456077086</c:v>
                </c:pt>
                <c:pt idx="322">
                  <c:v>4.8956092064531322</c:v>
                </c:pt>
                <c:pt idx="323">
                  <c:v>4.9050725501064196</c:v>
                </c:pt>
                <c:pt idx="324">
                  <c:v>4.9145472776038162</c:v>
                </c:pt>
                <c:pt idx="325">
                  <c:v>4.9240335900628791</c:v>
                </c:pt>
                <c:pt idx="326">
                  <c:v>4.9335316886953695</c:v>
                </c:pt>
                <c:pt idx="327">
                  <c:v>4.9430417748201698</c:v>
                </c:pt>
                <c:pt idx="328">
                  <c:v>4.9525640498762424</c:v>
                </c:pt>
                <c:pt idx="329">
                  <c:v>4.9620987154356255</c:v>
                </c:pt>
                <c:pt idx="330">
                  <c:v>4.9716459732164582</c:v>
                </c:pt>
                <c:pt idx="331">
                  <c:v>4.9812060250960499</c:v>
                </c:pt>
                <c:pt idx="332">
                  <c:v>4.9907790731239858</c:v>
                </c:pt>
                <c:pt idx="333">
                  <c:v>5.0003653195352644</c:v>
                </c:pt>
                <c:pt idx="334">
                  <c:v>5.0099649667634889</c:v>
                </c:pt>
                <c:pt idx="335">
                  <c:v>5.0195782174540806</c:v>
                </c:pt>
                <c:pt idx="336">
                  <c:v>5.0292052744775555</c:v>
                </c:pt>
                <c:pt idx="337">
                  <c:v>5.038846340942813</c:v>
                </c:pt>
                <c:pt idx="338">
                  <c:v>5.0485016202105033</c:v>
                </c:pt>
                <c:pt idx="339">
                  <c:v>5.0581713159064057</c:v>
                </c:pt>
                <c:pt idx="340">
                  <c:v>5.0678556319348758</c:v>
                </c:pt>
                <c:pt idx="341">
                  <c:v>5.0775547724923218</c:v>
                </c:pt>
                <c:pt idx="342">
                  <c:v>5.0872689420807378</c:v>
                </c:pt>
                <c:pt idx="343">
                  <c:v>5.0969983455212864</c:v>
                </c:pt>
                <c:pt idx="344">
                  <c:v>5.1067431879679148</c:v>
                </c:pt>
                <c:pt idx="345">
                  <c:v>5.1165036749210415</c:v>
                </c:pt>
                <c:pt idx="346">
                  <c:v>5.1262800122412822</c:v>
                </c:pt>
                <c:pt idx="347">
                  <c:v>5.1360724061632261</c:v>
                </c:pt>
                <c:pt idx="348">
                  <c:v>5.1458810633092771</c:v>
                </c:pt>
                <c:pt idx="349">
                  <c:v>5.1557061907035369</c:v>
                </c:pt>
                <c:pt idx="350">
                  <c:v>5.1655479957857562</c:v>
                </c:pt>
                <c:pt idx="351">
                  <c:v>5.175406686425327</c:v>
                </c:pt>
                <c:pt idx="352">
                  <c:v>5.1852824709353564</c:v>
                </c:pt>
                <c:pt idx="353">
                  <c:v>5.1951755580867802</c:v>
                </c:pt>
                <c:pt idx="354">
                  <c:v>5.2050861571225422</c:v>
                </c:pt>
                <c:pt idx="355">
                  <c:v>5.2150144777718488</c:v>
                </c:pt>
                <c:pt idx="356">
                  <c:v>5.2249607302644669</c:v>
                </c:pt>
                <c:pt idx="357">
                  <c:v>5.234925125345109</c:v>
                </c:pt>
                <c:pt idx="358">
                  <c:v>5.2449078742878648</c:v>
                </c:pt>
                <c:pt idx="359">
                  <c:v>5.2549091889107187</c:v>
                </c:pt>
                <c:pt idx="360">
                  <c:v>5.264929281590125</c:v>
                </c:pt>
                <c:pt idx="361">
                  <c:v>5.2749683652756589</c:v>
                </c:pt>
                <c:pt idx="362">
                  <c:v>5.2850266535047448</c:v>
                </c:pt>
                <c:pt idx="363">
                  <c:v>5.2951043604174473</c:v>
                </c:pt>
                <c:pt idx="364">
                  <c:v>5.3052017007713577</c:v>
                </c:pt>
                <c:pt idx="365">
                  <c:v>5.3153188899565293</c:v>
                </c:pt>
                <c:pt idx="366">
                  <c:v>5.3254561440105261</c:v>
                </c:pt>
                <c:pt idx="367">
                  <c:v>5.3356136796335258</c:v>
                </c:pt>
                <c:pt idx="368">
                  <c:v>5.3457917142035178</c:v>
                </c:pt>
                <c:pt idx="369">
                  <c:v>5.3559904657915851</c:v>
                </c:pt>
                <c:pt idx="370">
                  <c:v>5.3662101531772635</c:v>
                </c:pt>
                <c:pt idx="371">
                  <c:v>5.3764509958640048</c:v>
                </c:pt>
                <c:pt idx="372">
                  <c:v>5.3867132140947156</c:v>
                </c:pt>
                <c:pt idx="373">
                  <c:v>5.3969970288673919</c:v>
                </c:pt>
                <c:pt idx="374">
                  <c:v>5.4073026619508511</c:v>
                </c:pt>
                <c:pt idx="375">
                  <c:v>5.41763033590055</c:v>
                </c:pt>
                <c:pt idx="376">
                  <c:v>5.4279802740745167</c:v>
                </c:pt>
                <c:pt idx="377">
                  <c:v>5.4383527006493546</c:v>
                </c:pt>
                <c:pt idx="378">
                  <c:v>5.4487478406363801</c:v>
                </c:pt>
                <c:pt idx="379">
                  <c:v>5.4591659198978348</c:v>
                </c:pt>
                <c:pt idx="380">
                  <c:v>5.4696071651632199</c:v>
                </c:pt>
                <c:pt idx="381">
                  <c:v>5.4800718040457284</c:v>
                </c:pt>
                <c:pt idx="382">
                  <c:v>5.4905600650587933</c:v>
                </c:pt>
                <c:pt idx="383">
                  <c:v>5.5010721776327429</c:v>
                </c:pt>
                <c:pt idx="384">
                  <c:v>5.5116083721315654</c:v>
                </c:pt>
                <c:pt idx="385">
                  <c:v>5.5221688798697981</c:v>
                </c:pt>
                <c:pt idx="386">
                  <c:v>5.532753933129527</c:v>
                </c:pt>
                <c:pt idx="387">
                  <c:v>5.5433637651775083</c:v>
                </c:pt>
                <c:pt idx="388">
                  <c:v>5.5539986102824068</c:v>
                </c:pt>
                <c:pt idx="389">
                  <c:v>5.56465870373217</c:v>
                </c:pt>
                <c:pt idx="390">
                  <c:v>5.5753442818515202</c:v>
                </c:pt>
                <c:pt idx="391">
                  <c:v>5.586055582019565</c:v>
                </c:pt>
                <c:pt idx="392">
                  <c:v>5.5967928426875675</c:v>
                </c:pt>
                <c:pt idx="393">
                  <c:v>5.6075563033968168</c:v>
                </c:pt>
                <c:pt idx="394">
                  <c:v>5.6183462047966568</c:v>
                </c:pt>
                <c:pt idx="395">
                  <c:v>5.6291627886626454</c:v>
                </c:pt>
                <c:pt idx="396">
                  <c:v>5.640006297914848</c:v>
                </c:pt>
                <c:pt idx="397">
                  <c:v>5.6508769766362921</c:v>
                </c:pt>
                <c:pt idx="398">
                  <c:v>5.6617750700915392</c:v>
                </c:pt>
                <c:pt idx="399">
                  <c:v>5.6727008247454327</c:v>
                </c:pt>
                <c:pt idx="400">
                  <c:v>5.6836544882819826</c:v>
                </c:pt>
                <c:pt idx="401">
                  <c:v>5.6946363096233998</c:v>
                </c:pt>
                <c:pt idx="402">
                  <c:v>5.7056465389492947</c:v>
                </c:pt>
                <c:pt idx="403">
                  <c:v>5.7166854277160297</c:v>
                </c:pt>
                <c:pt idx="404">
                  <c:v>5.7277532286762369</c:v>
                </c:pt>
                <c:pt idx="405">
                  <c:v>5.7388501958984914</c:v>
                </c:pt>
                <c:pt idx="406">
                  <c:v>5.7499765847871585</c:v>
                </c:pt>
                <c:pt idx="407">
                  <c:v>5.7611326521024075</c:v>
                </c:pt>
                <c:pt idx="408">
                  <c:v>5.7723186559804009</c:v>
                </c:pt>
                <c:pt idx="409">
                  <c:v>5.7835348559536506</c:v>
                </c:pt>
                <c:pt idx="410">
                  <c:v>5.7947815129715661</c:v>
                </c:pt>
                <c:pt idx="411">
                  <c:v>5.8060588894211635</c:v>
                </c:pt>
                <c:pt idx="412">
                  <c:v>5.8173672491479795</c:v>
                </c:pt>
                <c:pt idx="413">
                  <c:v>5.828706857477159</c:v>
                </c:pt>
                <c:pt idx="414">
                  <c:v>5.840077981234737</c:v>
                </c:pt>
                <c:pt idx="415">
                  <c:v>5.8514808887691121</c:v>
                </c:pt>
                <c:pt idx="416">
                  <c:v>5.8629158499727207</c:v>
                </c:pt>
                <c:pt idx="417">
                  <c:v>5.8743831363039059</c:v>
                </c:pt>
                <c:pt idx="418">
                  <c:v>5.8858830208089881</c:v>
                </c:pt>
                <c:pt idx="419">
                  <c:v>5.8974157781445502</c:v>
                </c:pt>
                <c:pt idx="420">
                  <c:v>5.9089816845999197</c:v>
                </c:pt>
                <c:pt idx="421">
                  <c:v>5.9205810181198739</c:v>
                </c:pt>
                <c:pt idx="422">
                  <c:v>5.9322140583275562</c:v>
                </c:pt>
                <c:pt idx="423">
                  <c:v>5.9438810865476146</c:v>
                </c:pt>
                <c:pt idx="424">
                  <c:v>5.9555823858295618</c:v>
                </c:pt>
                <c:pt idx="425">
                  <c:v>5.9673182409713581</c:v>
                </c:pt>
                <c:pt idx="426">
                  <c:v>5.9790889385432342</c:v>
                </c:pt>
                <c:pt idx="427">
                  <c:v>5.9908947669117376</c:v>
                </c:pt>
                <c:pt idx="428">
                  <c:v>6.0027360162640226</c:v>
                </c:pt>
                <c:pt idx="429">
                  <c:v>6.0146129786323828</c:v>
                </c:pt>
                <c:pt idx="430">
                  <c:v>6.0265259479190263</c:v>
                </c:pt>
                <c:pt idx="431">
                  <c:v>6.0384752199210929</c:v>
                </c:pt>
                <c:pt idx="432">
                  <c:v>6.0504610923559383</c:v>
                </c:pt>
                <c:pt idx="433">
                  <c:v>6.0624838648866692</c:v>
                </c:pt>
                <c:pt idx="434">
                  <c:v>6.0745438391479336</c:v>
                </c:pt>
                <c:pt idx="435">
                  <c:v>6.0866413187719806</c:v>
                </c:pt>
                <c:pt idx="436">
                  <c:v>6.0987766094149949</c:v>
                </c:pt>
                <c:pt idx="437">
                  <c:v>6.1109500187836963</c:v>
                </c:pt>
                <c:pt idx="438">
                  <c:v>6.1231618566622208</c:v>
                </c:pt>
                <c:pt idx="439">
                  <c:v>6.1354124349392798</c:v>
                </c:pt>
                <c:pt idx="440">
                  <c:v>6.1477020676356151</c:v>
                </c:pt>
                <c:pt idx="441">
                  <c:v>2.5558904640847948E-3</c:v>
                </c:pt>
                <c:pt idx="442">
                  <c:v>2.4679123245196686E-3</c:v>
                </c:pt>
                <c:pt idx="443">
                  <c:v>2.3799310440661115E-3</c:v>
                </c:pt>
                <c:pt idx="444">
                  <c:v>2.2919467296400871E-3</c:v>
                </c:pt>
                <c:pt idx="445">
                  <c:v>2.203959488165359E-3</c:v>
                </c:pt>
                <c:pt idx="446">
                  <c:v>2.1159694265732148E-3</c:v>
                </c:pt>
                <c:pt idx="447">
                  <c:v>2.0279766518021946E-3</c:v>
                </c:pt>
                <c:pt idx="448">
                  <c:v>1.9399812707978209E-3</c:v>
                </c:pt>
                <c:pt idx="449">
                  <c:v>1.8519833905123258E-3</c:v>
                </c:pt>
                <c:pt idx="450">
                  <c:v>1.7639831179043779E-3</c:v>
                </c:pt>
                <c:pt idx="451">
                  <c:v>1.6759805599388118E-3</c:v>
                </c:pt>
                <c:pt idx="452">
                  <c:v>1.5879758235863568E-3</c:v>
                </c:pt>
                <c:pt idx="453">
                  <c:v>1.4999690158233603E-3</c:v>
                </c:pt>
                <c:pt idx="454">
                  <c:v>1.4119602436315209E-3</c:v>
                </c:pt>
                <c:pt idx="455">
                  <c:v>1.3239496139976132E-3</c:v>
                </c:pt>
                <c:pt idx="456">
                  <c:v>1.2359372339132166E-3</c:v>
                </c:pt>
                <c:pt idx="457">
                  <c:v>1.1479232103744424E-3</c:v>
                </c:pt>
                <c:pt idx="458">
                  <c:v>1.0599076503816625E-3</c:v>
                </c:pt>
                <c:pt idx="459">
                  <c:v>9.7189066093923704E-4</c:v>
                </c:pt>
                <c:pt idx="460">
                  <c:v>8.838723490552404E-4</c:v>
                </c:pt>
                <c:pt idx="461">
                  <c:v>7.9585282174119082E-4</c:v>
                </c:pt>
                <c:pt idx="462">
                  <c:v>7.0783218601177687E-4</c:v>
                </c:pt>
                <c:pt idx="463">
                  <c:v>6.198105488845867E-4</c:v>
                </c:pt>
                <c:pt idx="464">
                  <c:v>5.317880173798333E-4</c:v>
                </c:pt>
                <c:pt idx="465">
                  <c:v>4.4376469852008393E-4</c:v>
                </c:pt>
                <c:pt idx="466">
                  <c:v>3.5574069932998688E-4</c:v>
                </c:pt>
                <c:pt idx="467">
                  <c:v>2.6771612683599953E-4</c:v>
                </c:pt>
                <c:pt idx="468">
                  <c:v>1.7969108806611519E-4</c:v>
                </c:pt>
                <c:pt idx="469">
                  <c:v>9.1665690049592144E-5</c:v>
                </c:pt>
                <c:pt idx="470">
                  <c:v>3.640039816679211E-6</c:v>
                </c:pt>
                <c:pt idx="471">
                  <c:v>-8.4385755601655449E-5</c:v>
                </c:pt>
                <c:pt idx="472">
                  <c:v>-1.7241158917399659E-4</c:v>
                </c:pt>
                <c:pt idx="473">
                  <c:v>-2.604373538687554E-4</c:v>
                </c:pt>
                <c:pt idx="474">
                  <c:v>-3.4846294265444095E-4</c:v>
                </c:pt>
                <c:pt idx="475">
                  <c:v>-4.3648824849993305E-4</c:v>
                </c:pt>
                <c:pt idx="476">
                  <c:v>-5.2451316437475415E-4</c:v>
                </c:pt>
                <c:pt idx="477">
                  <c:v>-6.1253758324934446E-4</c:v>
                </c:pt>
                <c:pt idx="478">
                  <c:v>-7.0056139809532866E-4</c:v>
                </c:pt>
                <c:pt idx="479">
                  <c:v>-7.8858450188579491E-4</c:v>
                </c:pt>
                <c:pt idx="480">
                  <c:v>-8.766067875955626E-4</c:v>
                </c:pt>
                <c:pt idx="481">
                  <c:v>-9.6462814820145841E-4</c:v>
                </c:pt>
                <c:pt idx="482">
                  <c:v>-1.0526484766825853E-3</c:v>
                </c:pt>
                <c:pt idx="483">
                  <c:v>-1.1406676660205937E-3</c:v>
                </c:pt>
                <c:pt idx="484">
                  <c:v>-1.228685609199963E-3</c:v>
                </c:pt>
                <c:pt idx="485">
                  <c:v>-1.3167021992082626E-3</c:v>
                </c:pt>
                <c:pt idx="486">
                  <c:v>-1.4047173290364294E-3</c:v>
                </c:pt>
                <c:pt idx="487">
                  <c:v>-1.4927308916790427E-3</c:v>
                </c:pt>
                <c:pt idx="488">
                  <c:v>-1.5807427801345906E-3</c:v>
                </c:pt>
                <c:pt idx="489">
                  <c:v>-1.6687528874057465E-3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8-3D4C-9EDE-4BAD7468A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243839"/>
        <c:axId val="706240879"/>
      </c:lineChart>
      <c:catAx>
        <c:axId val="13495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9520"/>
        <c:crosses val="autoZero"/>
        <c:auto val="1"/>
        <c:lblAlgn val="ctr"/>
        <c:lblOffset val="100"/>
        <c:noMultiLvlLbl val="0"/>
      </c:catAx>
      <c:valAx>
        <c:axId val="13495952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7872"/>
        <c:crosses val="autoZero"/>
        <c:crossBetween val="between"/>
      </c:valAx>
      <c:valAx>
        <c:axId val="7062408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43839"/>
        <c:crosses val="max"/>
        <c:crossBetween val="between"/>
      </c:valAx>
      <c:catAx>
        <c:axId val="706243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6240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 (Dm) vs Down</a:t>
            </a:r>
            <a:r>
              <a:rPr lang="en-US" baseline="0"/>
              <a:t> Range Distance (km)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'Problem 1'!$O$12</c:f>
              <c:strCache>
                <c:ptCount val="1"/>
                <c:pt idx="0">
                  <c:v>Altitude (Dm)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'Problem 1'!$M$13:$M$502</c:f>
              <c:numCache>
                <c:formatCode>General</c:formatCode>
                <c:ptCount val="490"/>
                <c:pt idx="0">
                  <c:v>0</c:v>
                </c:pt>
                <c:pt idx="1">
                  <c:v>1.0029564330162426E-19</c:v>
                </c:pt>
                <c:pt idx="2">
                  <c:v>3.0109998609808697E-19</c:v>
                </c:pt>
                <c:pt idx="3">
                  <c:v>6.0262644188580372E-19</c:v>
                </c:pt>
                <c:pt idx="4">
                  <c:v>1.0050887813019904E-18</c:v>
                </c:pt>
                <c:pt idx="5">
                  <c:v>1.5087011319574117E-18</c:v>
                </c:pt>
                <c:pt idx="6">
                  <c:v>2.1136779782642606E-18</c:v>
                </c:pt>
                <c:pt idx="7">
                  <c:v>2.8202341612591567E-18</c:v>
                </c:pt>
                <c:pt idx="8">
                  <c:v>3.6285848784212408E-18</c:v>
                </c:pt>
                <c:pt idx="9">
                  <c:v>4.538945683485361E-18</c:v>
                </c:pt>
                <c:pt idx="10">
                  <c:v>5.5515324862503212E-18</c:v>
                </c:pt>
                <c:pt idx="11">
                  <c:v>2.3901088655605318E-3</c:v>
                </c:pt>
                <c:pt idx="12">
                  <c:v>5.2321279500405406E-3</c:v>
                </c:pt>
                <c:pt idx="13">
                  <c:v>8.5645623177107583E-3</c:v>
                </c:pt>
                <c:pt idx="14">
                  <c:v>1.2425760088305527E-2</c:v>
                </c:pt>
                <c:pt idx="15">
                  <c:v>1.6853905262812913E-2</c:v>
                </c:pt>
                <c:pt idx="16">
                  <c:v>2.1887010498415727E-2</c:v>
                </c:pt>
                <c:pt idx="17">
                  <c:v>2.7562909898052185E-2</c:v>
                </c:pt>
                <c:pt idx="18">
                  <c:v>3.3919251864836672E-2</c:v>
                </c:pt>
                <c:pt idx="19">
                  <c:v>4.0993492060582538E-2</c:v>
                </c:pt>
                <c:pt idx="20">
                  <c:v>4.8822886499513857E-2</c:v>
                </c:pt>
                <c:pt idx="21">
                  <c:v>5.7444484802061241E-2</c:v>
                </c:pt>
                <c:pt idx="22">
                  <c:v>6.6895123628829656E-2</c:v>
                </c:pt>
                <c:pt idx="23">
                  <c:v>7.7211420311018381E-2</c:v>
                </c:pt>
                <c:pt idx="24">
                  <c:v>8.8429766690499484E-2</c:v>
                </c:pt>
                <c:pt idx="25">
                  <c:v>0.100586323180237</c:v>
                </c:pt>
                <c:pt idx="26">
                  <c:v>0.11371701305362394</c:v>
                </c:pt>
                <c:pt idx="27">
                  <c:v>0.12785751696953218</c:v>
                </c:pt>
                <c:pt idx="28">
                  <c:v>0.14304326773834494</c:v>
                </c:pt>
                <c:pt idx="29">
                  <c:v>0.15930944533291913</c:v>
                </c:pt>
                <c:pt idx="30">
                  <c:v>0.17669097214726862</c:v>
                </c:pt>
                <c:pt idx="31">
                  <c:v>0.19522250850474054</c:v>
                </c:pt>
                <c:pt idx="32">
                  <c:v>0.21493844841655133</c:v>
                </c:pt>
                <c:pt idx="33">
                  <c:v>0.23587291559074197</c:v>
                </c:pt>
                <c:pt idx="34">
                  <c:v>0.25805975969088873</c:v>
                </c:pt>
                <c:pt idx="35">
                  <c:v>0.28153255284325435</c:v>
                </c:pt>
                <c:pt idx="36">
                  <c:v>0.30632458639047982</c:v>
                </c:pt>
                <c:pt idx="37">
                  <c:v>0.33246886788938812</c:v>
                </c:pt>
                <c:pt idx="38">
                  <c:v>0.3599981183499949</c:v>
                </c:pt>
                <c:pt idx="39">
                  <c:v>0.38894476971239433</c:v>
                </c:pt>
                <c:pt idx="40">
                  <c:v>0.41934096255779957</c:v>
                </c:pt>
                <c:pt idx="41">
                  <c:v>0.45121854404967487</c:v>
                </c:pt>
                <c:pt idx="42">
                  <c:v>0.48460906610058652</c:v>
                </c:pt>
                <c:pt idx="43">
                  <c:v>0.51954378376012555</c:v>
                </c:pt>
                <c:pt idx="44">
                  <c:v>0.55605365381901284</c:v>
                </c:pt>
                <c:pt idx="45">
                  <c:v>0.59416933362428759</c:v>
                </c:pt>
                <c:pt idx="46">
                  <c:v>0.63392118010029186</c:v>
                </c:pt>
                <c:pt idx="47">
                  <c:v>0.67533924897001163</c:v>
                </c:pt>
                <c:pt idx="48">
                  <c:v>0.71845329417119796</c:v>
                </c:pt>
                <c:pt idx="49">
                  <c:v>0.76329276746158325</c:v>
                </c:pt>
                <c:pt idx="50">
                  <c:v>0.8098868182074227</c:v>
                </c:pt>
                <c:pt idx="51">
                  <c:v>0.85826429334951904</c:v>
                </c:pt>
                <c:pt idx="52">
                  <c:v>0.90845373754084358</c:v>
                </c:pt>
                <c:pt idx="53">
                  <c:v>0.96048339344983569</c:v>
                </c:pt>
                <c:pt idx="54">
                  <c:v>1.0143812022234475</c:v>
                </c:pt>
                <c:pt idx="55">
                  <c:v>1.0701748041040042</c:v>
                </c:pt>
                <c:pt idx="56">
                  <c:v>1.1278915391939646</c:v>
                </c:pt>
                <c:pt idx="57">
                  <c:v>1.1875584483626973</c:v>
                </c:pt>
                <c:pt idx="58">
                  <c:v>1.2492022742894295</c:v>
                </c:pt>
                <c:pt idx="59">
                  <c:v>1.3128494626365745</c:v>
                </c:pt>
                <c:pt idx="60">
                  <c:v>1.3785261633477133</c:v>
                </c:pt>
                <c:pt idx="61">
                  <c:v>1.4462582320645738</c:v>
                </c:pt>
                <c:pt idx="62">
                  <c:v>1.5160712316574347</c:v>
                </c:pt>
                <c:pt idx="63">
                  <c:v>1.5879904338634663</c:v>
                </c:pt>
                <c:pt idx="64">
                  <c:v>1.6620408210276203</c:v>
                </c:pt>
                <c:pt idx="65">
                  <c:v>1.7382470879407834</c:v>
                </c:pt>
                <c:pt idx="66">
                  <c:v>1.8166336437700097</c:v>
                </c:pt>
                <c:pt idx="67">
                  <c:v>1.8972246140757696</c:v>
                </c:pt>
                <c:pt idx="68">
                  <c:v>1.9800438429112583</c:v>
                </c:pt>
                <c:pt idx="69">
                  <c:v>2.065114894998938</c:v>
                </c:pt>
                <c:pt idx="70">
                  <c:v>2.1524610579795995</c:v>
                </c:pt>
                <c:pt idx="71">
                  <c:v>2.2421053447293637</c:v>
                </c:pt>
                <c:pt idx="72">
                  <c:v>2.3340704957401659</c:v>
                </c:pt>
                <c:pt idx="73">
                  <c:v>2.4283789815593906</c:v>
                </c:pt>
                <c:pt idx="74">
                  <c:v>2.5250530052844686</c:v>
                </c:pt>
                <c:pt idx="75">
                  <c:v>2.6241145051083588</c:v>
                </c:pt>
                <c:pt idx="76">
                  <c:v>2.7255851569119773</c:v>
                </c:pt>
                <c:pt idx="77">
                  <c:v>2.8294863768997778</c:v>
                </c:pt>
                <c:pt idx="78">
                  <c:v>2.9358393242747911</c:v>
                </c:pt>
                <c:pt idx="79">
                  <c:v>3.0446649039495828</c:v>
                </c:pt>
                <c:pt idx="80">
                  <c:v>3.1559837692897093</c:v>
                </c:pt>
                <c:pt idx="81">
                  <c:v>3.2698163248863747</c:v>
                </c:pt>
                <c:pt idx="82">
                  <c:v>3.3861827293551219</c:v>
                </c:pt>
                <c:pt idx="83">
                  <c:v>3.5051028981575114</c:v>
                </c:pt>
                <c:pt idx="84">
                  <c:v>3.6265965064428665</c:v>
                </c:pt>
                <c:pt idx="85">
                  <c:v>3.7506829919072771</c:v>
                </c:pt>
                <c:pt idx="86">
                  <c:v>3.8773815576671771</c:v>
                </c:pt>
                <c:pt idx="87">
                  <c:v>4.0067111751449271</c:v>
                </c:pt>
                <c:pt idx="88">
                  <c:v>4.138690586963933</c:v>
                </c:pt>
                <c:pt idx="89">
                  <c:v>4.2733383098509661</c:v>
                </c:pt>
                <c:pt idx="90">
                  <c:v>4.4106726375434269</c:v>
                </c:pt>
                <c:pt idx="91">
                  <c:v>4.5507116436994348</c:v>
                </c:pt>
                <c:pt idx="92">
                  <c:v>4.6934731848086813</c:v>
                </c:pt>
                <c:pt idx="93">
                  <c:v>4.8389749031021463</c:v>
                </c:pt>
                <c:pt idx="94">
                  <c:v>4.9872342294588101</c:v>
                </c:pt>
                <c:pt idx="95">
                  <c:v>5.1382683863076251</c:v>
                </c:pt>
                <c:pt idx="96">
                  <c:v>5.2920943905231033</c:v>
                </c:pt>
                <c:pt idx="97">
                  <c:v>5.4487290563129349</c:v>
                </c:pt>
                <c:pt idx="98">
                  <c:v>5.6081889980961757</c:v>
                </c:pt>
                <c:pt idx="99">
                  <c:v>5.7704906333705956</c:v>
                </c:pt>
                <c:pt idx="100">
                  <c:v>5.9356501855678658</c:v>
                </c:pt>
                <c:pt idx="101">
                  <c:v>6.1036836868953612</c:v>
                </c:pt>
                <c:pt idx="102">
                  <c:v>6.2746069811633882</c:v>
                </c:pt>
                <c:pt idx="103">
                  <c:v>6.448435726596764</c:v>
                </c:pt>
                <c:pt idx="104">
                  <c:v>6.625185398629708</c:v>
                </c:pt>
                <c:pt idx="105">
                  <c:v>6.8048712926830941</c:v>
                </c:pt>
                <c:pt idx="106">
                  <c:v>6.9875085269231549</c:v>
                </c:pt>
                <c:pt idx="107">
                  <c:v>7.1731120450008294</c:v>
                </c:pt>
                <c:pt idx="108">
                  <c:v>7.3616966187709503</c:v>
                </c:pt>
                <c:pt idx="109">
                  <c:v>7.5532768509905708</c:v>
                </c:pt>
                <c:pt idx="110">
                  <c:v>7.7478671779957615</c:v>
                </c:pt>
                <c:pt idx="111">
                  <c:v>7.9454818723562646</c:v>
                </c:pt>
                <c:pt idx="112">
                  <c:v>8.1461350455074477</c:v>
                </c:pt>
                <c:pt idx="113">
                  <c:v>8.3498406503590292</c:v>
                </c:pt>
                <c:pt idx="114">
                  <c:v>8.5566124838801283</c:v>
                </c:pt>
                <c:pt idx="115">
                  <c:v>8.7664641896601907</c:v>
                </c:pt>
                <c:pt idx="116">
                  <c:v>8.9794092604454256</c:v>
                </c:pt>
                <c:pt idx="117">
                  <c:v>9.1954610406503896</c:v>
                </c:pt>
                <c:pt idx="118">
                  <c:v>9.4146327288444294</c:v>
                </c:pt>
                <c:pt idx="119">
                  <c:v>9.636937380212709</c:v>
                </c:pt>
                <c:pt idx="120">
                  <c:v>9.8623879089915647</c:v>
                </c:pt>
                <c:pt idx="121">
                  <c:v>10.090997090878016</c:v>
                </c:pt>
                <c:pt idx="122">
                  <c:v>10.322777565413235</c:v>
                </c:pt>
                <c:pt idx="123">
                  <c:v>10.557741838339835</c:v>
                </c:pt>
                <c:pt idx="124">
                  <c:v>10.795902283932875</c:v>
                </c:pt>
                <c:pt idx="125">
                  <c:v>11.037271147304475</c:v>
                </c:pt>
                <c:pt idx="126">
                  <c:v>11.28186054668198</c:v>
                </c:pt>
                <c:pt idx="127">
                  <c:v>11.529682475659644</c:v>
                </c:pt>
                <c:pt idx="128">
                  <c:v>11.780748805423809</c:v>
                </c:pt>
                <c:pt idx="129">
                  <c:v>12.035071286951558</c:v>
                </c:pt>
                <c:pt idx="130">
                  <c:v>12.29266155318291</c:v>
                </c:pt>
                <c:pt idx="131">
                  <c:v>12.553531121166566</c:v>
                </c:pt>
                <c:pt idx="132">
                  <c:v>12.817691394179267</c:v>
                </c:pt>
                <c:pt idx="133">
                  <c:v>13.085153663818842</c:v>
                </c:pt>
                <c:pt idx="134">
                  <c:v>13.355929112071054</c:v>
                </c:pt>
                <c:pt idx="135">
                  <c:v>13.630028813350329</c:v>
                </c:pt>
                <c:pt idx="136">
                  <c:v>13.907463736514476</c:v>
                </c:pt>
                <c:pt idx="137">
                  <c:v>14.188244746853572</c:v>
                </c:pt>
                <c:pt idx="138">
                  <c:v>14.472382608053122</c:v>
                </c:pt>
                <c:pt idx="139">
                  <c:v>14.759887984131648</c:v>
                </c:pt>
                <c:pt idx="140">
                  <c:v>15.050771441352902</c:v>
                </c:pt>
                <c:pt idx="141">
                  <c:v>15.345043450112829</c:v>
                </c:pt>
                <c:pt idx="142">
                  <c:v>15.642714386801529</c:v>
                </c:pt>
                <c:pt idx="143">
                  <c:v>15.943794535640345</c:v>
                </c:pt>
                <c:pt idx="144">
                  <c:v>16.248294090494316</c:v>
                </c:pt>
                <c:pt idx="145">
                  <c:v>16.556223156660192</c:v>
                </c:pt>
                <c:pt idx="146">
                  <c:v>16.867591752630229</c:v>
                </c:pt>
                <c:pt idx="147">
                  <c:v>17.18240981183196</c:v>
                </c:pt>
                <c:pt idx="148">
                  <c:v>17.500687184344201</c:v>
                </c:pt>
                <c:pt idx="149">
                  <c:v>17.822433638589494</c:v>
                </c:pt>
                <c:pt idx="150">
                  <c:v>18.147658863003223</c:v>
                </c:pt>
                <c:pt idx="151">
                  <c:v>18.476372467679678</c:v>
                </c:pt>
                <c:pt idx="152">
                  <c:v>18.80858398599522</c:v>
                </c:pt>
                <c:pt idx="153">
                  <c:v>19.144302876208908</c:v>
                </c:pt>
                <c:pt idx="154">
                  <c:v>19.483538523040728</c:v>
                </c:pt>
                <c:pt idx="155">
                  <c:v>19.826300239227749</c:v>
                </c:pt>
                <c:pt idx="156">
                  <c:v>20.172597267058393</c:v>
                </c:pt>
                <c:pt idx="157">
                  <c:v>20.522438779885146</c:v>
                </c:pt>
                <c:pt idx="158">
                  <c:v>20.875833883615876</c:v>
                </c:pt>
                <c:pt idx="159">
                  <c:v>21.232791618184091</c:v>
                </c:pt>
                <c:pt idx="160">
                  <c:v>21.593320958998344</c:v>
                </c:pt>
                <c:pt idx="161">
                  <c:v>21.957430818371066</c:v>
                </c:pt>
                <c:pt idx="162">
                  <c:v>22.325130046927061</c:v>
                </c:pt>
                <c:pt idx="163">
                  <c:v>22.696427434991939</c:v>
                </c:pt>
                <c:pt idx="164">
                  <c:v>23.071331713960738</c:v>
                </c:pt>
                <c:pt idx="165">
                  <c:v>23.449851557646987</c:v>
                </c:pt>
                <c:pt idx="166">
                  <c:v>23.831995583612454</c:v>
                </c:pt>
                <c:pt idx="167">
                  <c:v>24.217772354477866</c:v>
                </c:pt>
                <c:pt idx="168">
                  <c:v>24.607190379214821</c:v>
                </c:pt>
                <c:pt idx="169">
                  <c:v>25.000258114419157</c:v>
                </c:pt>
                <c:pt idx="170">
                  <c:v>25.396983965566037</c:v>
                </c:pt>
                <c:pt idx="171">
                  <c:v>25.797376288246983</c:v>
                </c:pt>
                <c:pt idx="172">
                  <c:v>26.201443389389127</c:v>
                </c:pt>
                <c:pt idx="173">
                  <c:v>26.60919352845691</c:v>
                </c:pt>
                <c:pt idx="174">
                  <c:v>27.020634918636468</c:v>
                </c:pt>
                <c:pt idx="175">
                  <c:v>27.435775728002991</c:v>
                </c:pt>
                <c:pt idx="176">
                  <c:v>27.854624080671218</c:v>
                </c:pt>
                <c:pt idx="177">
                  <c:v>28.277188057929411</c:v>
                </c:pt>
                <c:pt idx="178">
                  <c:v>28.703475699356936</c:v>
                </c:pt>
                <c:pt idx="179">
                  <c:v>29.133495003925763</c:v>
                </c:pt>
                <c:pt idx="180">
                  <c:v>29.56725393108611</c:v>
                </c:pt>
                <c:pt idx="181">
                  <c:v>30.004760401836407</c:v>
                </c:pt>
                <c:pt idx="182">
                  <c:v>30.446022299777884</c:v>
                </c:pt>
                <c:pt idx="183">
                  <c:v>30.89104747215395</c:v>
                </c:pt>
                <c:pt idx="184">
                  <c:v>31.33984373087462</c:v>
                </c:pt>
                <c:pt idx="185">
                  <c:v>31.792418853526179</c:v>
                </c:pt>
                <c:pt idx="186">
                  <c:v>32.248780584366365</c:v>
                </c:pt>
                <c:pt idx="187">
                  <c:v>32.708936635305214</c:v>
                </c:pt>
                <c:pt idx="188">
                  <c:v>33.172894686871814</c:v>
                </c:pt>
                <c:pt idx="189">
                  <c:v>33.640662389167169</c:v>
                </c:pt>
                <c:pt idx="190">
                  <c:v>34.112247362803444</c:v>
                </c:pt>
                <c:pt idx="191">
                  <c:v>34.587657199829657</c:v>
                </c:pt>
                <c:pt idx="192">
                  <c:v>35.066899464644202</c:v>
                </c:pt>
                <c:pt idx="193">
                  <c:v>35.549981694894228</c:v>
                </c:pt>
                <c:pt idx="194">
                  <c:v>36.036911402362207</c:v>
                </c:pt>
                <c:pt idx="195">
                  <c:v>36.52769607383982</c:v>
                </c:pt>
                <c:pt idx="196">
                  <c:v>37.022343171989334</c:v>
                </c:pt>
                <c:pt idx="197">
                  <c:v>37.52086013619278</c:v>
                </c:pt>
                <c:pt idx="198">
                  <c:v>38.023254383388938</c:v>
                </c:pt>
                <c:pt idx="199">
                  <c:v>38.529533308898465</c:v>
                </c:pt>
                <c:pt idx="200">
                  <c:v>39.039704287237292</c:v>
                </c:pt>
                <c:pt idx="201">
                  <c:v>39.553774672918472</c:v>
                </c:pt>
                <c:pt idx="202">
                  <c:v>40.07175180124262</c:v>
                </c:pt>
                <c:pt idx="203">
                  <c:v>40.593642989077217</c:v>
                </c:pt>
                <c:pt idx="204">
                  <c:v>41.119455535624851</c:v>
                </c:pt>
                <c:pt idx="205">
                  <c:v>41.649196723180602</c:v>
                </c:pt>
                <c:pt idx="206">
                  <c:v>42.182873817878786</c:v>
                </c:pt>
                <c:pt idx="207">
                  <c:v>42.720494070429098</c:v>
                </c:pt>
                <c:pt idx="208">
                  <c:v>43.262064716842495</c:v>
                </c:pt>
                <c:pt idx="209">
                  <c:v>43.80759297914679</c:v>
                </c:pt>
                <c:pt idx="210">
                  <c:v>44.357086066092272</c:v>
                </c:pt>
                <c:pt idx="211">
                  <c:v>44.910551173847367</c:v>
                </c:pt>
                <c:pt idx="212">
                  <c:v>45.46799548668465</c:v>
                </c:pt>
                <c:pt idx="213">
                  <c:v>46.029426177657228</c:v>
                </c:pt>
                <c:pt idx="214">
                  <c:v>46.594850409265661</c:v>
                </c:pt>
                <c:pt idx="215">
                  <c:v>47.164275334115636</c:v>
                </c:pt>
                <c:pt idx="216">
                  <c:v>47.737708095566475</c:v>
                </c:pt>
                <c:pt idx="217">
                  <c:v>48.315155828370663</c:v>
                </c:pt>
                <c:pt idx="218">
                  <c:v>48.896625659304441</c:v>
                </c:pt>
                <c:pt idx="219">
                  <c:v>49.48212470778973</c:v>
                </c:pt>
                <c:pt idx="220">
                  <c:v>50.07166008650745</c:v>
                </c:pt>
                <c:pt idx="221">
                  <c:v>50.665238902002343</c:v>
                </c:pt>
                <c:pt idx="222">
                  <c:v>51.262868255279464</c:v>
                </c:pt>
                <c:pt idx="223">
                  <c:v>51.864555242392512</c:v>
                </c:pt>
                <c:pt idx="224">
                  <c:v>52.470306955023993</c:v>
                </c:pt>
                <c:pt idx="225">
                  <c:v>53.080130481057523</c:v>
                </c:pt>
                <c:pt idx="226">
                  <c:v>53.69403290514218</c:v>
                </c:pt>
                <c:pt idx="227">
                  <c:v>54.312021309249232</c:v>
                </c:pt>
                <c:pt idx="228">
                  <c:v>54.934102773221227</c:v>
                </c:pt>
                <c:pt idx="229">
                  <c:v>55.560284375313564</c:v>
                </c:pt>
                <c:pt idx="230">
                  <c:v>56.19057319272877</c:v>
                </c:pt>
                <c:pt idx="231">
                  <c:v>56.824976302143398</c:v>
                </c:pt>
                <c:pt idx="232">
                  <c:v>57.463500780227875</c:v>
                </c:pt>
                <c:pt idx="233">
                  <c:v>58.106153704159283</c:v>
                </c:pt>
                <c:pt idx="234">
                  <c:v>58.752942152127112</c:v>
                </c:pt>
                <c:pt idx="235">
                  <c:v>59.403873203832319</c:v>
                </c:pt>
                <c:pt idx="236">
                  <c:v>60.058953940979542</c:v>
                </c:pt>
                <c:pt idx="237">
                  <c:v>60.718191447762685</c:v>
                </c:pt>
                <c:pt idx="238">
                  <c:v>61.381592811344063</c:v>
                </c:pt>
                <c:pt idx="239">
                  <c:v>62.049165122326968</c:v>
                </c:pt>
                <c:pt idx="240">
                  <c:v>62.720915475222007</c:v>
                </c:pt>
                <c:pt idx="241">
                  <c:v>63.396850968907117</c:v>
                </c:pt>
                <c:pt idx="242">
                  <c:v>64.076978707081437</c:v>
                </c:pt>
                <c:pt idx="243">
                  <c:v>64.761305798713153</c:v>
                </c:pt>
                <c:pt idx="244">
                  <c:v>65.449839358481256</c:v>
                </c:pt>
                <c:pt idx="245">
                  <c:v>66.142586507211519</c:v>
                </c:pt>
                <c:pt idx="246">
                  <c:v>66.83955437230658</c:v>
                </c:pt>
                <c:pt idx="247">
                  <c:v>67.540750088170356</c:v>
                </c:pt>
                <c:pt idx="248">
                  <c:v>68.246180796626788</c:v>
                </c:pt>
                <c:pt idx="249">
                  <c:v>68.955853647332972</c:v>
                </c:pt>
                <c:pt idx="250">
                  <c:v>69.669775798186862</c:v>
                </c:pt>
                <c:pt idx="251">
                  <c:v>70.387954415729595</c:v>
                </c:pt>
                <c:pt idx="252">
                  <c:v>71.110396675542376</c:v>
                </c:pt>
                <c:pt idx="253">
                  <c:v>71.837109762638192</c:v>
                </c:pt>
                <c:pt idx="254">
                  <c:v>72.568100871848344</c:v>
                </c:pt>
                <c:pt idx="255">
                  <c:v>73.303377208203756</c:v>
                </c:pt>
                <c:pt idx="256">
                  <c:v>74.042945987311398</c:v>
                </c:pt>
                <c:pt idx="257">
                  <c:v>74.786814435725589</c:v>
                </c:pt>
                <c:pt idx="258">
                  <c:v>75.534989791314558</c:v>
                </c:pt>
                <c:pt idx="259">
                  <c:v>76.287479303621922</c:v>
                </c:pt>
                <c:pt idx="260">
                  <c:v>77.044290234223681</c:v>
                </c:pt>
                <c:pt idx="261">
                  <c:v>77.80542985708027</c:v>
                </c:pt>
                <c:pt idx="262">
                  <c:v>78.570905458884056</c:v>
                </c:pt>
                <c:pt idx="263">
                  <c:v>79.340724339402271</c:v>
                </c:pt>
                <c:pt idx="264">
                  <c:v>80.114893811815364</c:v>
                </c:pt>
                <c:pt idx="265">
                  <c:v>80.893421203050906</c:v>
                </c:pt>
                <c:pt idx="266">
                  <c:v>81.676313854113118</c:v>
                </c:pt>
                <c:pt idx="267">
                  <c:v>82.463579120407985</c:v>
                </c:pt>
                <c:pt idx="268">
                  <c:v>83.255224372064092</c:v>
                </c:pt>
                <c:pt idx="269">
                  <c:v>84.0512569942493</c:v>
                </c:pt>
                <c:pt idx="270">
                  <c:v>84.851684387483033</c:v>
                </c:pt>
                <c:pt idx="271">
                  <c:v>85.656513967944719</c:v>
                </c:pt>
                <c:pt idx="272">
                  <c:v>86.465753167777819</c:v>
                </c:pt>
                <c:pt idx="273">
                  <c:v>87.279409435390079</c:v>
                </c:pt>
                <c:pt idx="274">
                  <c:v>88.097490235749675</c:v>
                </c:pt>
                <c:pt idx="275">
                  <c:v>88.920003050677437</c:v>
                </c:pt>
                <c:pt idx="276">
                  <c:v>89.746955379135159</c:v>
                </c:pt>
                <c:pt idx="277">
                  <c:v>90.578354737510168</c:v>
                </c:pt>
                <c:pt idx="278">
                  <c:v>91.414208659895863</c:v>
                </c:pt>
                <c:pt idx="279">
                  <c:v>92.254524698368797</c:v>
                </c:pt>
                <c:pt idx="280">
                  <c:v>93.099310423261826</c:v>
                </c:pt>
                <c:pt idx="281">
                  <c:v>93.948573423433615</c:v>
                </c:pt>
                <c:pt idx="282">
                  <c:v>94.802321306534623</c:v>
                </c:pt>
                <c:pt idx="283">
                  <c:v>95.66056169926938</c:v>
                </c:pt>
                <c:pt idx="284">
                  <c:v>96.523302247655266</c:v>
                </c:pt>
                <c:pt idx="285">
                  <c:v>97.390550617277796</c:v>
                </c:pt>
                <c:pt idx="286">
                  <c:v>98.262314493542334</c:v>
                </c:pt>
                <c:pt idx="287">
                  <c:v>99.138601581922487</c:v>
                </c:pt>
                <c:pt idx="288">
                  <c:v>100.01941960820506</c:v>
                </c:pt>
                <c:pt idx="289">
                  <c:v>100.90477631873162</c:v>
                </c:pt>
                <c:pt idx="290">
                  <c:v>101.79467948063667</c:v>
                </c:pt>
                <c:pt idx="291">
                  <c:v>102.68913688208271</c:v>
                </c:pt>
                <c:pt idx="292">
                  <c:v>103.58815633249179</c:v>
                </c:pt>
                <c:pt idx="293">
                  <c:v>104.49174566277406</c:v>
                </c:pt>
                <c:pt idx="294">
                  <c:v>105.39991272555292</c:v>
                </c:pt>
                <c:pt idx="295">
                  <c:v>106.3126653953871</c:v>
                </c:pt>
                <c:pt idx="296">
                  <c:v>107.23001156898961</c:v>
                </c:pt>
                <c:pt idx="297">
                  <c:v>108.15195916544347</c:v>
                </c:pt>
                <c:pt idx="298">
                  <c:v>109.07851612641454</c:v>
                </c:pt>
                <c:pt idx="299">
                  <c:v>110.00969041636102</c:v>
                </c:pt>
                <c:pt idx="300">
                  <c:v>110.9454900227402</c:v>
                </c:pt>
                <c:pt idx="301">
                  <c:v>111.88592295621194</c:v>
                </c:pt>
                <c:pt idx="302">
                  <c:v>112.83099725083945</c:v>
                </c:pt>
                <c:pt idx="303">
                  <c:v>113.78072096428677</c:v>
                </c:pt>
                <c:pt idx="304">
                  <c:v>114.73510217801366</c:v>
                </c:pt>
                <c:pt idx="305">
                  <c:v>115.69414899746737</c:v>
                </c:pt>
                <c:pt idx="306">
                  <c:v>116.65786955227146</c:v>
                </c:pt>
                <c:pt idx="307">
                  <c:v>117.62627199641207</c:v>
                </c:pt>
                <c:pt idx="308">
                  <c:v>118.59936450842092</c:v>
                </c:pt>
                <c:pt idx="309">
                  <c:v>119.57715529155578</c:v>
                </c:pt>
                <c:pt idx="310">
                  <c:v>120.55965257397811</c:v>
                </c:pt>
                <c:pt idx="311">
                  <c:v>121.54686460892772</c:v>
                </c:pt>
                <c:pt idx="312">
                  <c:v>122.53879967489488</c:v>
                </c:pt>
                <c:pt idx="313">
                  <c:v>123.53546607578956</c:v>
                </c:pt>
                <c:pt idx="314">
                  <c:v>124.53687214110798</c:v>
                </c:pt>
                <c:pt idx="315">
                  <c:v>125.54302622609633</c:v>
                </c:pt>
                <c:pt idx="316">
                  <c:v>126.55393671191204</c:v>
                </c:pt>
                <c:pt idx="317">
                  <c:v>127.56961200578206</c:v>
                </c:pt>
                <c:pt idx="318">
                  <c:v>128.59006054115866</c:v>
                </c:pt>
                <c:pt idx="319">
                  <c:v>129.61529077787256</c:v>
                </c:pt>
                <c:pt idx="320">
                  <c:v>130.6453112022833</c:v>
                </c:pt>
                <c:pt idx="321">
                  <c:v>131.68013032742715</c:v>
                </c:pt>
                <c:pt idx="322">
                  <c:v>132.71975669316222</c:v>
                </c:pt>
                <c:pt idx="323">
                  <c:v>133.76419886631115</c:v>
                </c:pt>
                <c:pt idx="324">
                  <c:v>134.813465440801</c:v>
                </c:pt>
                <c:pt idx="325">
                  <c:v>135.86756503780072</c:v>
                </c:pt>
                <c:pt idx="326">
                  <c:v>136.92650630585601</c:v>
                </c:pt>
                <c:pt idx="327">
                  <c:v>137.99029792102155</c:v>
                </c:pt>
                <c:pt idx="328">
                  <c:v>139.05894858699077</c:v>
                </c:pt>
                <c:pt idx="329">
                  <c:v>140.13246703522293</c:v>
                </c:pt>
                <c:pt idx="330">
                  <c:v>141.21086202506791</c:v>
                </c:pt>
                <c:pt idx="331">
                  <c:v>142.29414234388815</c:v>
                </c:pt>
                <c:pt idx="332">
                  <c:v>143.38231680717837</c:v>
                </c:pt>
                <c:pt idx="333">
                  <c:v>144.47539425868257</c:v>
                </c:pt>
                <c:pt idx="334">
                  <c:v>145.57338357050853</c:v>
                </c:pt>
                <c:pt idx="335">
                  <c:v>146.67629364324009</c:v>
                </c:pt>
                <c:pt idx="336">
                  <c:v>147.78413340604641</c:v>
                </c:pt>
                <c:pt idx="337">
                  <c:v>148.89691181678921</c:v>
                </c:pt>
                <c:pt idx="338">
                  <c:v>150.01463786212736</c:v>
                </c:pt>
                <c:pt idx="339">
                  <c:v>151.13732055761886</c:v>
                </c:pt>
                <c:pt idx="340">
                  <c:v>152.26496894782051</c:v>
                </c:pt>
                <c:pt idx="341">
                  <c:v>153.39759210638505</c:v>
                </c:pt>
                <c:pt idx="342">
                  <c:v>154.53519913615571</c:v>
                </c:pt>
                <c:pt idx="343">
                  <c:v>155.67779916925858</c:v>
                </c:pt>
                <c:pt idx="344">
                  <c:v>156.82540136719203</c:v>
                </c:pt>
                <c:pt idx="345">
                  <c:v>157.97801492091426</c:v>
                </c:pt>
                <c:pt idx="346">
                  <c:v>159.13564905092775</c:v>
                </c:pt>
                <c:pt idx="347">
                  <c:v>160.29831300736174</c:v>
                </c:pt>
                <c:pt idx="348">
                  <c:v>161.46601607005198</c:v>
                </c:pt>
                <c:pt idx="349">
                  <c:v>162.63876754861806</c:v>
                </c:pt>
                <c:pt idx="350">
                  <c:v>163.81657678253822</c:v>
                </c:pt>
                <c:pt idx="351">
                  <c:v>164.99945314122189</c:v>
                </c:pt>
                <c:pt idx="352">
                  <c:v>166.18740602407951</c:v>
                </c:pt>
                <c:pt idx="353">
                  <c:v>167.3804448605899</c:v>
                </c:pt>
                <c:pt idx="354">
                  <c:v>168.57857911036527</c:v>
                </c:pt>
                <c:pt idx="355">
                  <c:v>169.78181826321375</c:v>
                </c:pt>
                <c:pt idx="356">
                  <c:v>170.99017183919929</c:v>
                </c:pt>
                <c:pt idx="357">
                  <c:v>172.20364938869906</c:v>
                </c:pt>
                <c:pt idx="358">
                  <c:v>173.42226049245858</c:v>
                </c:pt>
                <c:pt idx="359">
                  <c:v>174.64601476164415</c:v>
                </c:pt>
                <c:pt idx="360">
                  <c:v>175.87492183789274</c:v>
                </c:pt>
                <c:pt idx="361">
                  <c:v>177.1089913933595</c:v>
                </c:pt>
                <c:pt idx="362">
                  <c:v>178.34823313076274</c:v>
                </c:pt>
                <c:pt idx="363">
                  <c:v>179.59265678342624</c:v>
                </c:pt>
                <c:pt idx="364">
                  <c:v>180.84227211531922</c:v>
                </c:pt>
                <c:pt idx="365">
                  <c:v>182.09708892109356</c:v>
                </c:pt>
                <c:pt idx="366">
                  <c:v>183.35711702611871</c:v>
                </c:pt>
                <c:pt idx="367">
                  <c:v>184.6223662865138</c:v>
                </c:pt>
                <c:pt idx="368">
                  <c:v>185.89284658917734</c:v>
                </c:pt>
                <c:pt idx="369">
                  <c:v>187.16856785181432</c:v>
                </c:pt>
                <c:pt idx="370">
                  <c:v>188.44954002296069</c:v>
                </c:pt>
                <c:pt idx="371">
                  <c:v>189.73577308200524</c:v>
                </c:pt>
                <c:pt idx="372">
                  <c:v>191.02727703920897</c:v>
                </c:pt>
                <c:pt idx="373">
                  <c:v>192.32406193572172</c:v>
                </c:pt>
                <c:pt idx="374">
                  <c:v>193.62613784359627</c:v>
                </c:pt>
                <c:pt idx="375">
                  <c:v>194.93351486579971</c:v>
                </c:pt>
                <c:pt idx="376">
                  <c:v>196.24620313622233</c:v>
                </c:pt>
                <c:pt idx="377">
                  <c:v>197.5642128196836</c:v>
                </c:pt>
                <c:pt idx="378">
                  <c:v>198.88755411193571</c:v>
                </c:pt>
                <c:pt idx="379">
                  <c:v>200.21623723966437</c:v>
                </c:pt>
                <c:pt idx="380">
                  <c:v>201.55027246048672</c:v>
                </c:pt>
                <c:pt idx="381">
                  <c:v>202.88967006294689</c:v>
                </c:pt>
                <c:pt idx="382">
                  <c:v>204.23444036650847</c:v>
                </c:pt>
                <c:pt idx="383">
                  <c:v>205.58459372154451</c:v>
                </c:pt>
                <c:pt idx="384">
                  <c:v>206.94014050932461</c:v>
                </c:pt>
                <c:pt idx="385">
                  <c:v>208.30109114199931</c:v>
                </c:pt>
                <c:pt idx="386">
                  <c:v>209.66745606258172</c:v>
                </c:pt>
                <c:pt idx="387">
                  <c:v>211.03924574492618</c:v>
                </c:pt>
                <c:pt idx="388">
                  <c:v>212.41647069370444</c:v>
                </c:pt>
                <c:pt idx="389">
                  <c:v>213.79914144437868</c:v>
                </c:pt>
                <c:pt idx="390">
                  <c:v>215.18726856317184</c:v>
                </c:pt>
                <c:pt idx="391">
                  <c:v>216.5808626470351</c:v>
                </c:pt>
                <c:pt idx="392">
                  <c:v>217.97993432361238</c:v>
                </c:pt>
                <c:pt idx="393">
                  <c:v>219.38449425120211</c:v>
                </c:pt>
                <c:pt idx="394">
                  <c:v>220.79455311871581</c:v>
                </c:pt>
                <c:pt idx="395">
                  <c:v>222.21012164563413</c:v>
                </c:pt>
                <c:pt idx="396">
                  <c:v>223.63121058195946</c:v>
                </c:pt>
                <c:pt idx="397">
                  <c:v>225.05783070816608</c:v>
                </c:pt>
                <c:pt idx="398">
                  <c:v>226.48999283514686</c:v>
                </c:pt>
                <c:pt idx="399">
                  <c:v>227.92770780415728</c:v>
                </c:pt>
                <c:pt idx="400">
                  <c:v>229.37098648675621</c:v>
                </c:pt>
                <c:pt idx="401">
                  <c:v>230.81983978474378</c:v>
                </c:pt>
                <c:pt idx="402">
                  <c:v>232.27427863009612</c:v>
                </c:pt>
                <c:pt idx="403">
                  <c:v>233.73431398489697</c:v>
                </c:pt>
                <c:pt idx="404">
                  <c:v>235.19995684126621</c:v>
                </c:pt>
                <c:pt idx="405">
                  <c:v>236.67121822128544</c:v>
                </c:pt>
                <c:pt idx="406">
                  <c:v>238.14810917691997</c:v>
                </c:pt>
                <c:pt idx="407">
                  <c:v>239.63064078993807</c:v>
                </c:pt>
                <c:pt idx="408">
                  <c:v>241.11882417182682</c:v>
                </c:pt>
                <c:pt idx="409">
                  <c:v>242.61267046370475</c:v>
                </c:pt>
                <c:pt idx="410">
                  <c:v>244.11219083623118</c:v>
                </c:pt>
                <c:pt idx="411">
                  <c:v>245.61739648951249</c:v>
                </c:pt>
                <c:pt idx="412">
                  <c:v>247.12829865300492</c:v>
                </c:pt>
                <c:pt idx="413">
                  <c:v>248.64490858541402</c:v>
                </c:pt>
                <c:pt idx="414">
                  <c:v>250.16723757459098</c:v>
                </c:pt>
                <c:pt idx="415">
                  <c:v>251.69529693742533</c:v>
                </c:pt>
                <c:pt idx="416">
                  <c:v>253.22909801973447</c:v>
                </c:pt>
                <c:pt idx="417">
                  <c:v>254.76865219614965</c:v>
                </c:pt>
                <c:pt idx="418">
                  <c:v>256.31397086999857</c:v>
                </c:pt>
                <c:pt idx="419">
                  <c:v>257.86506547318447</c:v>
                </c:pt>
                <c:pt idx="420">
                  <c:v>259.42194746606191</c:v>
                </c:pt>
                <c:pt idx="421">
                  <c:v>260.98462833730855</c:v>
                </c:pt>
                <c:pt idx="422">
                  <c:v>262.55311960379407</c:v>
                </c:pt>
                <c:pt idx="423">
                  <c:v>264.12743281044504</c:v>
                </c:pt>
                <c:pt idx="424">
                  <c:v>265.70757953010616</c:v>
                </c:pt>
                <c:pt idx="425">
                  <c:v>267.29357136339826</c:v>
                </c:pt>
                <c:pt idx="426">
                  <c:v>268.8854199385724</c:v>
                </c:pt>
                <c:pt idx="427">
                  <c:v>270.48313691136008</c:v>
                </c:pt>
                <c:pt idx="428">
                  <c:v>272.08673396482027</c:v>
                </c:pt>
                <c:pt idx="429">
                  <c:v>273.69622280918219</c:v>
                </c:pt>
                <c:pt idx="430">
                  <c:v>275.31161518168466</c:v>
                </c:pt>
                <c:pt idx="431">
                  <c:v>276.93292284641149</c:v>
                </c:pt>
                <c:pt idx="432">
                  <c:v>278.56015759412304</c:v>
                </c:pt>
                <c:pt idx="433">
                  <c:v>280.19333124208407</c:v>
                </c:pt>
                <c:pt idx="434">
                  <c:v>281.83245563388772</c:v>
                </c:pt>
                <c:pt idx="435">
                  <c:v>283.4775426392751</c:v>
                </c:pt>
                <c:pt idx="436">
                  <c:v>285.12860415395158</c:v>
                </c:pt>
                <c:pt idx="437">
                  <c:v>286.78565209939887</c:v>
                </c:pt>
                <c:pt idx="438">
                  <c:v>288.44869842268304</c:v>
                </c:pt>
                <c:pt idx="439">
                  <c:v>290.11775509625835</c:v>
                </c:pt>
                <c:pt idx="440">
                  <c:v>291.79283411776743</c:v>
                </c:pt>
                <c:pt idx="441">
                  <c:v>293.47394750983688</c:v>
                </c:pt>
                <c:pt idx="442">
                  <c:v>295.15506613396826</c:v>
                </c:pt>
                <c:pt idx="443">
                  <c:v>296.83618980682922</c:v>
                </c:pt>
                <c:pt idx="444">
                  <c:v>298.51731834507945</c:v>
                </c:pt>
                <c:pt idx="445">
                  <c:v>300.19845156537076</c:v>
                </c:pt>
                <c:pt idx="446">
                  <c:v>301.87958928434762</c:v>
                </c:pt>
                <c:pt idx="447">
                  <c:v>303.56073131864707</c:v>
                </c:pt>
                <c:pt idx="448">
                  <c:v>305.24187748489948</c:v>
                </c:pt>
                <c:pt idx="449">
                  <c:v>306.9230275997283</c:v>
                </c:pt>
                <c:pt idx="450">
                  <c:v>308.60418147975071</c:v>
                </c:pt>
                <c:pt idx="451">
                  <c:v>310.28533894157789</c:v>
                </c:pt>
                <c:pt idx="452">
                  <c:v>311.96649980181502</c:v>
                </c:pt>
                <c:pt idx="453">
                  <c:v>313.64766387706186</c:v>
                </c:pt>
                <c:pt idx="454">
                  <c:v>315.32883098391289</c:v>
                </c:pt>
                <c:pt idx="455">
                  <c:v>317.01000093895772</c:v>
                </c:pt>
                <c:pt idx="456">
                  <c:v>318.69117355878109</c:v>
                </c:pt>
                <c:pt idx="457">
                  <c:v>320.37234865996345</c:v>
                </c:pt>
                <c:pt idx="458">
                  <c:v>322.05352605908115</c:v>
                </c:pt>
                <c:pt idx="459">
                  <c:v>323.73470557270662</c:v>
                </c:pt>
                <c:pt idx="460">
                  <c:v>325.41588701740869</c:v>
                </c:pt>
                <c:pt idx="461">
                  <c:v>327.09707020975304</c:v>
                </c:pt>
                <c:pt idx="462">
                  <c:v>328.77825496630231</c:v>
                </c:pt>
                <c:pt idx="463">
                  <c:v>330.45944110361631</c:v>
                </c:pt>
                <c:pt idx="464">
                  <c:v>332.14062843825252</c:v>
                </c:pt>
                <c:pt idx="465">
                  <c:v>333.82181678676631</c:v>
                </c:pt>
                <c:pt idx="466">
                  <c:v>335.50300596571094</c:v>
                </c:pt>
                <c:pt idx="467">
                  <c:v>337.18419579163839</c:v>
                </c:pt>
                <c:pt idx="468">
                  <c:v>338.86538608109902</c:v>
                </c:pt>
                <c:pt idx="469">
                  <c:v>340.54657665064246</c:v>
                </c:pt>
                <c:pt idx="470">
                  <c:v>342.22776731681728</c:v>
                </c:pt>
                <c:pt idx="471">
                  <c:v>343.90895789617196</c:v>
                </c:pt>
                <c:pt idx="472">
                  <c:v>345.59014820525442</c:v>
                </c:pt>
                <c:pt idx="473">
                  <c:v>347.27133806061278</c:v>
                </c:pt>
                <c:pt idx="474">
                  <c:v>348.95252727879574</c:v>
                </c:pt>
                <c:pt idx="475">
                  <c:v>350.63371567635232</c:v>
                </c:pt>
                <c:pt idx="476">
                  <c:v>352.31490306983278</c:v>
                </c:pt>
                <c:pt idx="477">
                  <c:v>353.99608927578845</c:v>
                </c:pt>
                <c:pt idx="478">
                  <c:v>355.6772741107722</c:v>
                </c:pt>
                <c:pt idx="479">
                  <c:v>357.35845739133862</c:v>
                </c:pt>
                <c:pt idx="480">
                  <c:v>359.03963893404443</c:v>
                </c:pt>
                <c:pt idx="481">
                  <c:v>360.72081855544872</c:v>
                </c:pt>
                <c:pt idx="482">
                  <c:v>362.40199607211309</c:v>
                </c:pt>
                <c:pt idx="483">
                  <c:v>364.0831713006022</c:v>
                </c:pt>
                <c:pt idx="484">
                  <c:v>365.76434405748375</c:v>
                </c:pt>
                <c:pt idx="485">
                  <c:v>367.44551415932904</c:v>
                </c:pt>
                <c:pt idx="486">
                  <c:v>369.12668142271303</c:v>
                </c:pt>
                <c:pt idx="487">
                  <c:v>370.80784566421471</c:v>
                </c:pt>
                <c:pt idx="488">
                  <c:v>372.48900670041735</c:v>
                </c:pt>
                <c:pt idx="489">
                  <c:v>374.17016434790906</c:v>
                </c:pt>
              </c:numCache>
            </c:numRef>
          </c:cat>
          <c:val>
            <c:numRef>
              <c:f>'Problem 1'!$O$13:$O$502</c:f>
              <c:numCache>
                <c:formatCode>General</c:formatCode>
                <c:ptCount val="490"/>
                <c:pt idx="0">
                  <c:v>0</c:v>
                </c:pt>
                <c:pt idx="1">
                  <c:v>0.16379536987322174</c:v>
                </c:pt>
                <c:pt idx="2">
                  <c:v>0.4917346751842116</c:v>
                </c:pt>
                <c:pt idx="3">
                  <c:v>0.9841675325142859</c:v>
                </c:pt>
                <c:pt idx="4">
                  <c:v>1.6414446125033735</c:v>
                </c:pt>
                <c:pt idx="5">
                  <c:v>2.4639176429014764</c:v>
                </c:pt>
                <c:pt idx="6">
                  <c:v>3.4519394116297946</c:v>
                </c:pt>
                <c:pt idx="7">
                  <c:v>4.6058637698515543</c:v>
                </c:pt>
                <c:pt idx="8">
                  <c:v>5.926045635052585</c:v>
                </c:pt>
                <c:pt idx="9">
                  <c:v>7.4128409941316828</c:v>
                </c:pt>
                <c:pt idx="10">
                  <c:v>9.0666069065008195</c:v>
                </c:pt>
                <c:pt idx="11">
                  <c:v>10.871946819589835</c:v>
                </c:pt>
                <c:pt idx="12">
                  <c:v>12.841730238941995</c:v>
                </c:pt>
                <c:pt idx="13">
                  <c:v>14.975754358765348</c:v>
                </c:pt>
                <c:pt idx="14">
                  <c:v>17.273774844963746</c:v>
                </c:pt>
                <c:pt idx="15">
                  <c:v>19.735506414571709</c:v>
                </c:pt>
                <c:pt idx="16">
                  <c:v>22.360623432676562</c:v>
                </c:pt>
                <c:pt idx="17">
                  <c:v>25.14876052629204</c:v>
                </c:pt>
                <c:pt idx="18">
                  <c:v>28.099513214520027</c:v>
                </c:pt>
                <c:pt idx="19">
                  <c:v>31.212438554240304</c:v>
                </c:pt>
                <c:pt idx="20">
                  <c:v>34.487055800494552</c:v>
                </c:pt>
                <c:pt idx="21">
                  <c:v>37.922847080675062</c:v>
                </c:pt>
                <c:pt idx="22">
                  <c:v>41.519258081586898</c:v>
                </c:pt>
                <c:pt idx="23">
                  <c:v>45.275698748421938</c:v>
                </c:pt>
                <c:pt idx="24">
                  <c:v>49.191543994662467</c:v>
                </c:pt>
                <c:pt idx="25">
                  <c:v>53.266134421918913</c:v>
                </c:pt>
                <c:pt idx="26">
                  <c:v>57.498777048699935</c:v>
                </c:pt>
                <c:pt idx="27">
                  <c:v>61.888746047112704</c:v>
                </c:pt>
                <c:pt idx="28">
                  <c:v>66.435283486495308</c:v>
                </c:pt>
                <c:pt idx="29">
                  <c:v>71.13760008299208</c:v>
                </c:pt>
                <c:pt idx="30">
                  <c:v>75.994875954095306</c:v>
                </c:pt>
                <c:pt idx="31">
                  <c:v>81.006261377192089</c:v>
                </c:pt>
                <c:pt idx="32">
                  <c:v>86.170877551174343</c:v>
                </c:pt>
                <c:pt idx="33">
                  <c:v>91.487817360191144</c:v>
                </c:pt>
                <c:pt idx="34">
                  <c:v>96.956146138645835</c:v>
                </c:pt>
                <c:pt idx="35">
                  <c:v>102.57490243656598</c:v>
                </c:pt>
                <c:pt idx="36">
                  <c:v>108.34309878450156</c:v>
                </c:pt>
                <c:pt idx="37">
                  <c:v>114.25972245713504</c:v>
                </c:pt>
                <c:pt idx="38">
                  <c:v>120.32373623481681</c:v>
                </c:pt>
                <c:pt idx="39">
                  <c:v>126.53407916227043</c:v>
                </c:pt>
                <c:pt idx="40">
                  <c:v>132.88966730374335</c:v>
                </c:pt>
                <c:pt idx="41">
                  <c:v>139.38939449391108</c:v>
                </c:pt>
                <c:pt idx="42">
                  <c:v>146.03213308387572</c:v>
                </c:pt>
                <c:pt idx="43">
                  <c:v>152.81673468163152</c:v>
                </c:pt>
                <c:pt idx="44">
                  <c:v>159.7420308864051</c:v>
                </c:pt>
                <c:pt idx="45">
                  <c:v>166.80683401630893</c:v>
                </c:pt>
                <c:pt idx="46">
                  <c:v>174.00993782878066</c:v>
                </c:pt>
                <c:pt idx="47">
                  <c:v>181.35011823331428</c:v>
                </c:pt>
                <c:pt idx="48">
                  <c:v>188.82613399601917</c:v>
                </c:pt>
                <c:pt idx="49">
                  <c:v>196.43672743557821</c:v>
                </c:pt>
                <c:pt idx="50">
                  <c:v>204.18062511020432</c:v>
                </c:pt>
                <c:pt idx="51">
                  <c:v>212.05653849522824</c:v>
                </c:pt>
                <c:pt idx="52">
                  <c:v>220.06316465097879</c:v>
                </c:pt>
                <c:pt idx="53">
                  <c:v>228.19918688064763</c:v>
                </c:pt>
                <c:pt idx="54">
                  <c:v>236.46327537785791</c:v>
                </c:pt>
                <c:pt idx="55">
                  <c:v>244.85408786368549</c:v>
                </c:pt>
                <c:pt idx="56">
                  <c:v>253.3702702129072</c:v>
                </c:pt>
                <c:pt idx="57">
                  <c:v>262.01045706927755</c:v>
                </c:pt>
                <c:pt idx="58">
                  <c:v>270.77327244966045</c:v>
                </c:pt>
                <c:pt idx="59">
                  <c:v>279.65733033686581</c:v>
                </c:pt>
                <c:pt idx="60">
                  <c:v>288.66123526106628</c:v>
                </c:pt>
                <c:pt idx="61">
                  <c:v>297.78358286968916</c:v>
                </c:pt>
                <c:pt idx="62">
                  <c:v>307.02296048570207</c:v>
                </c:pt>
                <c:pt idx="63">
                  <c:v>316.37794765423052</c:v>
                </c:pt>
                <c:pt idx="64">
                  <c:v>325.8471166774649</c:v>
                </c:pt>
                <c:pt idx="65">
                  <c:v>335.42903313783211</c:v>
                </c:pt>
                <c:pt idx="66">
                  <c:v>345.12225640942796</c:v>
                </c:pt>
                <c:pt idx="67">
                  <c:v>354.92534015771741</c:v>
                </c:pt>
                <c:pt idx="68">
                  <c:v>364.83683282753105</c:v>
                </c:pt>
                <c:pt idx="69">
                  <c:v>374.8552781193975</c:v>
                </c:pt>
                <c:pt idx="70">
                  <c:v>384.97921545426607</c:v>
                </c:pt>
                <c:pt idx="71">
                  <c:v>395.20718042668739</c:v>
                </c:pt>
                <c:pt idx="72">
                  <c:v>405.53770524653197</c:v>
                </c:pt>
                <c:pt idx="73">
                  <c:v>415.96931916933653</c:v>
                </c:pt>
                <c:pt idx="74">
                  <c:v>426.50054891538076</c:v>
                </c:pt>
                <c:pt idx="75">
                  <c:v>437.12991907760431</c:v>
                </c:pt>
                <c:pt idx="76">
                  <c:v>447.85595251848508</c:v>
                </c:pt>
                <c:pt idx="77">
                  <c:v>458.67717075600586</c:v>
                </c:pt>
                <c:pt idx="78">
                  <c:v>469.59209433884627</c:v>
                </c:pt>
                <c:pt idx="79">
                  <c:v>480.59924321094149</c:v>
                </c:pt>
                <c:pt idx="80">
                  <c:v>491.69713706555706</c:v>
                </c:pt>
                <c:pt idx="81">
                  <c:v>502.88429568903382</c:v>
                </c:pt>
                <c:pt idx="82">
                  <c:v>514.15923929436303</c:v>
                </c:pt>
                <c:pt idx="83">
                  <c:v>525.52048884475369</c:v>
                </c:pt>
                <c:pt idx="84">
                  <c:v>536.96656636736179</c:v>
                </c:pt>
                <c:pt idx="85">
                  <c:v>548.49599525735061</c:v>
                </c:pt>
                <c:pt idx="86">
                  <c:v>560.10730057245746</c:v>
                </c:pt>
                <c:pt idx="87">
                  <c:v>571.79900931824147</c:v>
                </c:pt>
                <c:pt idx="88">
                  <c:v>583.5696507241928</c:v>
                </c:pt>
                <c:pt idx="89">
                  <c:v>595.41775651088096</c:v>
                </c:pt>
                <c:pt idx="90">
                  <c:v>607.34186114832517</c:v>
                </c:pt>
                <c:pt idx="91">
                  <c:v>619.34050210576788</c:v>
                </c:pt>
                <c:pt idx="92">
                  <c:v>631.41222009303294</c:v>
                </c:pt>
                <c:pt idx="93">
                  <c:v>643.55555929365312</c:v>
                </c:pt>
                <c:pt idx="94">
                  <c:v>655.76906758994801</c:v>
                </c:pt>
                <c:pt idx="95">
                  <c:v>668.05129678023457</c:v>
                </c:pt>
                <c:pt idx="96">
                  <c:v>680.40080278835228</c:v>
                </c:pt>
                <c:pt idx="97">
                  <c:v>692.81614586568298</c:v>
                </c:pt>
                <c:pt idx="98">
                  <c:v>705.29589078584536</c:v>
                </c:pt>
                <c:pt idx="99">
                  <c:v>717.8386070322415</c:v>
                </c:pt>
                <c:pt idx="100">
                  <c:v>730.4428689786339</c:v>
                </c:pt>
                <c:pt idx="101">
                  <c:v>743.10725606292522</c:v>
                </c:pt>
                <c:pt idx="102">
                  <c:v>755.83035295431671</c:v>
                </c:pt>
                <c:pt idx="103">
                  <c:v>768.61074971401479</c:v>
                </c:pt>
                <c:pt idx="104">
                  <c:v>781.44704194965561</c:v>
                </c:pt>
                <c:pt idx="105">
                  <c:v>794.33783096361481</c:v>
                </c:pt>
                <c:pt idx="106">
                  <c:v>807.28172389536576</c:v>
                </c:pt>
                <c:pt idx="107">
                  <c:v>820.27733385805061</c:v>
                </c:pt>
                <c:pt idx="108">
                  <c:v>833.32328006942134</c:v>
                </c:pt>
                <c:pt idx="109">
                  <c:v>846.41818797731048</c:v>
                </c:pt>
                <c:pt idx="110">
                  <c:v>859.56068937978421</c:v>
                </c:pt>
                <c:pt idx="111">
                  <c:v>872.74942254013024</c:v>
                </c:pt>
                <c:pt idx="112">
                  <c:v>885.98303229683029</c:v>
                </c:pt>
                <c:pt idx="113">
                  <c:v>899.26017016866194</c:v>
                </c:pt>
                <c:pt idx="114">
                  <c:v>912.57949445507552</c:v>
                </c:pt>
                <c:pt idx="115">
                  <c:v>925.93967033198498</c:v>
                </c:pt>
                <c:pt idx="116">
                  <c:v>939.33936994311148</c:v>
                </c:pt>
                <c:pt idx="117">
                  <c:v>952.77727248701535</c:v>
                </c:pt>
                <c:pt idx="118">
                  <c:v>966.25206429994705</c:v>
                </c:pt>
                <c:pt idx="119">
                  <c:v>979.76243893464834</c:v>
                </c:pt>
                <c:pt idx="120">
                  <c:v>993.30709723522909</c:v>
                </c:pt>
                <c:pt idx="121">
                  <c:v>1006.884747408244</c:v>
                </c:pt>
                <c:pt idx="122">
                  <c:v>1020.4941050900903</c:v>
                </c:pt>
                <c:pt idx="123">
                  <c:v>1034.133893410843</c:v>
                </c:pt>
                <c:pt idx="124">
                  <c:v>1047.8028430546469</c:v>
                </c:pt>
                <c:pt idx="125">
                  <c:v>1061.4996923167714</c:v>
                </c:pt>
                <c:pt idx="126">
                  <c:v>1075.2231871574472</c:v>
                </c:pt>
                <c:pt idx="127">
                  <c:v>1088.9720812525816</c:v>
                </c:pt>
                <c:pt idx="128">
                  <c:v>1102.7451360414661</c:v>
                </c:pt>
                <c:pt idx="129">
                  <c:v>1116.541120771572</c:v>
                </c:pt>
                <c:pt idx="130">
                  <c:v>1130.3588125405365</c:v>
                </c:pt>
                <c:pt idx="131">
                  <c:v>1144.1969963354363</c:v>
                </c:pt>
                <c:pt idx="132">
                  <c:v>1158.054465069438</c:v>
                </c:pt>
                <c:pt idx="133">
                  <c:v>1171.9300196159254</c:v>
                </c:pt>
                <c:pt idx="134">
                  <c:v>1185.8224688401847</c:v>
                </c:pt>
                <c:pt idx="135">
                  <c:v>1199.7306296287406</c:v>
                </c:pt>
                <c:pt idx="136">
                  <c:v>1213.653326916424</c:v>
                </c:pt>
                <c:pt idx="137">
                  <c:v>1227.5893937112548</c:v>
                </c:pt>
                <c:pt idx="138">
                  <c:v>1241.5376711172216</c:v>
                </c:pt>
                <c:pt idx="139">
                  <c:v>1255.497008355032</c:v>
                </c:pt>
                <c:pt idx="140">
                  <c:v>1269.4662627809137</c:v>
                </c:pt>
                <c:pt idx="141">
                  <c:v>1283.4442999035355</c:v>
                </c:pt>
                <c:pt idx="142">
                  <c:v>1297.4299933991228</c:v>
                </c:pt>
                <c:pt idx="143">
                  <c:v>1311.4222251248357</c:v>
                </c:pt>
                <c:pt idx="144">
                  <c:v>1325.4198851304759</c:v>
                </c:pt>
                <c:pt idx="145">
                  <c:v>1339.4218716685905</c:v>
                </c:pt>
                <c:pt idx="146">
                  <c:v>1353.4270912030322</c:v>
                </c:pt>
                <c:pt idx="147">
                  <c:v>1367.4344584160422</c:v>
                </c:pt>
                <c:pt idx="148">
                  <c:v>1381.4428962139109</c:v>
                </c:pt>
                <c:pt idx="149">
                  <c:v>1395.4513357312776</c:v>
                </c:pt>
                <c:pt idx="150">
                  <c:v>1409.4587163341246</c:v>
                </c:pt>
                <c:pt idx="151">
                  <c:v>1423.4639856215188</c:v>
                </c:pt>
                <c:pt idx="152">
                  <c:v>1437.4660994261558</c:v>
                </c:pt>
                <c:pt idx="153">
                  <c:v>1451.4640218137565</c:v>
                </c:pt>
                <c:pt idx="154">
                  <c:v>1465.4567250813666</c:v>
                </c:pt>
                <c:pt idx="155">
                  <c:v>1479.4431897546058</c:v>
                </c:pt>
                <c:pt idx="156">
                  <c:v>1493.4224045839151</c:v>
                </c:pt>
                <c:pt idx="157">
                  <c:v>1507.3933665398474</c:v>
                </c:pt>
                <c:pt idx="158">
                  <c:v>1521.3550808074424</c:v>
                </c:pt>
                <c:pt idx="159">
                  <c:v>1535.3065607797328</c:v>
                </c:pt>
                <c:pt idx="160">
                  <c:v>1549.2468280504188</c:v>
                </c:pt>
                <c:pt idx="161">
                  <c:v>1563.1749124057537</c:v>
                </c:pt>
                <c:pt idx="162">
                  <c:v>1577.0898518156757</c:v>
                </c:pt>
                <c:pt idx="163">
                  <c:v>1590.9906924242282</c:v>
                </c:pt>
                <c:pt idx="164">
                  <c:v>1604.8764885393002</c:v>
                </c:pt>
                <c:pt idx="165">
                  <c:v>1618.7463026217226</c:v>
                </c:pt>
                <c:pt idx="166">
                  <c:v>1632.5992052737574</c:v>
                </c:pt>
                <c:pt idx="167">
                  <c:v>1646.4342752270081</c:v>
                </c:pt>
                <c:pt idx="168">
                  <c:v>1660.2505993297866</c:v>
                </c:pt>
                <c:pt idx="169">
                  <c:v>1674.0472725339641</c:v>
                </c:pt>
                <c:pt idx="170">
                  <c:v>1687.8233978813387</c:v>
                </c:pt>
                <c:pt idx="171">
                  <c:v>1701.5780864895455</c:v>
                </c:pt>
                <c:pt idx="172">
                  <c:v>1715.3104575375401</c:v>
                </c:pt>
                <c:pt idx="173">
                  <c:v>1729.0196382506776</c:v>
                </c:pt>
                <c:pt idx="174">
                  <c:v>1742.7047638854194</c:v>
                </c:pt>
                <c:pt idx="175">
                  <c:v>1756.3649777136857</c:v>
                </c:pt>
                <c:pt idx="176">
                  <c:v>1769.9994310068832</c:v>
                </c:pt>
                <c:pt idx="177">
                  <c:v>1783.607283019631</c:v>
                </c:pt>
                <c:pt idx="178">
                  <c:v>1797.1877009732016</c:v>
                </c:pt>
                <c:pt idx="179">
                  <c:v>1810.7398600387078</c:v>
                </c:pt>
                <c:pt idx="180">
                  <c:v>1824.2629433200486</c:v>
                </c:pt>
                <c:pt idx="181">
                  <c:v>1837.7561418366397</c:v>
                </c:pt>
                <c:pt idx="182">
                  <c:v>1851.2186545059437</c:v>
                </c:pt>
                <c:pt idx="183">
                  <c:v>1864.6496881258252</c:v>
                </c:pt>
                <c:pt idx="184">
                  <c:v>1878.0484573567414</c:v>
                </c:pt>
                <c:pt idx="185">
                  <c:v>1891.4141847037922</c:v>
                </c:pt>
                <c:pt idx="186">
                  <c:v>1904.7461004986449</c:v>
                </c:pt>
                <c:pt idx="187">
                  <c:v>1918.0434428813483</c:v>
                </c:pt>
                <c:pt idx="188">
                  <c:v>1931.3054577820524</c:v>
                </c:pt>
                <c:pt idx="189">
                  <c:v>1944.5313989026545</c:v>
                </c:pt>
                <c:pt idx="190">
                  <c:v>1957.7205276983761</c:v>
                </c:pt>
                <c:pt idx="191">
                  <c:v>1970.8721133592953</c:v>
                </c:pt>
                <c:pt idx="192">
                  <c:v>1983.9854327918415</c:v>
                </c:pt>
                <c:pt idx="193">
                  <c:v>1997.0597706002695</c:v>
                </c:pt>
                <c:pt idx="194">
                  <c:v>2010.0944190681232</c:v>
                </c:pt>
                <c:pt idx="195">
                  <c:v>2023.0886781397026</c:v>
                </c:pt>
                <c:pt idx="196">
                  <c:v>2036.0418554015473</c:v>
                </c:pt>
                <c:pt idx="197">
                  <c:v>2048.9532660639443</c:v>
                </c:pt>
                <c:pt idx="198">
                  <c:v>2061.8222329424748</c:v>
                </c:pt>
                <c:pt idx="199">
                  <c:v>2074.6480864396081</c:v>
                </c:pt>
                <c:pt idx="200">
                  <c:v>2087.4301645263531</c:v>
                </c:pt>
                <c:pt idx="201">
                  <c:v>2100.167812723982</c:v>
                </c:pt>
                <c:pt idx="202">
                  <c:v>2112.8603840858268</c:v>
                </c:pt>
                <c:pt idx="203">
                  <c:v>2125.5072391791641</c:v>
                </c:pt>
                <c:pt idx="204">
                  <c:v>2138.1077460671977</c:v>
                </c:pt>
                <c:pt idx="205">
                  <c:v>2150.6612802911432</c:v>
                </c:pt>
                <c:pt idx="206">
                  <c:v>2163.1672248524251</c:v>
                </c:pt>
                <c:pt idx="207">
                  <c:v>2175.6249701949937</c:v>
                </c:pt>
                <c:pt idx="208">
                  <c:v>2188.0339141877707</c:v>
                </c:pt>
                <c:pt idx="209">
                  <c:v>2200.3934621072303</c:v>
                </c:pt>
                <c:pt idx="210">
                  <c:v>2212.70302662012</c:v>
                </c:pt>
                <c:pt idx="211">
                  <c:v>2224.9620277663298</c:v>
                </c:pt>
                <c:pt idx="212">
                  <c:v>2237.1698929419208</c:v>
                </c:pt>
                <c:pt idx="213">
                  <c:v>2249.3260568823089</c:v>
                </c:pt>
                <c:pt idx="214">
                  <c:v>2261.4299616456201</c:v>
                </c:pt>
                <c:pt idx="215">
                  <c:v>2273.4810565962193</c:v>
                </c:pt>
                <c:pt idx="216">
                  <c:v>2285.4787983884121</c:v>
                </c:pt>
                <c:pt idx="217">
                  <c:v>2297.422650950336</c:v>
                </c:pt>
                <c:pt idx="218">
                  <c:v>2309.3120854680369</c:v>
                </c:pt>
                <c:pt idx="219">
                  <c:v>2321.1465803697429</c:v>
                </c:pt>
                <c:pt idx="220">
                  <c:v>2332.9256213103313</c:v>
                </c:pt>
                <c:pt idx="221">
                  <c:v>2344.648701156003</c:v>
                </c:pt>
                <c:pt idx="222">
                  <c:v>2356.3153199691615</c:v>
                </c:pt>
                <c:pt idx="223">
                  <c:v>2367.9249849935031</c:v>
                </c:pt>
                <c:pt idx="224">
                  <c:v>2379.4772106393252</c:v>
                </c:pt>
                <c:pt idx="225">
                  <c:v>2390.9715184690476</c:v>
                </c:pt>
                <c:pt idx="226">
                  <c:v>2402.4074371829638</c:v>
                </c:pt>
                <c:pt idx="227">
                  <c:v>2413.7845026052123</c:v>
                </c:pt>
                <c:pt idx="228">
                  <c:v>2425.1022576699802</c:v>
                </c:pt>
                <c:pt idx="229">
                  <c:v>2436.3602524079388</c:v>
                </c:pt>
                <c:pt idx="230">
                  <c:v>2447.5580439329146</c:v>
                </c:pt>
                <c:pt idx="231">
                  <c:v>2458.6951964288005</c:v>
                </c:pt>
                <c:pt idx="232">
                  <c:v>2469.7712811367046</c:v>
                </c:pt>
                <c:pt idx="233">
                  <c:v>2480.7858763423474</c:v>
                </c:pt>
                <c:pt idx="234">
                  <c:v>2491.7385673637023</c:v>
                </c:pt>
                <c:pt idx="235">
                  <c:v>2502.6289465388863</c:v>
                </c:pt>
                <c:pt idx="236">
                  <c:v>2513.4566132143041</c:v>
                </c:pt>
                <c:pt idx="237">
                  <c:v>2524.2211737330408</c:v>
                </c:pt>
                <c:pt idx="238">
                  <c:v>2534.9222414235164</c:v>
                </c:pt>
                <c:pt idx="239">
                  <c:v>2545.5594365883926</c:v>
                </c:pt>
                <c:pt idx="240">
                  <c:v>2556.1323864937431</c:v>
                </c:pt>
                <c:pt idx="241">
                  <c:v>2566.6407253584839</c:v>
                </c:pt>
                <c:pt idx="242">
                  <c:v>2577.0840943440662</c:v>
                </c:pt>
                <c:pt idx="243">
                  <c:v>2587.4621415444362</c:v>
                </c:pt>
                <c:pt idx="244">
                  <c:v>2597.774521976261</c:v>
                </c:pt>
                <c:pt idx="245">
                  <c:v>2608.02089756942</c:v>
                </c:pt>
                <c:pt idx="246">
                  <c:v>2618.2009371577701</c:v>
                </c:pt>
                <c:pt idx="247">
                  <c:v>2628.3143164701783</c:v>
                </c:pt>
                <c:pt idx="248">
                  <c:v>2638.3607181218285</c:v>
                </c:pt>
                <c:pt idx="249">
                  <c:v>2648.3398316058024</c:v>
                </c:pt>
                <c:pt idx="250">
                  <c:v>2658.2513532849321</c:v>
                </c:pt>
                <c:pt idx="251">
                  <c:v>2668.0949863839314</c:v>
                </c:pt>
                <c:pt idx="252">
                  <c:v>2677.8704409818042</c:v>
                </c:pt>
                <c:pt idx="253">
                  <c:v>2687.5774340045273</c:v>
                </c:pt>
                <c:pt idx="254">
                  <c:v>2697.2156892180174</c:v>
                </c:pt>
                <c:pt idx="255">
                  <c:v>2706.7849372213723</c:v>
                </c:pt>
                <c:pt idx="256">
                  <c:v>2716.2849154403984</c:v>
                </c:pt>
                <c:pt idx="257">
                  <c:v>2725.7153681214136</c:v>
                </c:pt>
                <c:pt idx="258">
                  <c:v>2735.0760463253387</c:v>
                </c:pt>
                <c:pt idx="259">
                  <c:v>2744.3667079220672</c:v>
                </c:pt>
                <c:pt idx="260">
                  <c:v>2753.5871175851207</c:v>
                </c:pt>
                <c:pt idx="261">
                  <c:v>2762.7370467865894</c:v>
                </c:pt>
                <c:pt idx="262">
                  <c:v>2771.8162737923549</c:v>
                </c:pt>
                <c:pt idx="263">
                  <c:v>2780.8245836576016</c:v>
                </c:pt>
                <c:pt idx="264">
                  <c:v>2789.7617682226137</c:v>
                </c:pt>
                <c:pt idx="265">
                  <c:v>2798.6276261088556</c:v>
                </c:pt>
                <c:pt idx="266">
                  <c:v>2807.4219627153448</c:v>
                </c:pt>
                <c:pt idx="267">
                  <c:v>2816.1445902153082</c:v>
                </c:pt>
                <c:pt idx="268">
                  <c:v>2824.7953275531281</c:v>
                </c:pt>
                <c:pt idx="269">
                  <c:v>2833.3740004415772</c:v>
                </c:pt>
                <c:pt idx="270">
                  <c:v>2841.8804413593407</c:v>
                </c:pt>
                <c:pt idx="271">
                  <c:v>2850.3144895488294</c:v>
                </c:pt>
                <c:pt idx="272">
                  <c:v>2858.6759910142823</c:v>
                </c:pt>
                <c:pt idx="273">
                  <c:v>2866.9647985201582</c:v>
                </c:pt>
                <c:pt idx="274">
                  <c:v>2875.1807715898167</c:v>
                </c:pt>
                <c:pt idx="275">
                  <c:v>2883.3237765044933</c:v>
                </c:pt>
                <c:pt idx="276">
                  <c:v>2891.393686302561</c:v>
                </c:pt>
                <c:pt idx="277">
                  <c:v>2899.3903807790866</c:v>
                </c:pt>
                <c:pt idx="278">
                  <c:v>2907.3137464856745</c:v>
                </c:pt>
                <c:pt idx="279">
                  <c:v>2915.1636767306068</c:v>
                </c:pt>
                <c:pt idx="280">
                  <c:v>2922.9400715792699</c:v>
                </c:pt>
                <c:pt idx="281">
                  <c:v>2930.6428378548776</c:v>
                </c:pt>
                <c:pt idx="282">
                  <c:v>2938.2718891394838</c:v>
                </c:pt>
                <c:pt idx="283">
                  <c:v>2945.827145775288</c:v>
                </c:pt>
                <c:pt idx="284">
                  <c:v>2953.3085348662344</c:v>
                </c:pt>
                <c:pt idx="285">
                  <c:v>2960.7159902799003</c:v>
                </c:pt>
                <c:pt idx="286">
                  <c:v>2968.0494526496846</c:v>
                </c:pt>
                <c:pt idx="287">
                  <c:v>2975.3088693772788</c:v>
                </c:pt>
                <c:pt idx="288">
                  <c:v>2982.4941946354411</c:v>
                </c:pt>
                <c:pt idx="289">
                  <c:v>2989.6053893710578</c:v>
                </c:pt>
                <c:pt idx="290">
                  <c:v>2996.6424213085002</c:v>
                </c:pt>
                <c:pt idx="291">
                  <c:v>3003.6052649532744</c:v>
                </c:pt>
                <c:pt idx="292">
                  <c:v>3010.4939015959662</c:v>
                </c:pt>
                <c:pt idx="293">
                  <c:v>3017.308319316478</c:v>
                </c:pt>
                <c:pt idx="294">
                  <c:v>3024.0485129885606</c:v>
                </c:pt>
                <c:pt idx="295">
                  <c:v>3030.7144842846378</c:v>
                </c:pt>
                <c:pt idx="296">
                  <c:v>3037.3062416809285</c:v>
                </c:pt>
                <c:pt idx="297">
                  <c:v>3043.8238004628579</c:v>
                </c:pt>
                <c:pt idx="298">
                  <c:v>3050.2671827307695</c:v>
                </c:pt>
                <c:pt idx="299">
                  <c:v>3056.6364174059249</c:v>
                </c:pt>
                <c:pt idx="300">
                  <c:v>3062.9315402368038</c:v>
                </c:pt>
                <c:pt idx="301">
                  <c:v>3069.1525938056952</c:v>
                </c:pt>
                <c:pt idx="302">
                  <c:v>3075.2996275355858</c:v>
                </c:pt>
                <c:pt idx="303">
                  <c:v>3081.3726976973421</c:v>
                </c:pt>
                <c:pt idx="304">
                  <c:v>3087.3718674171887</c:v>
                </c:pt>
                <c:pt idx="305">
                  <c:v>3093.2972066844795</c:v>
                </c:pt>
                <c:pt idx="306">
                  <c:v>3099.1487923597679</c:v>
                </c:pt>
                <c:pt idx="307">
                  <c:v>3104.9267081831695</c:v>
                </c:pt>
                <c:pt idx="308">
                  <c:v>3110.6310447830238</c:v>
                </c:pt>
                <c:pt idx="309">
                  <c:v>3116.2618996848469</c:v>
                </c:pt>
                <c:pt idx="310">
                  <c:v>3121.8193773205849</c:v>
                </c:pt>
                <c:pt idx="311">
                  <c:v>3127.3035890381616</c:v>
                </c:pt>
                <c:pt idx="312">
                  <c:v>3132.7146531113208</c:v>
                </c:pt>
                <c:pt idx="313">
                  <c:v>3138.0526947497697</c:v>
                </c:pt>
                <c:pt idx="314">
                  <c:v>3143.3178461096131</c:v>
                </c:pt>
                <c:pt idx="315">
                  <c:v>3148.5102463040889</c:v>
                </c:pt>
                <c:pt idx="316">
                  <c:v>3153.6300414146003</c:v>
                </c:pt>
                <c:pt idx="317">
                  <c:v>3158.6773845020411</c:v>
                </c:pt>
                <c:pt idx="318">
                  <c:v>3163.6524356184236</c:v>
                </c:pt>
                <c:pt idx="319">
                  <c:v>3168.5553618188014</c:v>
                </c:pt>
                <c:pt idx="320">
                  <c:v>3173.3863371734897</c:v>
                </c:pt>
                <c:pt idx="321">
                  <c:v>3178.1455427805859</c:v>
                </c:pt>
                <c:pt idx="322">
                  <c:v>3182.8331667787852</c:v>
                </c:pt>
                <c:pt idx="323">
                  <c:v>3187.4494043604982</c:v>
                </c:pt>
                <c:pt idx="324">
                  <c:v>3191.9944577852639</c:v>
                </c:pt>
                <c:pt idx="325">
                  <c:v>3196.468536393465</c:v>
                </c:pt>
                <c:pt idx="326">
                  <c:v>3200.8718566203397</c:v>
                </c:pt>
                <c:pt idx="327">
                  <c:v>3205.2046420102934</c:v>
                </c:pt>
                <c:pt idx="328">
                  <c:v>3209.4671232315122</c:v>
                </c:pt>
                <c:pt idx="329">
                  <c:v>3213.6595380908757</c:v>
                </c:pt>
                <c:pt idx="330">
                  <c:v>3217.7821315491665</c:v>
                </c:pt>
                <c:pt idx="331">
                  <c:v>3221.8351557365881</c:v>
                </c:pt>
                <c:pt idx="332">
                  <c:v>3225.8188699685734</c:v>
                </c:pt>
                <c:pt idx="333">
                  <c:v>3229.7335407619057</c:v>
                </c:pt>
                <c:pt idx="334">
                  <c:v>3233.5794418511323</c:v>
                </c:pt>
                <c:pt idx="335">
                  <c:v>3237.356854205284</c:v>
                </c:pt>
                <c:pt idx="336">
                  <c:v>3241.066066044898</c:v>
                </c:pt>
                <c:pt idx="337">
                  <c:v>3244.7073728593405</c:v>
                </c:pt>
                <c:pt idx="338">
                  <c:v>3248.2810774244344</c:v>
                </c:pt>
                <c:pt idx="339">
                  <c:v>3251.7874898203891</c:v>
                </c:pt>
                <c:pt idx="340">
                  <c:v>3255.2269274500345</c:v>
                </c:pt>
                <c:pt idx="341">
                  <c:v>3258.5997150573603</c:v>
                </c:pt>
                <c:pt idx="342">
                  <c:v>3261.9061847463586</c:v>
                </c:pt>
                <c:pt idx="343">
                  <c:v>3265.1466760001708</c:v>
                </c:pt>
                <c:pt idx="344">
                  <c:v>3268.3215357005433</c:v>
                </c:pt>
                <c:pt idx="345">
                  <c:v>3271.4311181475828</c:v>
                </c:pt>
                <c:pt idx="346">
                  <c:v>3274.4757850798255</c:v>
                </c:pt>
                <c:pt idx="347">
                  <c:v>3277.4559056946077</c:v>
                </c:pt>
                <c:pt idx="348">
                  <c:v>3280.3718566687444</c:v>
                </c:pt>
                <c:pt idx="349">
                  <c:v>3283.2240221795182</c:v>
                </c:pt>
                <c:pt idx="350">
                  <c:v>3286.0127939259728</c:v>
                </c:pt>
                <c:pt idx="351">
                  <c:v>3288.7385711505194</c:v>
                </c:pt>
                <c:pt idx="352">
                  <c:v>3291.4017606608459</c:v>
                </c:pt>
                <c:pt idx="353">
                  <c:v>3294.0027768521445</c:v>
                </c:pt>
                <c:pt idx="354">
                  <c:v>3296.54204172964</c:v>
                </c:pt>
                <c:pt idx="355">
                  <c:v>3299.0199849314376</c:v>
                </c:pt>
                <c:pt idx="356">
                  <c:v>3301.4370437516759</c:v>
                </c:pt>
                <c:pt idx="357">
                  <c:v>3303.7936631639941</c:v>
                </c:pt>
                <c:pt idx="358">
                  <c:v>3306.0902958453107</c:v>
                </c:pt>
                <c:pt idx="359">
                  <c:v>3308.3274021999196</c:v>
                </c:pt>
                <c:pt idx="360">
                  <c:v>3310.505450383891</c:v>
                </c:pt>
                <c:pt idx="361">
                  <c:v>3312.6249163297953</c:v>
                </c:pt>
                <c:pt idx="362">
                  <c:v>3314.6862837717367</c:v>
                </c:pt>
                <c:pt idx="363">
                  <c:v>3316.690044270706</c:v>
                </c:pt>
                <c:pt idx="364">
                  <c:v>3318.6366972402438</c:v>
                </c:pt>
                <c:pt idx="365">
                  <c:v>3320.5267499724264</c:v>
                </c:pt>
                <c:pt idx="366">
                  <c:v>3322.3607176641663</c:v>
                </c:pt>
                <c:pt idx="367">
                  <c:v>3324.1391234438315</c:v>
                </c:pt>
                <c:pt idx="368">
                  <c:v>3325.8624983981804</c:v>
                </c:pt>
                <c:pt idx="369">
                  <c:v>3327.5313815996242</c:v>
                </c:pt>
                <c:pt idx="370">
                  <c:v>3329.1463201337983</c:v>
                </c:pt>
                <c:pt idx="371">
                  <c:v>3330.7078691274646</c:v>
                </c:pt>
                <c:pt idx="372">
                  <c:v>3332.2165917767306</c:v>
                </c:pt>
                <c:pt idx="373">
                  <c:v>3333.6730593755883</c:v>
                </c:pt>
                <c:pt idx="374">
                  <c:v>3335.0778513447831</c:v>
                </c:pt>
                <c:pt idx="375">
                  <c:v>3336.4315552610001</c:v>
                </c:pt>
                <c:pt idx="376">
                  <c:v>3337.734766886379</c:v>
                </c:pt>
                <c:pt idx="377">
                  <c:v>3338.9880901983515</c:v>
                </c:pt>
                <c:pt idx="378">
                  <c:v>3340.1921374198078</c:v>
                </c:pt>
                <c:pt idx="379">
                  <c:v>3341.3475290495867</c:v>
                </c:pt>
                <c:pt idx="380">
                  <c:v>3342.4548938932967</c:v>
                </c:pt>
                <c:pt idx="381">
                  <c:v>3343.5148690944625</c:v>
                </c:pt>
                <c:pt idx="382">
                  <c:v>3344.5281001660032</c:v>
                </c:pt>
                <c:pt idx="383">
                  <c:v>3345.4952410220417</c:v>
                </c:pt>
                <c:pt idx="384">
                  <c:v>3346.4169540100397</c:v>
                </c:pt>
                <c:pt idx="385">
                  <c:v>3347.293909943272</c:v>
                </c:pt>
                <c:pt idx="386">
                  <c:v>3348.126788133628</c:v>
                </c:pt>
                <c:pt idx="387">
                  <c:v>3348.9162764247508</c:v>
                </c:pt>
                <c:pt idx="388">
                  <c:v>3349.6630712255064</c:v>
                </c:pt>
                <c:pt idx="389">
                  <c:v>3350.3678775437934</c:v>
                </c:pt>
                <c:pt idx="390">
                  <c:v>3351.0314090206857</c:v>
                </c:pt>
                <c:pt idx="391">
                  <c:v>3351.6543879649143</c:v>
                </c:pt>
                <c:pt idx="392">
                  <c:v>3352.2375453876857</c:v>
                </c:pt>
                <c:pt idx="393">
                  <c:v>3352.7816210378396</c:v>
                </c:pt>
                <c:pt idx="394">
                  <c:v>3353.2873634373523</c:v>
                </c:pt>
                <c:pt idx="395">
                  <c:v>3353.7555299171704</c:v>
                </c:pt>
                <c:pt idx="396">
                  <c:v>3354.1868866533973</c:v>
                </c:pt>
                <c:pt idx="397">
                  <c:v>3354.5822087038168</c:v>
                </c:pt>
                <c:pt idx="398">
                  <c:v>3354.9422800447637</c:v>
                </c:pt>
                <c:pt idx="399">
                  <c:v>3355.2678936083357</c:v>
                </c:pt>
                <c:pt idx="400">
                  <c:v>3355.5598513199561</c:v>
                </c:pt>
                <c:pt idx="401">
                  <c:v>3355.8189641362819</c:v>
                </c:pt>
                <c:pt idx="402">
                  <c:v>3356.046052083459</c:v>
                </c:pt>
                <c:pt idx="403">
                  <c:v>3356.2419442957266</c:v>
                </c:pt>
                <c:pt idx="404">
                  <c:v>3356.4074790543759</c:v>
                </c:pt>
                <c:pt idx="405">
                  <c:v>3356.5435038270543</c:v>
                </c:pt>
                <c:pt idx="406">
                  <c:v>3356.6508753074258</c:v>
                </c:pt>
                <c:pt idx="407">
                  <c:v>3356.7304594551861</c:v>
                </c:pt>
                <c:pt idx="408">
                  <c:v>3356.7831315364283</c:v>
                </c:pt>
                <c:pt idx="409">
                  <c:v>3356.8097761643671</c:v>
                </c:pt>
                <c:pt idx="410">
                  <c:v>3356.811287340422</c:v>
                </c:pt>
                <c:pt idx="411">
                  <c:v>3356.7885684956536</c:v>
                </c:pt>
                <c:pt idx="412">
                  <c:v>3356.7425325325617</c:v>
                </c:pt>
                <c:pt idx="413">
                  <c:v>3356.674101867246</c:v>
                </c:pt>
                <c:pt idx="414">
                  <c:v>3356.5842084719238</c:v>
                </c:pt>
                <c:pt idx="415">
                  <c:v>3356.4737939178149</c:v>
                </c:pt>
                <c:pt idx="416">
                  <c:v>3356.3438094183875</c:v>
                </c:pt>
                <c:pt idx="417">
                  <c:v>3356.19521587297</c:v>
                </c:pt>
                <c:pt idx="418">
                  <c:v>3356.028983910729</c:v>
                </c:pt>
                <c:pt idx="419">
                  <c:v>3355.8460939350175</c:v>
                </c:pt>
                <c:pt idx="420">
                  <c:v>3355.6475361680868</c:v>
                </c:pt>
                <c:pt idx="421">
                  <c:v>3355.4343106961724</c:v>
                </c:pt>
                <c:pt idx="422">
                  <c:v>3355.2074275149507</c:v>
                </c:pt>
                <c:pt idx="423">
                  <c:v>3354.9679065753662</c:v>
                </c:pt>
                <c:pt idx="424">
                  <c:v>3354.7167778298362</c:v>
                </c:pt>
                <c:pt idx="425">
                  <c:v>3354.4550812788248</c:v>
                </c:pt>
                <c:pt idx="426">
                  <c:v>3354.1838670178013</c:v>
                </c:pt>
                <c:pt idx="427">
                  <c:v>3353.9041952845678</c:v>
                </c:pt>
                <c:pt idx="428">
                  <c:v>3353.6171365069727</c:v>
                </c:pt>
                <c:pt idx="429">
                  <c:v>3353.3237713510002</c:v>
                </c:pt>
                <c:pt idx="430">
                  <c:v>3353.025190769245</c:v>
                </c:pt>
                <c:pt idx="431">
                  <c:v>3352.7224960497651</c:v>
                </c:pt>
                <c:pt idx="432">
                  <c:v>3352.4167988653253</c:v>
                </c:pt>
                <c:pt idx="433">
                  <c:v>3352.1092213230199</c:v>
                </c:pt>
                <c:pt idx="434">
                  <c:v>3351.8008960142893</c:v>
                </c:pt>
                <c:pt idx="435">
                  <c:v>3351.4929660653188</c:v>
                </c:pt>
                <c:pt idx="436">
                  <c:v>3351.1865851878306</c:v>
                </c:pt>
                <c:pt idx="437">
                  <c:v>3350.8829177302678</c:v>
                </c:pt>
                <c:pt idx="438">
                  <c:v>3350.5831387293701</c:v>
                </c:pt>
                <c:pt idx="439">
                  <c:v>3350.2884339621405</c:v>
                </c:pt>
                <c:pt idx="440">
                  <c:v>3349.999999998216</c:v>
                </c:pt>
                <c:pt idx="441">
                  <c:v>3349.7190442526248</c:v>
                </c:pt>
                <c:pt idx="442">
                  <c:v>3349.4477599116312</c:v>
                </c:pt>
                <c:pt idx="443">
                  <c:v>3349.1861472750729</c:v>
                </c:pt>
                <c:pt idx="444">
                  <c:v>3348.934206632709</c:v>
                </c:pt>
                <c:pt idx="445">
                  <c:v>3348.6919382642163</c:v>
                </c:pt>
                <c:pt idx="446">
                  <c:v>3348.459342439191</c:v>
                </c:pt>
                <c:pt idx="447">
                  <c:v>3348.2364194171482</c:v>
                </c:pt>
                <c:pt idx="448">
                  <c:v>3348.0231694475196</c:v>
                </c:pt>
                <c:pt idx="449">
                  <c:v>3347.8195927696552</c:v>
                </c:pt>
                <c:pt idx="450">
                  <c:v>3347.6256896128207</c:v>
                </c:pt>
                <c:pt idx="451">
                  <c:v>3347.4414601962003</c:v>
                </c:pt>
                <c:pt idx="452">
                  <c:v>3347.2669047288919</c:v>
                </c:pt>
                <c:pt idx="453">
                  <c:v>3347.1020234099096</c:v>
                </c:pt>
                <c:pt idx="454">
                  <c:v>3346.9468164281825</c:v>
                </c:pt>
                <c:pt idx="455">
                  <c:v>3346.8012839625553</c:v>
                </c:pt>
                <c:pt idx="456">
                  <c:v>3346.6654261817857</c:v>
                </c:pt>
                <c:pt idx="457">
                  <c:v>3346.5392432445456</c:v>
                </c:pt>
                <c:pt idx="458">
                  <c:v>3346.4227352994212</c:v>
                </c:pt>
                <c:pt idx="459">
                  <c:v>3346.315902484911</c:v>
                </c:pt>
                <c:pt idx="460">
                  <c:v>3346.2187449294279</c:v>
                </c:pt>
                <c:pt idx="461">
                  <c:v>3346.1312627512971</c:v>
                </c:pt>
                <c:pt idx="462">
                  <c:v>3346.0534560587557</c:v>
                </c:pt>
                <c:pt idx="463">
                  <c:v>3345.9853249499529</c:v>
                </c:pt>
                <c:pt idx="464">
                  <c:v>3345.9268695129526</c:v>
                </c:pt>
                <c:pt idx="465">
                  <c:v>3345.8780898257269</c:v>
                </c:pt>
                <c:pt idx="466">
                  <c:v>3345.8389859561621</c:v>
                </c:pt>
                <c:pt idx="467">
                  <c:v>3345.8095579620558</c:v>
                </c:pt>
                <c:pt idx="468">
                  <c:v>3345.7898058911169</c:v>
                </c:pt>
                <c:pt idx="469">
                  <c:v>3345.7797297809643</c:v>
                </c:pt>
                <c:pt idx="470">
                  <c:v>3345.7793296591312</c:v>
                </c:pt>
                <c:pt idx="471">
                  <c:v>3345.7886055430595</c:v>
                </c:pt>
                <c:pt idx="472">
                  <c:v>3345.8075574401032</c:v>
                </c:pt>
                <c:pt idx="473">
                  <c:v>3345.8361853475276</c:v>
                </c:pt>
                <c:pt idx="474">
                  <c:v>3345.8744892525078</c:v>
                </c:pt>
                <c:pt idx="475">
                  <c:v>3345.9224691321324</c:v>
                </c:pt>
                <c:pt idx="476">
                  <c:v>3345.9801249534003</c:v>
                </c:pt>
                <c:pt idx="477">
                  <c:v>3346.04745667322</c:v>
                </c:pt>
                <c:pt idx="478">
                  <c:v>3346.124464238414</c:v>
                </c:pt>
                <c:pt idx="479">
                  <c:v>3346.2111475857141</c:v>
                </c:pt>
                <c:pt idx="480">
                  <c:v>3346.307506641765</c:v>
                </c:pt>
                <c:pt idx="481">
                  <c:v>3346.4135413231224</c:v>
                </c:pt>
                <c:pt idx="482">
                  <c:v>3346.5292515362539</c:v>
                </c:pt>
                <c:pt idx="483">
                  <c:v>3346.6546371775394</c:v>
                </c:pt>
                <c:pt idx="484">
                  <c:v>3346.7896981332706</c:v>
                </c:pt>
                <c:pt idx="485">
                  <c:v>3346.9344342796517</c:v>
                </c:pt>
                <c:pt idx="486">
                  <c:v>3347.0888454827996</c:v>
                </c:pt>
                <c:pt idx="487">
                  <c:v>3347.252931598744</c:v>
                </c:pt>
                <c:pt idx="488">
                  <c:v>3347.4266924734279</c:v>
                </c:pt>
                <c:pt idx="489">
                  <c:v>3347.610127942708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63-DB4A-B709-5D0FD10E5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344095"/>
        <c:axId val="2016150079"/>
      </c:lineChart>
      <c:catAx>
        <c:axId val="20163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150079"/>
        <c:crosses val="autoZero"/>
        <c:auto val="1"/>
        <c:lblAlgn val="ctr"/>
        <c:lblOffset val="100"/>
        <c:noMultiLvlLbl val="0"/>
      </c:catAx>
      <c:valAx>
        <c:axId val="20161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34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Flight Profile (To Parking</a:t>
            </a:r>
            <a:r>
              <a:rPr lang="en-US" baseline="0"/>
              <a:t> Orbit)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66297984768729"/>
          <c:y val="1.9131248510406516E-2"/>
          <c:w val="0.74491752979860637"/>
          <c:h val="0.63646952699698778"/>
        </c:manualLayout>
      </c:layout>
      <c:scatterChart>
        <c:scatterStyle val="smoothMarker"/>
        <c:varyColors val="0"/>
        <c:ser>
          <c:idx val="7"/>
          <c:order val="0"/>
          <c:tx>
            <c:strRef>
              <c:f>'Problem 2'!$I$12</c:f>
              <c:strCache>
                <c:ptCount val="1"/>
                <c:pt idx="0">
                  <c:v>Altitude (m)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layout>
                <c:manualLayout>
                  <c:x val="-3.155680198461891E-2"/>
                  <c:y val="8.854815614038875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t</a:t>
                    </a:r>
                    <a:r>
                      <a:rPr lang="en-US" baseline="0"/>
                      <a:t> = </a:t>
                    </a:r>
                    <a:r>
                      <a:rPr lang="en-US"/>
                      <a:t>24</a:t>
                    </a:r>
                    <a:r>
                      <a:rPr lang="en-US" baseline="0"/>
                      <a:t>, Kick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12-95ED-8C46-85BE-B44D717659C6}"/>
                </c:ext>
              </c:extLst>
            </c:dLbl>
            <c:dLbl>
              <c:idx val="67"/>
              <c:layout>
                <c:manualLayout>
                  <c:x val="6.5774177420479515E-2"/>
                  <c:y val="-3.831460708055035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rPr>
                      <a:t>t_max-q = 68, Max-q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1-26F0-3E43-ADD8-D8883C912E1E}"/>
                </c:ext>
              </c:extLst>
            </c:dLbl>
            <c:dLbl>
              <c:idx val="208"/>
              <c:layout>
                <c:manualLayout>
                  <c:x val="-0.14209198838852929"/>
                  <c:y val="-0.2051013554375065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t _b1</a:t>
                    </a:r>
                    <a:r>
                      <a:rPr lang="en-US" baseline="0"/>
                      <a:t> = 211, 1st stage seperation, 2nd stage ignition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13-95ED-8C46-85BE-B44D717659C6}"/>
                </c:ext>
              </c:extLst>
            </c:dLbl>
            <c:dLbl>
              <c:idx val="472"/>
              <c:layout>
                <c:manualLayout>
                  <c:x val="-2.818892796619113E-2"/>
                  <c:y val="9.056179855402805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t_f = 477s, Parking orbit arrival </a:t>
                    </a:r>
                    <a:endParaRPr lang="en-US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2-26F0-3E43-ADD8-D8883C912E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'Problem 2'!$A$13:$A$521</c:f>
              <c:numCache>
                <c:formatCode>General</c:formatCode>
                <c:ptCount val="50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</c:numCache>
            </c:numRef>
          </c:xVal>
          <c:yVal>
            <c:numRef>
              <c:f>'Problem 2'!$I$13:$I$521</c:f>
              <c:numCache>
                <c:formatCode>General</c:formatCode>
                <c:ptCount val="509"/>
                <c:pt idx="0">
                  <c:v>0</c:v>
                </c:pt>
                <c:pt idx="1">
                  <c:v>3.2410824428484535</c:v>
                </c:pt>
                <c:pt idx="2">
                  <c:v>9.7709629632728792</c:v>
                </c:pt>
                <c:pt idx="3">
                  <c:v>19.637203188137178</c:v>
                </c:pt>
                <c:pt idx="4">
                  <c:v>32.887189075565672</c:v>
                </c:pt>
                <c:pt idx="5">
                  <c:v>49.568110344503253</c:v>
                </c:pt>
                <c:pt idx="6">
                  <c:v>69.726941164362898</c:v>
                </c:pt>
                <c:pt idx="7">
                  <c:v>93.410422274382285</c:v>
                </c:pt>
                <c:pt idx="8">
                  <c:v>120.66504470095063</c:v>
                </c:pt>
                <c:pt idx="9">
                  <c:v>151.53703523842967</c:v>
                </c:pt>
                <c:pt idx="10">
                  <c:v>186.0723438548502</c:v>
                </c:pt>
                <c:pt idx="11">
                  <c:v>224.31663317830365</c:v>
                </c:pt>
                <c:pt idx="12">
                  <c:v>266.31527021287121</c:v>
                </c:pt>
                <c:pt idx="13">
                  <c:v>312.1133204245636</c:v>
                </c:pt>
                <c:pt idx="14">
                  <c:v>361.75554432802261</c:v>
                </c:pt>
                <c:pt idx="15">
                  <c:v>415.28639669372041</c:v>
                </c:pt>
                <c:pt idx="16">
                  <c:v>472.75002848316137</c:v>
                </c:pt>
                <c:pt idx="17">
                  <c:v>534.19029160623666</c:v>
                </c:pt>
                <c:pt idx="18">
                  <c:v>599.65074658051708</c:v>
                </c:pt>
                <c:pt idx="19">
                  <c:v>669.1746731570164</c:v>
                </c:pt>
                <c:pt idx="20">
                  <c:v>742.80508396095604</c:v>
                </c:pt>
                <c:pt idx="21">
                  <c:v>820.58474117946264</c:v>
                </c:pt>
                <c:pt idx="22">
                  <c:v>902.55617631108476</c:v>
                </c:pt>
                <c:pt idx="23">
                  <c:v>988.76171297469841</c:v>
                </c:pt>
                <c:pt idx="24">
                  <c:v>1079.1894330304838</c:v>
                </c:pt>
                <c:pt idx="25">
                  <c:v>1173.9257237502372</c:v>
                </c:pt>
                <c:pt idx="26">
                  <c:v>1273.010253266835</c:v>
                </c:pt>
                <c:pt idx="27">
                  <c:v>1376.4822296666971</c:v>
                </c:pt>
                <c:pt idx="28">
                  <c:v>1484.3803955033948</c:v>
                </c:pt>
                <c:pt idx="29">
                  <c:v>1596.7430224455761</c:v>
                </c:pt>
                <c:pt idx="30">
                  <c:v>1713.6079059719575</c:v>
                </c:pt>
                <c:pt idx="31">
                  <c:v>1835.0123600220572</c:v>
                </c:pt>
                <c:pt idx="32">
                  <c:v>1960.9932115082529</c:v>
                </c:pt>
                <c:pt idx="33">
                  <c:v>2091.5867945927366</c:v>
                </c:pt>
                <c:pt idx="34">
                  <c:v>2226.8289446321369</c:v>
                </c:pt>
                <c:pt idx="35">
                  <c:v>2366.7549916930334</c:v>
                </c:pt>
                <c:pt idx="36">
                  <c:v>2511.3997535433873</c:v>
                </c:pt>
                <c:pt idx="37">
                  <c:v>2660.7975280280466</c:v>
                </c:pt>
                <c:pt idx="38">
                  <c:v>2814.9820847409947</c:v>
                </c:pt>
                <c:pt idx="39">
                  <c:v>2973.9866559128345</c:v>
                </c:pt>
                <c:pt idx="40">
                  <c:v>3137.8439264391263</c:v>
                </c:pt>
                <c:pt idx="41">
                  <c:v>3306.5860229835257</c:v>
                </c:pt>
                <c:pt idx="42">
                  <c:v>3480.244502099119</c:v>
                </c:pt>
                <c:pt idx="43">
                  <c:v>3658.8503373218246</c:v>
                </c:pt>
                <c:pt idx="44">
                  <c:v>3842.4339052010523</c:v>
                </c:pt>
                <c:pt idx="45">
                  <c:v>4031.0249702449073</c:v>
                </c:pt>
                <c:pt idx="46">
                  <c:v>4224.652668769857</c:v>
                </c:pt>
                <c:pt idx="47">
                  <c:v>4423.3454916578512</c:v>
                </c:pt>
                <c:pt idx="48">
                  <c:v>4627.1312660371841</c:v>
                </c:pt>
                <c:pt idx="49">
                  <c:v>4836.0371359167357</c:v>
                </c:pt>
                <c:pt idx="50">
                  <c:v>5050.0895418164901</c:v>
                </c:pt>
                <c:pt idx="51">
                  <c:v>5269.3141994501702</c:v>
                </c:pt>
                <c:pt idx="52">
                  <c:v>5493.7360775283341</c:v>
                </c:pt>
                <c:pt idx="53">
                  <c:v>5723.3793747621512</c:v>
                </c:pt>
                <c:pt idx="54">
                  <c:v>5958.267496159192</c:v>
                </c:pt>
                <c:pt idx="55">
                  <c:v>6198.4230287127702</c:v>
                </c:pt>
                <c:pt idx="56">
                  <c:v>6443.8677165955551</c:v>
                </c:pt>
                <c:pt idx="57">
                  <c:v>6694.6224359762327</c:v>
                </c:pt>
                <c:pt idx="58">
                  <c:v>6950.7071695848117</c:v>
                </c:pt>
                <c:pt idx="59">
                  <c:v>7212.1409811577369</c:v>
                </c:pt>
                <c:pt idx="60">
                  <c:v>7478.9419898981823</c:v>
                </c:pt>
                <c:pt idx="61">
                  <c:v>7751.127345089767</c:v>
                </c:pt>
                <c:pt idx="62">
                  <c:v>8028.7132010034402</c:v>
                </c:pt>
                <c:pt idx="63">
                  <c:v>8311.7146922374286</c:v>
                </c:pt>
                <c:pt idx="64">
                  <c:v>8600.1459096290018</c:v>
                </c:pt>
                <c:pt idx="65">
                  <c:v>8894.0198768743667</c:v>
                </c:pt>
                <c:pt idx="66">
                  <c:v>9193.3485279894303</c:v>
                </c:pt>
                <c:pt idx="67">
                  <c:v>9498.1426857394217</c:v>
                </c:pt>
                <c:pt idx="68">
                  <c:v>9808.4120411596541</c:v>
                </c:pt>
                <c:pt idx="69">
                  <c:v>10124.165134283108</c:v>
                </c:pt>
                <c:pt idx="70">
                  <c:v>10445.409336183062</c:v>
                </c:pt>
                <c:pt idx="71">
                  <c:v>10772.15083243098</c:v>
                </c:pt>
                <c:pt idx="72">
                  <c:v>11104.394608061248</c:v>
                </c:pt>
                <c:pt idx="73">
                  <c:v>11442.144434125345</c:v>
                </c:pt>
                <c:pt idx="74">
                  <c:v>11785.402855908776</c:v>
                </c:pt>
                <c:pt idx="75">
                  <c:v>12134.171182874663</c:v>
                </c:pt>
                <c:pt idx="76">
                  <c:v>12488.449480388423</c:v>
                </c:pt>
                <c:pt idx="77">
                  <c:v>12848.236563268591</c:v>
                </c:pt>
                <c:pt idx="78">
                  <c:v>13213.529991199652</c:v>
                </c:pt>
                <c:pt idx="79">
                  <c:v>13584.326066033786</c:v>
                </c:pt>
                <c:pt idx="80">
                  <c:v>13960.619830999898</c:v>
                </c:pt>
                <c:pt idx="81">
                  <c:v>14342.40507183011</c:v>
                </c:pt>
                <c:pt idx="82">
                  <c:v>14729.67431980622</c:v>
                </c:pt>
                <c:pt idx="83">
                  <c:v>15122.418856721482</c:v>
                </c:pt>
                <c:pt idx="84">
                  <c:v>15520.628721746409</c:v>
                </c:pt>
                <c:pt idx="85">
                  <c:v>15924.292720181256</c:v>
                </c:pt>
                <c:pt idx="86">
                  <c:v>16333.398434072375</c:v>
                </c:pt>
                <c:pt idx="87">
                  <c:v>16747.93223466463</c:v>
                </c:pt>
                <c:pt idx="88">
                  <c:v>17167.879296657786</c:v>
                </c:pt>
                <c:pt idx="89">
                  <c:v>17593.223614230843</c:v>
                </c:pt>
                <c:pt idx="90">
                  <c:v>18023.948018794978</c:v>
                </c:pt>
                <c:pt idx="91">
                  <c:v>18460.034198432841</c:v>
                </c:pt>
                <c:pt idx="92">
                  <c:v>18901.462718979503</c:v>
                </c:pt>
                <c:pt idx="93">
                  <c:v>19348.213046698238</c:v>
                </c:pt>
                <c:pt idx="94">
                  <c:v>19800.263572502598</c:v>
                </c:pt>
                <c:pt idx="95">
                  <c:v>20257.591637674745</c:v>
                </c:pt>
                <c:pt idx="96">
                  <c:v>20720.173561028852</c:v>
                </c:pt>
                <c:pt idx="97">
                  <c:v>21187.984667467343</c:v>
                </c:pt>
                <c:pt idx="98">
                  <c:v>21660.999317876987</c:v>
                </c:pt>
                <c:pt idx="99">
                  <c:v>22139.190940311164</c:v>
                </c:pt>
                <c:pt idx="100">
                  <c:v>22622.532062404036</c:v>
                </c:pt>
                <c:pt idx="101">
                  <c:v>23110.994344962026</c:v>
                </c:pt>
                <c:pt idx="102">
                  <c:v>23604.548616677439</c:v>
                </c:pt>
                <c:pt idx="103">
                  <c:v>24103.164909908905</c:v>
                </c:pt>
                <c:pt idx="104">
                  <c:v>24606.812497472929</c:v>
                </c:pt>
                <c:pt idx="105">
                  <c:v>25115.459930390673</c:v>
                </c:pt>
                <c:pt idx="106">
                  <c:v>25629.075076533827</c:v>
                </c:pt>
                <c:pt idx="107">
                  <c:v>26147.625160113355</c:v>
                </c:pt>
                <c:pt idx="108">
                  <c:v>26671.076801954758</c:v>
                </c:pt>
                <c:pt idx="109">
                  <c:v>27199.396060503444</c:v>
                </c:pt>
                <c:pt idx="110">
                  <c:v>27732.548473503881</c:v>
                </c:pt>
                <c:pt idx="111">
                  <c:v>28270.499100296252</c:v>
                </c:pt>
                <c:pt idx="112">
                  <c:v>28813.212564674621</c:v>
                </c:pt>
                <c:pt idx="113">
                  <c:v>29360.653098250852</c:v>
                </c:pt>
                <c:pt idx="114">
                  <c:v>29912.78458426904</c:v>
                </c:pt>
                <c:pt idx="115">
                  <c:v>30469.570601815758</c:v>
                </c:pt>
                <c:pt idx="116">
                  <c:v>31030.97447037217</c:v>
                </c:pt>
                <c:pt idx="117">
                  <c:v>31596.959294654927</c:v>
                </c:pt>
                <c:pt idx="118">
                  <c:v>32167.488009693887</c:v>
                </c:pt>
                <c:pt idx="119">
                  <c:v>32742.523426095846</c:v>
                </c:pt>
                <c:pt idx="120">
                  <c:v>33322.028275445009</c:v>
                </c:pt>
                <c:pt idx="121">
                  <c:v>33905.965255792413</c:v>
                </c:pt>
                <c:pt idx="122">
                  <c:v>34494.297077188443</c:v>
                </c:pt>
                <c:pt idx="123">
                  <c:v>35086.986507214402</c:v>
                </c:pt>
                <c:pt idx="124">
                  <c:v>35683.996416471455</c:v>
                </c:pt>
                <c:pt idx="125">
                  <c:v>36285.289823987405</c:v>
                </c:pt>
                <c:pt idx="126">
                  <c:v>36890.829942504439</c:v>
                </c:pt>
                <c:pt idx="127">
                  <c:v>37500.580223613455</c:v>
                </c:pt>
                <c:pt idx="128">
                  <c:v>38114.504402703627</c:v>
                </c:pt>
                <c:pt idx="129">
                  <c:v>38732.566543698536</c:v>
                </c:pt>
                <c:pt idx="130">
                  <c:v>39354.731083553488</c:v>
                </c:pt>
                <c:pt idx="131">
                  <c:v>39980.962876491678</c:v>
                </c:pt>
                <c:pt idx="132">
                  <c:v>40611.227237960098</c:v>
                </c:pt>
                <c:pt idx="133">
                  <c:v>41245.489988289512</c:v>
                </c:pt>
                <c:pt idx="134">
                  <c:v>41883.717496046149</c:v>
                </c:pt>
                <c:pt idx="135">
                  <c:v>42525.876721066139</c:v>
                </c:pt>
                <c:pt idx="136">
                  <c:v>43171.935257167337</c:v>
                </c:pt>
                <c:pt idx="137">
                  <c:v>43821.861374536435</c:v>
                </c:pt>
                <c:pt idx="138">
                  <c:v>44475.624061792943</c:v>
                </c:pt>
                <c:pt idx="139">
                  <c:v>45133.193067734937</c:v>
                </c:pt>
                <c:pt idx="140">
                  <c:v>45794.538942774954</c:v>
                </c:pt>
                <c:pt idx="141">
                  <c:v>46459.63308007786</c:v>
                </c:pt>
                <c:pt idx="142">
                  <c:v>47128.447756415786</c:v>
                </c:pt>
                <c:pt idx="143">
                  <c:v>47800.956172758619</c:v>
                </c:pt>
                <c:pt idx="144">
                  <c:v>48477.132494621721</c:v>
                </c:pt>
                <c:pt idx="145">
                  <c:v>49156.951892195822</c:v>
                </c:pt>
                <c:pt idx="146">
                  <c:v>49840.390580287043</c:v>
                </c:pt>
                <c:pt idx="147">
                  <c:v>50527.42585809817</c:v>
                </c:pt>
                <c:pt idx="148">
                  <c:v>51218.036148885243</c:v>
                </c:pt>
                <c:pt idx="149">
                  <c:v>51912.201039526444</c:v>
                </c:pt>
                <c:pt idx="150">
                  <c:v>52609.90132004318</c:v>
                </c:pt>
                <c:pt idx="151">
                  <c:v>53311.119023115949</c:v>
                </c:pt>
                <c:pt idx="152">
                  <c:v>54015.837463640521</c:v>
                </c:pt>
                <c:pt idx="153">
                  <c:v>54724.041278372446</c:v>
                </c:pt>
                <c:pt idx="154">
                  <c:v>55435.71646571075</c:v>
                </c:pt>
                <c:pt idx="155">
                  <c:v>56150.850425674173</c:v>
                </c:pt>
                <c:pt idx="156">
                  <c:v>56869.432000126042</c:v>
                </c:pt>
                <c:pt idx="157">
                  <c:v>57591.451513306361</c:v>
                </c:pt>
                <c:pt idx="158">
                  <c:v>58316.900812732354</c:v>
                </c:pt>
                <c:pt idx="159">
                  <c:v>59045.77331053136</c:v>
                </c:pt>
                <c:pt idx="160">
                  <c:v>59778.064025272528</c:v>
                </c:pt>
                <c:pt idx="161">
                  <c:v>60513.769624366534</c:v>
                </c:pt>
                <c:pt idx="162">
                  <c:v>61252.888467105244</c:v>
                </c:pt>
                <c:pt idx="163">
                  <c:v>61995.420648416126</c:v>
                </c:pt>
                <c:pt idx="164">
                  <c:v>62741.368043409042</c:v>
                </c:pt>
                <c:pt idx="165">
                  <c:v>63490.734352796215</c:v>
                </c:pt>
                <c:pt idx="166">
                  <c:v>64243.525149269168</c:v>
                </c:pt>
                <c:pt idx="167">
                  <c:v>64999.747924919917</c:v>
                </c:pt>
                <c:pt idx="168">
                  <c:v>65759.412139797016</c:v>
                </c:pt>
                <c:pt idx="169">
                  <c:v>66522.529271690888</c:v>
                </c:pt>
                <c:pt idx="170">
                  <c:v>67289.112867246717</c:v>
                </c:pt>
                <c:pt idx="171">
                  <c:v>68059.178594507233</c:v>
                </c:pt>
                <c:pt idx="172">
                  <c:v>68832.744296992329</c:v>
                </c:pt>
                <c:pt idx="173">
                  <c:v>69609.830049426979</c:v>
                </c:pt>
                <c:pt idx="174">
                  <c:v>70390.458215234234</c:v>
                </c:pt>
                <c:pt idx="175">
                  <c:v>71174.653505915034</c:v>
                </c:pt>
                <c:pt idx="176">
                  <c:v>71962.443042443047</c:v>
                </c:pt>
                <c:pt idx="177">
                  <c:v>72753.856418808311</c:v>
                </c:pt>
                <c:pt idx="178">
                  <c:v>73548.925767850698</c:v>
                </c:pt>
                <c:pt idx="179">
                  <c:v>74347.685829531256</c:v>
                </c:pt>
                <c:pt idx="180">
                  <c:v>75150.174021797196</c:v>
                </c:pt>
                <c:pt idx="181">
                  <c:v>75956.430514205058</c:v>
                </c:pt>
                <c:pt idx="182">
                  <c:v>76766.498304475303</c:v>
                </c:pt>
                <c:pt idx="183">
                  <c:v>77580.423298161768</c:v>
                </c:pt>
                <c:pt idx="184">
                  <c:v>78398.254391629787</c:v>
                </c:pt>
                <c:pt idx="185">
                  <c:v>79220.043558548568</c:v>
                </c:pt>
                <c:pt idx="186">
                  <c:v>80045.845940115629</c:v>
                </c:pt>
                <c:pt idx="187">
                  <c:v>80875.719939244795</c:v>
                </c:pt>
                <c:pt idx="188">
                  <c:v>81709.727318963865</c:v>
                </c:pt>
                <c:pt idx="189">
                  <c:v>82547.933305283892</c:v>
                </c:pt>
                <c:pt idx="190">
                  <c:v>83390.406694819336</c:v>
                </c:pt>
                <c:pt idx="191">
                  <c:v>84237.219967457015</c:v>
                </c:pt>
                <c:pt idx="192">
                  <c:v>85088.44940439229</c:v>
                </c:pt>
                <c:pt idx="193">
                  <c:v>85944.175211872891</c:v>
                </c:pt>
                <c:pt idx="194">
                  <c:v>86804.481651015041</c:v>
                </c:pt>
                <c:pt idx="195">
                  <c:v>87669.457174082796</c:v>
                </c:pt>
                <c:pt idx="196">
                  <c:v>88539.194567650135</c:v>
                </c:pt>
                <c:pt idx="197">
                  <c:v>89413.791103096679</c:v>
                </c:pt>
                <c:pt idx="198">
                  <c:v>90293.348694922024</c:v>
                </c:pt>
                <c:pt idx="199">
                  <c:v>91177.974067401083</c:v>
                </c:pt>
                <c:pt idx="200">
                  <c:v>92067.778930143759</c:v>
                </c:pt>
                <c:pt idx="201">
                  <c:v>92962.880163166992</c:v>
                </c:pt>
                <c:pt idx="202">
                  <c:v>93863.400012136553</c:v>
                </c:pt>
                <c:pt idx="203">
                  <c:v>94769.466294489728</c:v>
                </c:pt>
                <c:pt idx="204">
                  <c:v>95681.212617209705</c:v>
                </c:pt>
                <c:pt idx="205">
                  <c:v>96598.778607087472</c:v>
                </c:pt>
                <c:pt idx="206">
                  <c:v>97522.310154379433</c:v>
                </c:pt>
                <c:pt idx="207">
                  <c:v>98451.959670848082</c:v>
                </c:pt>
                <c:pt idx="208">
                  <c:v>99387.886363261336</c:v>
                </c:pt>
                <c:pt idx="209">
                  <c:v>100330.25652352301</c:v>
                </c:pt>
                <c:pt idx="210">
                  <c:v>101279.24383671497</c:v>
                </c:pt>
                <c:pt idx="211">
                  <c:v>102235.02970845088</c:v>
                </c:pt>
                <c:pt idx="212">
                  <c:v>103197.80361307484</c:v>
                </c:pt>
                <c:pt idx="213">
                  <c:v>104176.24181021551</c:v>
                </c:pt>
                <c:pt idx="214">
                  <c:v>105149.6484587575</c:v>
                </c:pt>
                <c:pt idx="215">
                  <c:v>106118.0257120219</c:v>
                </c:pt>
                <c:pt idx="216">
                  <c:v>107081.37574030198</c:v>
                </c:pt>
                <c:pt idx="217">
                  <c:v>108039.70073212784</c:v>
                </c:pt>
                <c:pt idx="218">
                  <c:v>108993.00289543181</c:v>
                </c:pt>
                <c:pt idx="219">
                  <c:v>109941.28445862919</c:v>
                </c:pt>
                <c:pt idx="220">
                  <c:v>110884.54767162642</c:v>
                </c:pt>
                <c:pt idx="221">
                  <c:v>111822.79480676755</c:v>
                </c:pt>
                <c:pt idx="222">
                  <c:v>112756.02815972787</c:v>
                </c:pt>
                <c:pt idx="223">
                  <c:v>113684.25005036259</c:v>
                </c:pt>
                <c:pt idx="224">
                  <c:v>114607.4628235171</c:v>
                </c:pt>
                <c:pt idx="225">
                  <c:v>115525.66884980448</c:v>
                </c:pt>
                <c:pt idx="226">
                  <c:v>116438.87052635541</c:v>
                </c:pt>
                <c:pt idx="227">
                  <c:v>117347.07027754423</c:v>
                </c:pt>
                <c:pt idx="228">
                  <c:v>118250.27055569518</c:v>
                </c:pt>
                <c:pt idx="229">
                  <c:v>119148.4738417717</c:v>
                </c:pt>
                <c:pt idx="230">
                  <c:v>120041.68264605146</c:v>
                </c:pt>
                <c:pt idx="231">
                  <c:v>120929.89950878953</c:v>
                </c:pt>
                <c:pt idx="232">
                  <c:v>121813.12700087162</c:v>
                </c:pt>
                <c:pt idx="233">
                  <c:v>122691.36772445902</c:v>
                </c:pt>
                <c:pt idx="234">
                  <c:v>123564.6243136269</c:v>
                </c:pt>
                <c:pt idx="235">
                  <c:v>124432.89943499706</c:v>
                </c:pt>
                <c:pt idx="236">
                  <c:v>125296.19578836643</c:v>
                </c:pt>
                <c:pt idx="237">
                  <c:v>126154.51610733211</c:v>
                </c:pt>
                <c:pt idx="238">
                  <c:v>127007.86315991392</c:v>
                </c:pt>
                <c:pt idx="239">
                  <c:v>127856.23974917515</c:v>
                </c:pt>
                <c:pt idx="240">
                  <c:v>128699.64871384205</c:v>
                </c:pt>
                <c:pt idx="241">
                  <c:v>129538.09292892285</c:v>
                </c:pt>
                <c:pt idx="242">
                  <c:v>130371.57530632651</c:v>
                </c:pt>
                <c:pt idx="243">
                  <c:v>131200.09879548193</c:v>
                </c:pt>
                <c:pt idx="244">
                  <c:v>132023.66638395761</c:v>
                </c:pt>
                <c:pt idx="245">
                  <c:v>132842.28109808266</c:v>
                </c:pt>
                <c:pt idx="246">
                  <c:v>133655.94600356882</c:v>
                </c:pt>
                <c:pt idx="247">
                  <c:v>134464.66420613424</c:v>
                </c:pt>
                <c:pt idx="248">
                  <c:v>135268.43885212895</c:v>
                </c:pt>
                <c:pt idx="249">
                  <c:v>136067.27312916252</c:v>
                </c:pt>
                <c:pt idx="250">
                  <c:v>136861.17026673382</c:v>
                </c:pt>
                <c:pt idx="251">
                  <c:v>137650.13353686317</c:v>
                </c:pt>
                <c:pt idx="252">
                  <c:v>138434.16625472711</c:v>
                </c:pt>
                <c:pt idx="253">
                  <c:v>139213.2717792959</c:v>
                </c:pt>
                <c:pt idx="254">
                  <c:v>139987.45351397368</c:v>
                </c:pt>
                <c:pt idx="255">
                  <c:v>140756.71490724181</c:v>
                </c:pt>
                <c:pt idx="256">
                  <c:v>141521.05945330518</c:v>
                </c:pt>
                <c:pt idx="257">
                  <c:v>142280.49069274162</c:v>
                </c:pt>
                <c:pt idx="258">
                  <c:v>143035.01221315478</c:v>
                </c:pt>
                <c:pt idx="259">
                  <c:v>143784.62764983031</c:v>
                </c:pt>
                <c:pt idx="260">
                  <c:v>144529.34068639547</c:v>
                </c:pt>
                <c:pt idx="261">
                  <c:v>145269.15505548244</c:v>
                </c:pt>
                <c:pt idx="262">
                  <c:v>146004.07453939514</c:v>
                </c:pt>
                <c:pt idx="263">
                  <c:v>146734.10297077993</c:v>
                </c:pt>
                <c:pt idx="264">
                  <c:v>147459.24423330018</c:v>
                </c:pt>
                <c:pt idx="265">
                  <c:v>148179.50226231449</c:v>
                </c:pt>
                <c:pt idx="266">
                  <c:v>148894.88104555925</c:v>
                </c:pt>
                <c:pt idx="267">
                  <c:v>149605.38462383504</c:v>
                </c:pt>
                <c:pt idx="268">
                  <c:v>150311.01709169731</c:v>
                </c:pt>
                <c:pt idx="269">
                  <c:v>151011.78259815121</c:v>
                </c:pt>
                <c:pt idx="270">
                  <c:v>151707.68534735078</c:v>
                </c:pt>
                <c:pt idx="271">
                  <c:v>152398.72959930258</c:v>
                </c:pt>
                <c:pt idx="272">
                  <c:v>153084.91967057373</c:v>
                </c:pt>
                <c:pt idx="273">
                  <c:v>153766.25993500452</c:v>
                </c:pt>
                <c:pt idx="274">
                  <c:v>154442.75482442568</c:v>
                </c:pt>
                <c:pt idx="275">
                  <c:v>155114.40882938032</c:v>
                </c:pt>
                <c:pt idx="276">
                  <c:v>155781.22649985077</c:v>
                </c:pt>
                <c:pt idx="277">
                  <c:v>156443.21244599018</c:v>
                </c:pt>
                <c:pt idx="278">
                  <c:v>157100.37133885917</c:v>
                </c:pt>
                <c:pt idx="279">
                  <c:v>157752.70791116747</c:v>
                </c:pt>
                <c:pt idx="280">
                  <c:v>158400.22695802076</c:v>
                </c:pt>
                <c:pt idx="281">
                  <c:v>159042.9333376727</c:v>
                </c:pt>
                <c:pt idx="282">
                  <c:v>159680.83197228229</c:v>
                </c:pt>
                <c:pt idx="283">
                  <c:v>160313.92784867663</c:v>
                </c:pt>
                <c:pt idx="284">
                  <c:v>160942.22601911906</c:v>
                </c:pt>
                <c:pt idx="285">
                  <c:v>161565.73160208311</c:v>
                </c:pt>
                <c:pt idx="286">
                  <c:v>162184.44978303189</c:v>
                </c:pt>
                <c:pt idx="287">
                  <c:v>162798.38581520348</c:v>
                </c:pt>
                <c:pt idx="288">
                  <c:v>163407.54502040197</c:v>
                </c:pt>
                <c:pt idx="289">
                  <c:v>164011.93278979461</c:v>
                </c:pt>
                <c:pt idx="290">
                  <c:v>164611.55458471493</c:v>
                </c:pt>
                <c:pt idx="291">
                  <c:v>165206.41593747211</c:v>
                </c:pt>
                <c:pt idx="292">
                  <c:v>165796.5224521666</c:v>
                </c:pt>
                <c:pt idx="293">
                  <c:v>166381.87980551203</c:v>
                </c:pt>
                <c:pt idx="294">
                  <c:v>166962.49374766374</c:v>
                </c:pt>
                <c:pt idx="295">
                  <c:v>167538.37010305375</c:v>
                </c:pt>
                <c:pt idx="296">
                  <c:v>168109.5147712325</c:v>
                </c:pt>
                <c:pt idx="297">
                  <c:v>168675.93372771741</c:v>
                </c:pt>
                <c:pt idx="298">
                  <c:v>169237.6330248483</c:v>
                </c:pt>
                <c:pt idx="299">
                  <c:v>169794.61879264994</c:v>
                </c:pt>
                <c:pt idx="300">
                  <c:v>170346.89723970165</c:v>
                </c:pt>
                <c:pt idx="301">
                  <c:v>170894.47465401419</c:v>
                </c:pt>
                <c:pt idx="302">
                  <c:v>171437.35740391412</c:v>
                </c:pt>
                <c:pt idx="303">
                  <c:v>171975.55193893553</c:v>
                </c:pt>
                <c:pt idx="304">
                  <c:v>172509.0647907196</c:v>
                </c:pt>
                <c:pt idx="305">
                  <c:v>173037.90257392172</c:v>
                </c:pt>
                <c:pt idx="306">
                  <c:v>173562.07198712666</c:v>
                </c:pt>
                <c:pt idx="307">
                  <c:v>174081.57981377176</c:v>
                </c:pt>
                <c:pt idx="308">
                  <c:v>174596.4329230781</c:v>
                </c:pt>
                <c:pt idx="309">
                  <c:v>175106.63827099025</c:v>
                </c:pt>
                <c:pt idx="310">
                  <c:v>175612.20290112423</c:v>
                </c:pt>
                <c:pt idx="311">
                  <c:v>176113.13394572408</c:v>
                </c:pt>
                <c:pt idx="312">
                  <c:v>176609.43862662729</c:v>
                </c:pt>
                <c:pt idx="313">
                  <c:v>177101.12425623898</c:v>
                </c:pt>
                <c:pt idx="314">
                  <c:v>177588.19823851509</c:v>
                </c:pt>
                <c:pt idx="315">
                  <c:v>178070.66806995473</c:v>
                </c:pt>
                <c:pt idx="316">
                  <c:v>178548.54134060195</c:v>
                </c:pt>
                <c:pt idx="317">
                  <c:v>179021.82573505689</c:v>
                </c:pt>
                <c:pt idx="318">
                  <c:v>179490.5290334966</c:v>
                </c:pt>
                <c:pt idx="319">
                  <c:v>179954.65911270559</c:v>
                </c:pt>
                <c:pt idx="320">
                  <c:v>180414.22394711649</c:v>
                </c:pt>
                <c:pt idx="321">
                  <c:v>180869.2316098607</c:v>
                </c:pt>
                <c:pt idx="322">
                  <c:v>181319.69027382936</c:v>
                </c:pt>
                <c:pt idx="323">
                  <c:v>181765.6082127449</c:v>
                </c:pt>
                <c:pt idx="324">
                  <c:v>182206.99380224312</c:v>
                </c:pt>
                <c:pt idx="325">
                  <c:v>182643.85552096611</c:v>
                </c:pt>
                <c:pt idx="326">
                  <c:v>183076.2019516663</c:v>
                </c:pt>
                <c:pt idx="327">
                  <c:v>183504.04178232152</c:v>
                </c:pt>
                <c:pt idx="328">
                  <c:v>183927.38380726174</c:v>
                </c:pt>
                <c:pt idx="329">
                  <c:v>184346.23692830699</c:v>
                </c:pt>
                <c:pt idx="330">
                  <c:v>184760.61015591744</c:v>
                </c:pt>
                <c:pt idx="331">
                  <c:v>185170.51261035528</c:v>
                </c:pt>
                <c:pt idx="332">
                  <c:v>185575.95352285876</c:v>
                </c:pt>
                <c:pt idx="333">
                  <c:v>185976.94223682873</c:v>
                </c:pt>
                <c:pt idx="334">
                  <c:v>186373.48820902774</c:v>
                </c:pt>
                <c:pt idx="335">
                  <c:v>186765.6010107919</c:v>
                </c:pt>
                <c:pt idx="336">
                  <c:v>187153.29032925589</c:v>
                </c:pt>
                <c:pt idx="337">
                  <c:v>187536.56596859111</c:v>
                </c:pt>
                <c:pt idx="338">
                  <c:v>187915.43785125748</c:v>
                </c:pt>
                <c:pt idx="339">
                  <c:v>188289.91601926877</c:v>
                </c:pt>
                <c:pt idx="340">
                  <c:v>188660.01063547214</c:v>
                </c:pt>
                <c:pt idx="341">
                  <c:v>189025.73198484161</c:v>
                </c:pt>
                <c:pt idx="342">
                  <c:v>189387.09047578616</c:v>
                </c:pt>
                <c:pt idx="343">
                  <c:v>189744.09664147248</c:v>
                </c:pt>
                <c:pt idx="344">
                  <c:v>190096.76114116271</c:v>
                </c:pt>
                <c:pt idx="345">
                  <c:v>190445.09476156728</c:v>
                </c:pt>
                <c:pt idx="346">
                  <c:v>190789.10841821332</c:v>
                </c:pt>
                <c:pt idx="347">
                  <c:v>191128.81315682887</c:v>
                </c:pt>
                <c:pt idx="348">
                  <c:v>191464.22015474294</c:v>
                </c:pt>
                <c:pt idx="349">
                  <c:v>191795.34072230209</c:v>
                </c:pt>
                <c:pt idx="350">
                  <c:v>192122.18630430341</c:v>
                </c:pt>
                <c:pt idx="351">
                  <c:v>192444.76848144454</c:v>
                </c:pt>
                <c:pt idx="352">
                  <c:v>192763.09897179069</c:v>
                </c:pt>
                <c:pt idx="353">
                  <c:v>193077.18963225934</c:v>
                </c:pt>
                <c:pt idx="354">
                  <c:v>193387.05246012259</c:v>
                </c:pt>
                <c:pt idx="355">
                  <c:v>193692.69959452772</c:v>
                </c:pt>
                <c:pt idx="356">
                  <c:v>193994.14331803605</c:v>
                </c:pt>
                <c:pt idx="357">
                  <c:v>194291.39605818069</c:v>
                </c:pt>
                <c:pt idx="358">
                  <c:v>194584.4703890433</c:v>
                </c:pt>
                <c:pt idx="359">
                  <c:v>194873.37903285038</c:v>
                </c:pt>
                <c:pt idx="360">
                  <c:v>195158.13486158915</c:v>
                </c:pt>
                <c:pt idx="361">
                  <c:v>195438.7508986438</c:v>
                </c:pt>
                <c:pt idx="362">
                  <c:v>195715.24032045214</c:v>
                </c:pt>
                <c:pt idx="363">
                  <c:v>195987.61645818298</c:v>
                </c:pt>
                <c:pt idx="364">
                  <c:v>196255.89279943507</c:v>
                </c:pt>
                <c:pt idx="365">
                  <c:v>196520.08298995739</c:v>
                </c:pt>
                <c:pt idx="366">
                  <c:v>196780.20083539159</c:v>
                </c:pt>
                <c:pt idx="367">
                  <c:v>197036.26030303692</c:v>
                </c:pt>
                <c:pt idx="368">
                  <c:v>197288.27552363786</c:v>
                </c:pt>
                <c:pt idx="369">
                  <c:v>197536.26079319508</c:v>
                </c:pt>
                <c:pt idx="370">
                  <c:v>197780.23057480014</c:v>
                </c:pt>
                <c:pt idx="371">
                  <c:v>198020.19950049426</c:v>
                </c:pt>
                <c:pt idx="372">
                  <c:v>198256.18237315159</c:v>
                </c:pt>
                <c:pt idx="373">
                  <c:v>198488.19416838774</c:v>
                </c:pt>
                <c:pt idx="374">
                  <c:v>198716.25003649344</c:v>
                </c:pt>
                <c:pt idx="375">
                  <c:v>198940.3653043946</c:v>
                </c:pt>
                <c:pt idx="376">
                  <c:v>199160.55547763844</c:v>
                </c:pt>
                <c:pt idx="377">
                  <c:v>199376.83624240677</c:v>
                </c:pt>
                <c:pt idx="378">
                  <c:v>199589.22346755679</c:v>
                </c:pt>
                <c:pt idx="379">
                  <c:v>199797.73320668965</c:v>
                </c:pt>
                <c:pt idx="380">
                  <c:v>200002.3817002477</c:v>
                </c:pt>
                <c:pt idx="381">
                  <c:v>200203.18537764074</c:v>
                </c:pt>
                <c:pt idx="382">
                  <c:v>200400.16085940183</c:v>
                </c:pt>
                <c:pt idx="383">
                  <c:v>200593.32495937333</c:v>
                </c:pt>
                <c:pt idx="384">
                  <c:v>200782.6946869237</c:v>
                </c:pt>
                <c:pt idx="385">
                  <c:v>200968.28724919551</c:v>
                </c:pt>
                <c:pt idx="386">
                  <c:v>201150.12005338556</c:v>
                </c:pt>
                <c:pt idx="387">
                  <c:v>201328.21070905757</c:v>
                </c:pt>
                <c:pt idx="388">
                  <c:v>201502.57703048788</c:v>
                </c:pt>
                <c:pt idx="389">
                  <c:v>201673.2370390452</c:v>
                </c:pt>
                <c:pt idx="390">
                  <c:v>201840.20896560475</c:v>
                </c:pt>
                <c:pt idx="391">
                  <c:v>202003.51125299771</c:v>
                </c:pt>
                <c:pt idx="392">
                  <c:v>202163.16255849635</c:v>
                </c:pt>
                <c:pt idx="393">
                  <c:v>202319.18175633604</c:v>
                </c:pt>
                <c:pt idx="394">
                  <c:v>202471.58794027433</c:v>
                </c:pt>
                <c:pt idx="395">
                  <c:v>202620.40042618825</c:v>
                </c:pt>
                <c:pt idx="396">
                  <c:v>202765.63875471032</c:v>
                </c:pt>
                <c:pt idx="397">
                  <c:v>202907.32269390431</c:v>
                </c:pt>
                <c:pt idx="398">
                  <c:v>203045.4722419813</c:v>
                </c:pt>
                <c:pt idx="399">
                  <c:v>203180.10763005703</c:v>
                </c:pt>
                <c:pt idx="400">
                  <c:v>203311.24932495129</c:v>
                </c:pt>
                <c:pt idx="401">
                  <c:v>203438.91803203023</c:v>
                </c:pt>
                <c:pt idx="402">
                  <c:v>203563.13469809244</c:v>
                </c:pt>
                <c:pt idx="403">
                  <c:v>203683.92051429991</c:v>
                </c:pt>
                <c:pt idx="404">
                  <c:v>203801.29691915432</c:v>
                </c:pt>
                <c:pt idx="405">
                  <c:v>203915.28560152024</c:v>
                </c:pt>
                <c:pt idx="406">
                  <c:v>204025.90850369559</c:v>
                </c:pt>
                <c:pt idx="407">
                  <c:v>204133.18782453085</c:v>
                </c:pt>
                <c:pt idx="408">
                  <c:v>204237.14602259765</c:v>
                </c:pt>
                <c:pt idx="409">
                  <c:v>204337.80581940818</c:v>
                </c:pt>
                <c:pt idx="410">
                  <c:v>204435.19020268603</c:v>
                </c:pt>
                <c:pt idx="411">
                  <c:v>204529.32242969004</c:v>
                </c:pt>
                <c:pt idx="412">
                  <c:v>204620.22603059188</c:v>
                </c:pt>
                <c:pt idx="413">
                  <c:v>204707.92481190877</c:v>
                </c:pt>
                <c:pt idx="414">
                  <c:v>204792.4428599925</c:v>
                </c:pt>
                <c:pt idx="415">
                  <c:v>204873.80454457569</c:v>
                </c:pt>
                <c:pt idx="416">
                  <c:v>204952.0345223771</c:v>
                </c:pt>
                <c:pt idx="417">
                  <c:v>205027.15774076662</c:v>
                </c:pt>
                <c:pt idx="418">
                  <c:v>205099.19944149177</c:v>
                </c:pt>
                <c:pt idx="419">
                  <c:v>205168.18516446676</c:v>
                </c:pt>
                <c:pt idx="420">
                  <c:v>205234.1407516257</c:v>
                </c:pt>
                <c:pt idx="421">
                  <c:v>205297.09235084115</c:v>
                </c:pt>
                <c:pt idx="422">
                  <c:v>205357.06641990974</c:v>
                </c:pt>
                <c:pt idx="423">
                  <c:v>205414.08973060607</c:v>
                </c:pt>
                <c:pt idx="424">
                  <c:v>205468.18937280678</c:v>
                </c:pt>
                <c:pt idx="425">
                  <c:v>205519.39275868607</c:v>
                </c:pt>
                <c:pt idx="426">
                  <c:v>205567.72762698442</c:v>
                </c:pt>
                <c:pt idx="427">
                  <c:v>205613.22204735223</c:v>
                </c:pt>
                <c:pt idx="428">
                  <c:v>205655.90442477007</c:v>
                </c:pt>
                <c:pt idx="429">
                  <c:v>205695.80350404716</c:v>
                </c:pt>
                <c:pt idx="430">
                  <c:v>205732.94837440024</c:v>
                </c:pt>
                <c:pt idx="431">
                  <c:v>205767.36847411428</c:v>
                </c:pt>
                <c:pt idx="432">
                  <c:v>205799.09359528741</c:v>
                </c:pt>
                <c:pt idx="433">
                  <c:v>205828.15388866156</c:v>
                </c:pt>
                <c:pt idx="434">
                  <c:v>205854.57986854124</c:v>
                </c:pt>
                <c:pt idx="435">
                  <c:v>205878.40241780243</c:v>
                </c:pt>
                <c:pt idx="436">
                  <c:v>205899.65279299364</c:v>
                </c:pt>
                <c:pt idx="437">
                  <c:v>205918.36262953148</c:v>
                </c:pt>
                <c:pt idx="438">
                  <c:v>205934.56394699292</c:v>
                </c:pt>
                <c:pt idx="439">
                  <c:v>205948.28915450681</c:v>
                </c:pt>
                <c:pt idx="440">
                  <c:v>205959.57105624679</c:v>
                </c:pt>
                <c:pt idx="441">
                  <c:v>205968.44285702819</c:v>
                </c:pt>
                <c:pt idx="442">
                  <c:v>205974.93816801163</c:v>
                </c:pt>
                <c:pt idx="443">
                  <c:v>205979.09101251591</c:v>
                </c:pt>
                <c:pt idx="444">
                  <c:v>205980.93583194268</c:v>
                </c:pt>
                <c:pt idx="445">
                  <c:v>205980.50749181598</c:v>
                </c:pt>
                <c:pt idx="446">
                  <c:v>205977.84128793952</c:v>
                </c:pt>
                <c:pt idx="447">
                  <c:v>205972.97295267461</c:v>
                </c:pt>
                <c:pt idx="448">
                  <c:v>205965.93866134176</c:v>
                </c:pt>
                <c:pt idx="449">
                  <c:v>205956.77503874921</c:v>
                </c:pt>
                <c:pt idx="450">
                  <c:v>205945.51916585185</c:v>
                </c:pt>
                <c:pt idx="451">
                  <c:v>205932.20858654342</c:v>
                </c:pt>
                <c:pt idx="452">
                  <c:v>205916.88131458609</c:v>
                </c:pt>
                <c:pt idx="453">
                  <c:v>205899.57584068051</c:v>
                </c:pt>
                <c:pt idx="454">
                  <c:v>205880.33113968032</c:v>
                </c:pt>
                <c:pt idx="455">
                  <c:v>205859.18667795495</c:v>
                </c:pt>
                <c:pt idx="456">
                  <c:v>205836.18242090454</c:v>
                </c:pt>
                <c:pt idx="457">
                  <c:v>205811.35884063118</c:v>
                </c:pt>
                <c:pt idx="458">
                  <c:v>205784.75692377065</c:v>
                </c:pt>
                <c:pt idx="459">
                  <c:v>205756.41817948912</c:v>
                </c:pt>
                <c:pt idx="460">
                  <c:v>205726.38464764922</c:v>
                </c:pt>
                <c:pt idx="461">
                  <c:v>205694.69890715013</c:v>
                </c:pt>
                <c:pt idx="462">
                  <c:v>205661.40408444667</c:v>
                </c:pt>
                <c:pt idx="463">
                  <c:v>205626.54386225215</c:v>
                </c:pt>
                <c:pt idx="464">
                  <c:v>205590.16248843051</c:v>
                </c:pt>
                <c:pt idx="465">
                  <c:v>205552.30478508261</c:v>
                </c:pt>
                <c:pt idx="466">
                  <c:v>205513.01615783255</c:v>
                </c:pt>
                <c:pt idx="467">
                  <c:v>205472.34260531966</c:v>
                </c:pt>
                <c:pt idx="468">
                  <c:v>205430.33072890204</c:v>
                </c:pt>
                <c:pt idx="469">
                  <c:v>205387.02774257775</c:v>
                </c:pt>
                <c:pt idx="470">
                  <c:v>205342.48148313008</c:v>
                </c:pt>
                <c:pt idx="471">
                  <c:v>205296.74042050345</c:v>
                </c:pt>
                <c:pt idx="472">
                  <c:v>205249.85366841676</c:v>
                </c:pt>
                <c:pt idx="473">
                  <c:v>205201.87099522125</c:v>
                </c:pt>
                <c:pt idx="474">
                  <c:v>205152.84283501009</c:v>
                </c:pt>
                <c:pt idx="475">
                  <c:v>205102.82029898747</c:v>
                </c:pt>
                <c:pt idx="476">
                  <c:v>205051.85518710507</c:v>
                </c:pt>
                <c:pt idx="477">
                  <c:v>204999.99999997375</c:v>
                </c:pt>
                <c:pt idx="478">
                  <c:v>204947.3079510594</c:v>
                </c:pt>
                <c:pt idx="479">
                  <c:v>204893.83297917142</c:v>
                </c:pt>
                <c:pt idx="480">
                  <c:v>204839.62976125311</c:v>
                </c:pt>
                <c:pt idx="481">
                  <c:v>204784.75372548332</c:v>
                </c:pt>
                <c:pt idx="482">
                  <c:v>204729.26106469947</c:v>
                </c:pt>
                <c:pt idx="483">
                  <c:v>204673.20875015183</c:v>
                </c:pt>
                <c:pt idx="484">
                  <c:v>204616.65454559994</c:v>
                </c:pt>
                <c:pt idx="485">
                  <c:v>204559.65702176228</c:v>
                </c:pt>
                <c:pt idx="486">
                  <c:v>204502.27557113033</c:v>
                </c:pt>
                <c:pt idx="487">
                  <c:v>204444.57042315949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5ED-8C46-85BE-B44D717659C6}"/>
            </c:ext>
          </c:extLst>
        </c:ser>
        <c:ser>
          <c:idx val="0"/>
          <c:order val="2"/>
          <c:tx>
            <c:strRef>
              <c:f>'Problem 2'!$V$12</c:f>
              <c:strCache>
                <c:ptCount val="1"/>
                <c:pt idx="0">
                  <c:v>1st Stage Jettison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'Problem 2'!$A$13:$A$500</c:f>
              <c:numCache>
                <c:formatCode>General</c:formatCode>
                <c:ptCount val="4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</c:numCache>
            </c:numRef>
          </c:xVal>
          <c:yVal>
            <c:numRef>
              <c:f>'Problem 2'!$V$13:$V$326</c:f>
              <c:numCache>
                <c:formatCode>General</c:formatCode>
                <c:ptCount val="314"/>
                <c:pt idx="0">
                  <c:v>0</c:v>
                </c:pt>
                <c:pt idx="1">
                  <c:v>3.2410824428484535</c:v>
                </c:pt>
                <c:pt idx="2">
                  <c:v>9.7709629632728792</c:v>
                </c:pt>
                <c:pt idx="3">
                  <c:v>19.637203188137178</c:v>
                </c:pt>
                <c:pt idx="4">
                  <c:v>32.887189075565672</c:v>
                </c:pt>
                <c:pt idx="5">
                  <c:v>49.568110344503253</c:v>
                </c:pt>
                <c:pt idx="6">
                  <c:v>69.726941164362898</c:v>
                </c:pt>
                <c:pt idx="7">
                  <c:v>93.410422274382285</c:v>
                </c:pt>
                <c:pt idx="8">
                  <c:v>120.66504470095063</c:v>
                </c:pt>
                <c:pt idx="9">
                  <c:v>151.53703523842967</c:v>
                </c:pt>
                <c:pt idx="10">
                  <c:v>186.0723438548502</c:v>
                </c:pt>
                <c:pt idx="11">
                  <c:v>224.31663317830365</c:v>
                </c:pt>
                <c:pt idx="12">
                  <c:v>266.31527021287121</c:v>
                </c:pt>
                <c:pt idx="13">
                  <c:v>312.1133204245636</c:v>
                </c:pt>
                <c:pt idx="14">
                  <c:v>361.75554432802261</c:v>
                </c:pt>
                <c:pt idx="15">
                  <c:v>415.28639669372041</c:v>
                </c:pt>
                <c:pt idx="16">
                  <c:v>472.75002848316137</c:v>
                </c:pt>
                <c:pt idx="17">
                  <c:v>534.19029160623666</c:v>
                </c:pt>
                <c:pt idx="18">
                  <c:v>599.65074658051708</c:v>
                </c:pt>
                <c:pt idx="19">
                  <c:v>669.1746731570164</c:v>
                </c:pt>
                <c:pt idx="20">
                  <c:v>742.80508396095604</c:v>
                </c:pt>
                <c:pt idx="21">
                  <c:v>820.58474117946264</c:v>
                </c:pt>
                <c:pt idx="22">
                  <c:v>902.55617631108476</c:v>
                </c:pt>
                <c:pt idx="23">
                  <c:v>988.76171297469841</c:v>
                </c:pt>
                <c:pt idx="24">
                  <c:v>1079.1894330304838</c:v>
                </c:pt>
                <c:pt idx="25">
                  <c:v>1173.9257237502372</c:v>
                </c:pt>
                <c:pt idx="26">
                  <c:v>1273.010253266835</c:v>
                </c:pt>
                <c:pt idx="27">
                  <c:v>1376.4822296666971</c:v>
                </c:pt>
                <c:pt idx="28">
                  <c:v>1484.3803955033948</c:v>
                </c:pt>
                <c:pt idx="29">
                  <c:v>1596.7430224455761</c:v>
                </c:pt>
                <c:pt idx="30">
                  <c:v>1713.6079059719575</c:v>
                </c:pt>
                <c:pt idx="31">
                  <c:v>1835.0123600220572</c:v>
                </c:pt>
                <c:pt idx="32">
                  <c:v>1960.9932115082529</c:v>
                </c:pt>
                <c:pt idx="33">
                  <c:v>2091.5867945927366</c:v>
                </c:pt>
                <c:pt idx="34">
                  <c:v>2226.8289446321369</c:v>
                </c:pt>
                <c:pt idx="35">
                  <c:v>2366.7549916930334</c:v>
                </c:pt>
                <c:pt idx="36">
                  <c:v>2511.3997535433873</c:v>
                </c:pt>
                <c:pt idx="37">
                  <c:v>2660.7975280280466</c:v>
                </c:pt>
                <c:pt idx="38">
                  <c:v>2814.9820847409947</c:v>
                </c:pt>
                <c:pt idx="39">
                  <c:v>2973.9866559128345</c:v>
                </c:pt>
                <c:pt idx="40">
                  <c:v>3137.8439264391263</c:v>
                </c:pt>
                <c:pt idx="41">
                  <c:v>3306.5860229835257</c:v>
                </c:pt>
                <c:pt idx="42">
                  <c:v>3480.244502099119</c:v>
                </c:pt>
                <c:pt idx="43">
                  <c:v>3658.8503373218246</c:v>
                </c:pt>
                <c:pt idx="44">
                  <c:v>3842.4339052010523</c:v>
                </c:pt>
                <c:pt idx="45">
                  <c:v>4031.0249702449073</c:v>
                </c:pt>
                <c:pt idx="46">
                  <c:v>4224.652668769857</c:v>
                </c:pt>
                <c:pt idx="47">
                  <c:v>4423.3454916578512</c:v>
                </c:pt>
                <c:pt idx="48">
                  <c:v>4627.1312660371841</c:v>
                </c:pt>
                <c:pt idx="49">
                  <c:v>4836.0371359167357</c:v>
                </c:pt>
                <c:pt idx="50">
                  <c:v>5050.0895418164901</c:v>
                </c:pt>
                <c:pt idx="51">
                  <c:v>5269.3141994501702</c:v>
                </c:pt>
                <c:pt idx="52">
                  <c:v>5493.7360775283341</c:v>
                </c:pt>
                <c:pt idx="53">
                  <c:v>5723.3793747621512</c:v>
                </c:pt>
                <c:pt idx="54">
                  <c:v>5958.267496159192</c:v>
                </c:pt>
                <c:pt idx="55">
                  <c:v>6198.4230287127702</c:v>
                </c:pt>
                <c:pt idx="56">
                  <c:v>6443.8677165955551</c:v>
                </c:pt>
                <c:pt idx="57">
                  <c:v>6694.6224359762327</c:v>
                </c:pt>
                <c:pt idx="58">
                  <c:v>6950.7071695848117</c:v>
                </c:pt>
                <c:pt idx="59">
                  <c:v>7212.1409811577369</c:v>
                </c:pt>
                <c:pt idx="60">
                  <c:v>7478.9419898981823</c:v>
                </c:pt>
                <c:pt idx="61">
                  <c:v>7751.127345089767</c:v>
                </c:pt>
                <c:pt idx="62">
                  <c:v>8028.7132010034402</c:v>
                </c:pt>
                <c:pt idx="63">
                  <c:v>8311.7146922374286</c:v>
                </c:pt>
                <c:pt idx="64">
                  <c:v>8600.1459096290018</c:v>
                </c:pt>
                <c:pt idx="65">
                  <c:v>8894.0198768743667</c:v>
                </c:pt>
                <c:pt idx="66">
                  <c:v>9193.3485279894303</c:v>
                </c:pt>
                <c:pt idx="67">
                  <c:v>9498.1426857394217</c:v>
                </c:pt>
                <c:pt idx="68">
                  <c:v>9808.4120411596541</c:v>
                </c:pt>
                <c:pt idx="69">
                  <c:v>10124.165134283108</c:v>
                </c:pt>
                <c:pt idx="70">
                  <c:v>10445.409336183062</c:v>
                </c:pt>
                <c:pt idx="71">
                  <c:v>10772.15083243098</c:v>
                </c:pt>
                <c:pt idx="72">
                  <c:v>11104.394608061248</c:v>
                </c:pt>
                <c:pt idx="73">
                  <c:v>11442.144434125345</c:v>
                </c:pt>
                <c:pt idx="74">
                  <c:v>11785.402855908776</c:v>
                </c:pt>
                <c:pt idx="75">
                  <c:v>12134.171182874663</c:v>
                </c:pt>
                <c:pt idx="76">
                  <c:v>12488.449480388423</c:v>
                </c:pt>
                <c:pt idx="77">
                  <c:v>12848.236563268591</c:v>
                </c:pt>
                <c:pt idx="78">
                  <c:v>13213.529991199652</c:v>
                </c:pt>
                <c:pt idx="79">
                  <c:v>13584.326066033786</c:v>
                </c:pt>
                <c:pt idx="80">
                  <c:v>13960.619830999898</c:v>
                </c:pt>
                <c:pt idx="81">
                  <c:v>14342.40507183011</c:v>
                </c:pt>
                <c:pt idx="82">
                  <c:v>14729.67431980622</c:v>
                </c:pt>
                <c:pt idx="83">
                  <c:v>15122.418856721482</c:v>
                </c:pt>
                <c:pt idx="84">
                  <c:v>15520.628721746409</c:v>
                </c:pt>
                <c:pt idx="85">
                  <c:v>15924.292720181256</c:v>
                </c:pt>
                <c:pt idx="86">
                  <c:v>16333.398434072375</c:v>
                </c:pt>
                <c:pt idx="87">
                  <c:v>16747.93223466463</c:v>
                </c:pt>
                <c:pt idx="88">
                  <c:v>17167.879296657786</c:v>
                </c:pt>
                <c:pt idx="89">
                  <c:v>17593.223614230843</c:v>
                </c:pt>
                <c:pt idx="90">
                  <c:v>18023.948018794978</c:v>
                </c:pt>
                <c:pt idx="91">
                  <c:v>18460.034198432841</c:v>
                </c:pt>
                <c:pt idx="92">
                  <c:v>18901.462718979503</c:v>
                </c:pt>
                <c:pt idx="93">
                  <c:v>19348.213046698238</c:v>
                </c:pt>
                <c:pt idx="94">
                  <c:v>19800.263572502598</c:v>
                </c:pt>
                <c:pt idx="95">
                  <c:v>20257.591637674745</c:v>
                </c:pt>
                <c:pt idx="96">
                  <c:v>20720.173561028852</c:v>
                </c:pt>
                <c:pt idx="97">
                  <c:v>21187.984667467343</c:v>
                </c:pt>
                <c:pt idx="98">
                  <c:v>21660.999317876987</c:v>
                </c:pt>
                <c:pt idx="99">
                  <c:v>22139.190940311164</c:v>
                </c:pt>
                <c:pt idx="100">
                  <c:v>22622.532062404036</c:v>
                </c:pt>
                <c:pt idx="101">
                  <c:v>23110.994344962026</c:v>
                </c:pt>
                <c:pt idx="102">
                  <c:v>23604.548616677439</c:v>
                </c:pt>
                <c:pt idx="103">
                  <c:v>24103.164909908905</c:v>
                </c:pt>
                <c:pt idx="104">
                  <c:v>24606.812497472929</c:v>
                </c:pt>
                <c:pt idx="105">
                  <c:v>25115.459930390673</c:v>
                </c:pt>
                <c:pt idx="106">
                  <c:v>25629.075076533827</c:v>
                </c:pt>
                <c:pt idx="107">
                  <c:v>26147.625160113355</c:v>
                </c:pt>
                <c:pt idx="108">
                  <c:v>26671.076801954758</c:v>
                </c:pt>
                <c:pt idx="109">
                  <c:v>27199.396060503444</c:v>
                </c:pt>
                <c:pt idx="110">
                  <c:v>27732.548473503881</c:v>
                </c:pt>
                <c:pt idx="111">
                  <c:v>28270.499100296252</c:v>
                </c:pt>
                <c:pt idx="112">
                  <c:v>28813.212564674621</c:v>
                </c:pt>
                <c:pt idx="113">
                  <c:v>29360.653098250852</c:v>
                </c:pt>
                <c:pt idx="114">
                  <c:v>29912.78458426904</c:v>
                </c:pt>
                <c:pt idx="115">
                  <c:v>30469.570601815758</c:v>
                </c:pt>
                <c:pt idx="116">
                  <c:v>31030.97447037217</c:v>
                </c:pt>
                <c:pt idx="117">
                  <c:v>31596.959294654927</c:v>
                </c:pt>
                <c:pt idx="118">
                  <c:v>32167.488009693887</c:v>
                </c:pt>
                <c:pt idx="119">
                  <c:v>32742.523426095846</c:v>
                </c:pt>
                <c:pt idx="120">
                  <c:v>33322.028275445009</c:v>
                </c:pt>
                <c:pt idx="121">
                  <c:v>33905.965255792413</c:v>
                </c:pt>
                <c:pt idx="122">
                  <c:v>34494.297077188443</c:v>
                </c:pt>
                <c:pt idx="123">
                  <c:v>35086.986507214402</c:v>
                </c:pt>
                <c:pt idx="124">
                  <c:v>35683.996416471455</c:v>
                </c:pt>
                <c:pt idx="125">
                  <c:v>36285.289823987405</c:v>
                </c:pt>
                <c:pt idx="126">
                  <c:v>36890.829942504439</c:v>
                </c:pt>
                <c:pt idx="127">
                  <c:v>37500.580223613455</c:v>
                </c:pt>
                <c:pt idx="128">
                  <c:v>38114.504402703627</c:v>
                </c:pt>
                <c:pt idx="129">
                  <c:v>38732.566543698536</c:v>
                </c:pt>
                <c:pt idx="130">
                  <c:v>39354.731083553488</c:v>
                </c:pt>
                <c:pt idx="131">
                  <c:v>39980.962876491678</c:v>
                </c:pt>
                <c:pt idx="132">
                  <c:v>40611.227237960098</c:v>
                </c:pt>
                <c:pt idx="133">
                  <c:v>41245.489988289512</c:v>
                </c:pt>
                <c:pt idx="134">
                  <c:v>41883.717496046149</c:v>
                </c:pt>
                <c:pt idx="135">
                  <c:v>42525.876721066139</c:v>
                </c:pt>
                <c:pt idx="136">
                  <c:v>43171.935257167337</c:v>
                </c:pt>
                <c:pt idx="137">
                  <c:v>43821.861374536435</c:v>
                </c:pt>
                <c:pt idx="138">
                  <c:v>44475.624061792943</c:v>
                </c:pt>
                <c:pt idx="139">
                  <c:v>45133.193067734937</c:v>
                </c:pt>
                <c:pt idx="140">
                  <c:v>45794.538942774954</c:v>
                </c:pt>
                <c:pt idx="141">
                  <c:v>46459.63308007786</c:v>
                </c:pt>
                <c:pt idx="142">
                  <c:v>47128.447756415786</c:v>
                </c:pt>
                <c:pt idx="143">
                  <c:v>47800.956172758619</c:v>
                </c:pt>
                <c:pt idx="144">
                  <c:v>48477.132494621721</c:v>
                </c:pt>
                <c:pt idx="145">
                  <c:v>49156.951892195822</c:v>
                </c:pt>
                <c:pt idx="146">
                  <c:v>49840.390580287043</c:v>
                </c:pt>
                <c:pt idx="147">
                  <c:v>50527.42585809817</c:v>
                </c:pt>
                <c:pt idx="148">
                  <c:v>51218.036148885243</c:v>
                </c:pt>
                <c:pt idx="149">
                  <c:v>51912.201039526444</c:v>
                </c:pt>
                <c:pt idx="150">
                  <c:v>52609.90132004318</c:v>
                </c:pt>
                <c:pt idx="151">
                  <c:v>53311.119023115949</c:v>
                </c:pt>
                <c:pt idx="152">
                  <c:v>54015.837463640521</c:v>
                </c:pt>
                <c:pt idx="153">
                  <c:v>54724.041278372446</c:v>
                </c:pt>
                <c:pt idx="154">
                  <c:v>55435.71646571075</c:v>
                </c:pt>
                <c:pt idx="155">
                  <c:v>56150.850425674173</c:v>
                </c:pt>
                <c:pt idx="156">
                  <c:v>56869.432000126042</c:v>
                </c:pt>
                <c:pt idx="157">
                  <c:v>57591.451513306361</c:v>
                </c:pt>
                <c:pt idx="158">
                  <c:v>58316.900812732354</c:v>
                </c:pt>
                <c:pt idx="159">
                  <c:v>59045.77331053136</c:v>
                </c:pt>
                <c:pt idx="160">
                  <c:v>59778.064025272528</c:v>
                </c:pt>
                <c:pt idx="161">
                  <c:v>60513.769624366534</c:v>
                </c:pt>
                <c:pt idx="162">
                  <c:v>61252.888467105244</c:v>
                </c:pt>
                <c:pt idx="163">
                  <c:v>61995.420648416126</c:v>
                </c:pt>
                <c:pt idx="164">
                  <c:v>62741.368043409042</c:v>
                </c:pt>
                <c:pt idx="165">
                  <c:v>63490.734352796215</c:v>
                </c:pt>
                <c:pt idx="166">
                  <c:v>64243.525149269168</c:v>
                </c:pt>
                <c:pt idx="167">
                  <c:v>64999.747924919917</c:v>
                </c:pt>
                <c:pt idx="168">
                  <c:v>65759.412139797016</c:v>
                </c:pt>
                <c:pt idx="169">
                  <c:v>66522.529271690888</c:v>
                </c:pt>
                <c:pt idx="170">
                  <c:v>67289.112867246717</c:v>
                </c:pt>
                <c:pt idx="171">
                  <c:v>68059.178594507233</c:v>
                </c:pt>
                <c:pt idx="172">
                  <c:v>68832.744296992329</c:v>
                </c:pt>
                <c:pt idx="173">
                  <c:v>69609.830049426979</c:v>
                </c:pt>
                <c:pt idx="174">
                  <c:v>70390.458215234234</c:v>
                </c:pt>
                <c:pt idx="175">
                  <c:v>71174.653505915034</c:v>
                </c:pt>
                <c:pt idx="176">
                  <c:v>71962.443042443047</c:v>
                </c:pt>
                <c:pt idx="177">
                  <c:v>72753.856418808311</c:v>
                </c:pt>
                <c:pt idx="178">
                  <c:v>73548.925767850698</c:v>
                </c:pt>
                <c:pt idx="179">
                  <c:v>74347.685829531256</c:v>
                </c:pt>
                <c:pt idx="180">
                  <c:v>75150.174021797196</c:v>
                </c:pt>
                <c:pt idx="181">
                  <c:v>75956.430514205058</c:v>
                </c:pt>
                <c:pt idx="182">
                  <c:v>76766.498304475303</c:v>
                </c:pt>
                <c:pt idx="183">
                  <c:v>77580.423298161768</c:v>
                </c:pt>
                <c:pt idx="184">
                  <c:v>78398.254391629787</c:v>
                </c:pt>
                <c:pt idx="185">
                  <c:v>79220.043558548568</c:v>
                </c:pt>
                <c:pt idx="186">
                  <c:v>80045.845940115629</c:v>
                </c:pt>
                <c:pt idx="187">
                  <c:v>80875.719939244795</c:v>
                </c:pt>
                <c:pt idx="188">
                  <c:v>81709.727318963865</c:v>
                </c:pt>
                <c:pt idx="189">
                  <c:v>82547.933305283892</c:v>
                </c:pt>
                <c:pt idx="190">
                  <c:v>83390.406694819336</c:v>
                </c:pt>
                <c:pt idx="191">
                  <c:v>84237.219967457015</c:v>
                </c:pt>
                <c:pt idx="192">
                  <c:v>85088.44940439229</c:v>
                </c:pt>
                <c:pt idx="193">
                  <c:v>85944.175211872891</c:v>
                </c:pt>
                <c:pt idx="194">
                  <c:v>86804.481651015041</c:v>
                </c:pt>
                <c:pt idx="195">
                  <c:v>87669.457174082796</c:v>
                </c:pt>
                <c:pt idx="196">
                  <c:v>88539.194567650135</c:v>
                </c:pt>
                <c:pt idx="197">
                  <c:v>89413.791103096679</c:v>
                </c:pt>
                <c:pt idx="198">
                  <c:v>90293.348694922024</c:v>
                </c:pt>
                <c:pt idx="199">
                  <c:v>91177.974067401083</c:v>
                </c:pt>
                <c:pt idx="200">
                  <c:v>92067.778930143759</c:v>
                </c:pt>
                <c:pt idx="201">
                  <c:v>92962.880163166992</c:v>
                </c:pt>
                <c:pt idx="202">
                  <c:v>93863.400012136553</c:v>
                </c:pt>
                <c:pt idx="203">
                  <c:v>94769.466294489728</c:v>
                </c:pt>
                <c:pt idx="204">
                  <c:v>95681.212617209705</c:v>
                </c:pt>
                <c:pt idx="205">
                  <c:v>96598.778607087472</c:v>
                </c:pt>
                <c:pt idx="206">
                  <c:v>97522.310154379433</c:v>
                </c:pt>
                <c:pt idx="207">
                  <c:v>98451.959670848082</c:v>
                </c:pt>
                <c:pt idx="208">
                  <c:v>99387.886363261336</c:v>
                </c:pt>
                <c:pt idx="209">
                  <c:v>100330.25652352301</c:v>
                </c:pt>
                <c:pt idx="210">
                  <c:v>101279.24383671497</c:v>
                </c:pt>
                <c:pt idx="211">
                  <c:v>102235.02970845088</c:v>
                </c:pt>
                <c:pt idx="212">
                  <c:v>102225.21970845088</c:v>
                </c:pt>
                <c:pt idx="213">
                  <c:v>102195.78970845087</c:v>
                </c:pt>
                <c:pt idx="214">
                  <c:v>102146.73970845088</c:v>
                </c:pt>
                <c:pt idx="215">
                  <c:v>102078.06970845087</c:v>
                </c:pt>
                <c:pt idx="216">
                  <c:v>101989.77970845088</c:v>
                </c:pt>
                <c:pt idx="217">
                  <c:v>101881.86970845087</c:v>
                </c:pt>
                <c:pt idx="218">
                  <c:v>101754.33970845088</c:v>
                </c:pt>
                <c:pt idx="219">
                  <c:v>101607.18970845088</c:v>
                </c:pt>
                <c:pt idx="220">
                  <c:v>101440.41970845088</c:v>
                </c:pt>
                <c:pt idx="221">
                  <c:v>101254.02970845088</c:v>
                </c:pt>
                <c:pt idx="222">
                  <c:v>101048.01970845088</c:v>
                </c:pt>
                <c:pt idx="223">
                  <c:v>100822.38970845088</c:v>
                </c:pt>
                <c:pt idx="224">
                  <c:v>100577.13970845088</c:v>
                </c:pt>
                <c:pt idx="225">
                  <c:v>100312.26970845088</c:v>
                </c:pt>
                <c:pt idx="226">
                  <c:v>100027.77970845088</c:v>
                </c:pt>
                <c:pt idx="227">
                  <c:v>99723.669708450878</c:v>
                </c:pt>
                <c:pt idx="228">
                  <c:v>99399.939708450882</c:v>
                </c:pt>
                <c:pt idx="229">
                  <c:v>99056.589708450876</c:v>
                </c:pt>
                <c:pt idx="230">
                  <c:v>98693.619708450875</c:v>
                </c:pt>
                <c:pt idx="231">
                  <c:v>98311.029708450878</c:v>
                </c:pt>
                <c:pt idx="232">
                  <c:v>97908.819708450872</c:v>
                </c:pt>
                <c:pt idx="233">
                  <c:v>97486.989708450885</c:v>
                </c:pt>
                <c:pt idx="234">
                  <c:v>97045.539708450873</c:v>
                </c:pt>
                <c:pt idx="235">
                  <c:v>96584.469708450881</c:v>
                </c:pt>
                <c:pt idx="236">
                  <c:v>96103.779708450878</c:v>
                </c:pt>
                <c:pt idx="237">
                  <c:v>95603.469708450881</c:v>
                </c:pt>
                <c:pt idx="238">
                  <c:v>95083.539708450873</c:v>
                </c:pt>
                <c:pt idx="239">
                  <c:v>94543.989708450885</c:v>
                </c:pt>
                <c:pt idx="240">
                  <c:v>93984.819708450872</c:v>
                </c:pt>
                <c:pt idx="241">
                  <c:v>93406.029708450878</c:v>
                </c:pt>
                <c:pt idx="242">
                  <c:v>92807.619708450875</c:v>
                </c:pt>
                <c:pt idx="243">
                  <c:v>92189.589708450876</c:v>
                </c:pt>
                <c:pt idx="244">
                  <c:v>91551.939708450882</c:v>
                </c:pt>
                <c:pt idx="245">
                  <c:v>90894.669708450878</c:v>
                </c:pt>
                <c:pt idx="246">
                  <c:v>90217.779708450878</c:v>
                </c:pt>
                <c:pt idx="247">
                  <c:v>89521.269708450884</c:v>
                </c:pt>
                <c:pt idx="248">
                  <c:v>88805.139708450879</c:v>
                </c:pt>
                <c:pt idx="249">
                  <c:v>88069.389708450879</c:v>
                </c:pt>
                <c:pt idx="250">
                  <c:v>87314.019708450884</c:v>
                </c:pt>
                <c:pt idx="251">
                  <c:v>86539.029708450878</c:v>
                </c:pt>
                <c:pt idx="252">
                  <c:v>85744.419708450878</c:v>
                </c:pt>
                <c:pt idx="253">
                  <c:v>84930.189708450882</c:v>
                </c:pt>
                <c:pt idx="254">
                  <c:v>84096.339708450876</c:v>
                </c:pt>
                <c:pt idx="255">
                  <c:v>83242.869708450875</c:v>
                </c:pt>
                <c:pt idx="256">
                  <c:v>82369.779708450878</c:v>
                </c:pt>
                <c:pt idx="257">
                  <c:v>81477.069708450872</c:v>
                </c:pt>
                <c:pt idx="258">
                  <c:v>80564.739708450885</c:v>
                </c:pt>
                <c:pt idx="259">
                  <c:v>79632.789708450873</c:v>
                </c:pt>
                <c:pt idx="260">
                  <c:v>78681.219708450881</c:v>
                </c:pt>
                <c:pt idx="261">
                  <c:v>77710.029708450878</c:v>
                </c:pt>
                <c:pt idx="262">
                  <c:v>76719.219708450881</c:v>
                </c:pt>
                <c:pt idx="263">
                  <c:v>75708.789708450873</c:v>
                </c:pt>
                <c:pt idx="264">
                  <c:v>74678.739708450885</c:v>
                </c:pt>
                <c:pt idx="265">
                  <c:v>73629.069708450872</c:v>
                </c:pt>
                <c:pt idx="266">
                  <c:v>72559.779708450878</c:v>
                </c:pt>
                <c:pt idx="267">
                  <c:v>71470.869708450875</c:v>
                </c:pt>
                <c:pt idx="268">
                  <c:v>70362.339708450876</c:v>
                </c:pt>
                <c:pt idx="269">
                  <c:v>69234.189708450867</c:v>
                </c:pt>
                <c:pt idx="270">
                  <c:v>68086.419708450878</c:v>
                </c:pt>
                <c:pt idx="271">
                  <c:v>66919.029708450878</c:v>
                </c:pt>
                <c:pt idx="272">
                  <c:v>65732.019708450884</c:v>
                </c:pt>
                <c:pt idx="273">
                  <c:v>64525.389708450879</c:v>
                </c:pt>
                <c:pt idx="274">
                  <c:v>63299.139708450879</c:v>
                </c:pt>
                <c:pt idx="275">
                  <c:v>62053.269708450876</c:v>
                </c:pt>
                <c:pt idx="276">
                  <c:v>60787.779708450878</c:v>
                </c:pt>
                <c:pt idx="277">
                  <c:v>59502.669708450878</c:v>
                </c:pt>
                <c:pt idx="278">
                  <c:v>58197.939708450875</c:v>
                </c:pt>
                <c:pt idx="279">
                  <c:v>56873.589708450876</c:v>
                </c:pt>
                <c:pt idx="280">
                  <c:v>55529.619708450875</c:v>
                </c:pt>
                <c:pt idx="281">
                  <c:v>54166.029708450878</c:v>
                </c:pt>
                <c:pt idx="282">
                  <c:v>52782.819708450879</c:v>
                </c:pt>
                <c:pt idx="283">
                  <c:v>51379.989708450878</c:v>
                </c:pt>
                <c:pt idx="284">
                  <c:v>49957.539708450873</c:v>
                </c:pt>
                <c:pt idx="285">
                  <c:v>48515.469708450873</c:v>
                </c:pt>
                <c:pt idx="286">
                  <c:v>47053.779708450878</c:v>
                </c:pt>
                <c:pt idx="287">
                  <c:v>45572.469708450873</c:v>
                </c:pt>
                <c:pt idx="288">
                  <c:v>44071.539708450873</c:v>
                </c:pt>
                <c:pt idx="289">
                  <c:v>42550.989708450878</c:v>
                </c:pt>
                <c:pt idx="290">
                  <c:v>41010.819708450872</c:v>
                </c:pt>
                <c:pt idx="291">
                  <c:v>39451.029708450878</c:v>
                </c:pt>
                <c:pt idx="292">
                  <c:v>37871.619708450875</c:v>
                </c:pt>
                <c:pt idx="293">
                  <c:v>36272.589708450876</c:v>
                </c:pt>
                <c:pt idx="294">
                  <c:v>34653.939708450882</c:v>
                </c:pt>
                <c:pt idx="295">
                  <c:v>33015.669708450878</c:v>
                </c:pt>
                <c:pt idx="296">
                  <c:v>31357.779708450878</c:v>
                </c:pt>
                <c:pt idx="297">
                  <c:v>29680.269708450869</c:v>
                </c:pt>
                <c:pt idx="298">
                  <c:v>27983.139708450879</c:v>
                </c:pt>
                <c:pt idx="299">
                  <c:v>26266.389708450879</c:v>
                </c:pt>
                <c:pt idx="300">
                  <c:v>24530.019708450869</c:v>
                </c:pt>
                <c:pt idx="301">
                  <c:v>22774.029708450878</c:v>
                </c:pt>
                <c:pt idx="302">
                  <c:v>20998.419708450878</c:v>
                </c:pt>
                <c:pt idx="303">
                  <c:v>19203.189708450867</c:v>
                </c:pt>
                <c:pt idx="304">
                  <c:v>17388.339708450876</c:v>
                </c:pt>
                <c:pt idx="305">
                  <c:v>15553.869708450875</c:v>
                </c:pt>
                <c:pt idx="306">
                  <c:v>13699.779708450878</c:v>
                </c:pt>
                <c:pt idx="307">
                  <c:v>11826.069708450872</c:v>
                </c:pt>
                <c:pt idx="308">
                  <c:v>9932.7397084508702</c:v>
                </c:pt>
                <c:pt idx="309">
                  <c:v>8019.7897084508731</c:v>
                </c:pt>
                <c:pt idx="310">
                  <c:v>6087.2197084508807</c:v>
                </c:pt>
                <c:pt idx="311">
                  <c:v>4135.0297084508784</c:v>
                </c:pt>
                <c:pt idx="312">
                  <c:v>2163.2197084508662</c:v>
                </c:pt>
                <c:pt idx="313">
                  <c:v>171.78970845087315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CB-B94E-965F-9F16C37D4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428559"/>
        <c:axId val="1327528831"/>
      </c:scatterChart>
      <c:scatterChart>
        <c:scatterStyle val="smoothMarker"/>
        <c:varyColors val="0"/>
        <c:ser>
          <c:idx val="12"/>
          <c:order val="1"/>
          <c:tx>
            <c:strRef>
              <c:f>'Problem 2'!$N$12</c:f>
              <c:strCache>
                <c:ptCount val="1"/>
                <c:pt idx="0">
                  <c:v>Pressure (MPa)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'Problem 2'!$A$13:$A$521</c:f>
              <c:numCache>
                <c:formatCode>General</c:formatCode>
                <c:ptCount val="50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</c:numCache>
            </c:numRef>
          </c:xVal>
          <c:yVal>
            <c:numRef>
              <c:f>'Problem 2'!$N$13:$N$521</c:f>
              <c:numCache>
                <c:formatCode>General</c:formatCode>
                <c:ptCount val="509"/>
                <c:pt idx="0">
                  <c:v>0</c:v>
                </c:pt>
                <c:pt idx="1">
                  <c:v>6.4311788686840432E-3</c:v>
                </c:pt>
                <c:pt idx="2">
                  <c:v>2.6081147767938104E-2</c:v>
                </c:pt>
                <c:pt idx="3">
                  <c:v>5.9459874204471665E-2</c:v>
                </c:pt>
                <c:pt idx="4">
                  <c:v>0.10704134518109991</c:v>
                </c:pt>
                <c:pt idx="5">
                  <c:v>0.16925978373700498</c:v>
                </c:pt>
                <c:pt idx="6">
                  <c:v>0.24650596254744814</c:v>
                </c:pt>
                <c:pt idx="7">
                  <c:v>0.33912364804095591</c:v>
                </c:pt>
                <c:pt idx="8">
                  <c:v>0.44740620861188063</c:v>
                </c:pt>
                <c:pt idx="9">
                  <c:v>0.57159342020660808</c:v>
                </c:pt>
                <c:pt idx="10">
                  <c:v>0.7118685018274884</c:v>
                </c:pt>
                <c:pt idx="11">
                  <c:v>0.86835541232228619</c:v>
                </c:pt>
                <c:pt idx="12">
                  <c:v>1.0411164382091176</c:v>
                </c:pt>
                <c:pt idx="13">
                  <c:v>1.230150100236495</c:v>
                </c:pt>
                <c:pt idx="14">
                  <c:v>1.4353894039128761</c:v>
                </c:pt>
                <c:pt idx="15">
                  <c:v>1.6567004563863348</c:v>
                </c:pt>
                <c:pt idx="16">
                  <c:v>1.8938814688471857</c:v>
                </c:pt>
                <c:pt idx="17">
                  <c:v>2.1466621601070828</c:v>
                </c:pt>
                <c:pt idx="18">
                  <c:v>2.4147035732267565</c:v>
                </c:pt>
                <c:pt idx="19">
                  <c:v>2.6975983130768424</c:v>
                </c:pt>
                <c:pt idx="20">
                  <c:v>2.9948712085828153</c:v>
                </c:pt>
                <c:pt idx="21">
                  <c:v>3.305980399190203</c:v>
                </c:pt>
                <c:pt idx="22">
                  <c:v>3.63031884085665</c:v>
                </c:pt>
                <c:pt idx="23">
                  <c:v>3.96721622270038</c:v>
                </c:pt>
                <c:pt idx="24">
                  <c:v>4.315973713887991</c:v>
                </c:pt>
                <c:pt idx="25">
                  <c:v>4.676358692851931</c:v>
                </c:pt>
                <c:pt idx="26">
                  <c:v>5.047122069333513</c:v>
                </c:pt>
                <c:pt idx="27">
                  <c:v>5.4274038565065119</c:v>
                </c:pt>
                <c:pt idx="28">
                  <c:v>5.8163008062312418</c:v>
                </c:pt>
                <c:pt idx="29">
                  <c:v>6.2128706436400476</c:v>
                </c:pt>
                <c:pt idx="30">
                  <c:v>6.616136512403604</c:v>
                </c:pt>
                <c:pt idx="31">
                  <c:v>7.0250915914537062</c:v>
                </c:pt>
                <c:pt idx="32">
                  <c:v>7.438703843068482</c:v>
                </c:pt>
                <c:pt idx="33">
                  <c:v>7.8559208519144859</c:v>
                </c:pt>
                <c:pt idx="34">
                  <c:v>8.2756747148743841</c:v>
                </c:pt>
                <c:pt idx="35">
                  <c:v>8.6968869422459676</c:v>
                </c:pt>
                <c:pt idx="36">
                  <c:v>9.1184733321472216</c:v>
                </c:pt>
                <c:pt idx="37">
                  <c:v>9.5393487816624294</c:v>
                </c:pt>
                <c:pt idx="38">
                  <c:v>9.9584320003707205</c:v>
                </c:pt>
                <c:pt idx="39">
                  <c:v>10.374650094357646</c:v>
                </c:pt>
                <c:pt idx="40">
                  <c:v>10.786942991567669</c:v>
                </c:pt>
                <c:pt idx="41">
                  <c:v>11.194267682350578</c:v>
                </c:pt>
                <c:pt idx="42">
                  <c:v>11.595602252228383</c:v>
                </c:pt>
                <c:pt idx="43">
                  <c:v>11.98994968720034</c:v>
                </c:pt>
                <c:pt idx="44">
                  <c:v>12.376341435253105</c:v>
                </c:pt>
                <c:pt idx="45">
                  <c:v>12.753840711093954</c:v>
                </c:pt>
                <c:pt idx="46">
                  <c:v>13.12154553442352</c:v>
                </c:pt>
                <c:pt idx="47">
                  <c:v>13.478591495261499</c:v>
                </c:pt>
                <c:pt idx="48">
                  <c:v>13.824154242889602</c:v>
                </c:pt>
                <c:pt idx="49">
                  <c:v>14.157451697841692</c:v>
                </c:pt>
                <c:pt idx="50">
                  <c:v>14.47774598901875</c:v>
                </c:pt>
                <c:pt idx="51">
                  <c:v>14.784345120408437</c:v>
                </c:pt>
                <c:pt idx="52">
                  <c:v>15.076604374026076</c:v>
                </c:pt>
                <c:pt idx="53">
                  <c:v>15.353927457549817</c:v>
                </c:pt>
                <c:pt idx="54">
                  <c:v>15.615767406690987</c:v>
                </c:pt>
                <c:pt idx="55">
                  <c:v>15.861627253616899</c:v>
                </c:pt>
                <c:pt idx="56">
                  <c:v>16.091060473731915</c:v>
                </c:pt>
                <c:pt idx="57">
                  <c:v>16.303671223830364</c:v>
                </c:pt>
                <c:pt idx="58">
                  <c:v>16.499114385074947</c:v>
                </c:pt>
                <c:pt idx="59">
                  <c:v>16.677095424442552</c:v>
                </c:pt>
                <c:pt idx="60">
                  <c:v>16.837370088236501</c:v>
                </c:pt>
                <c:pt idx="61">
                  <c:v>16.979743941011453</c:v>
                </c:pt>
                <c:pt idx="62">
                  <c:v>17.104071762821818</c:v>
                </c:pt>
                <c:pt idx="63">
                  <c:v>17.210256817110288</c:v>
                </c:pt>
                <c:pt idx="64">
                  <c:v>17.298250000830144</c:v>
                </c:pt>
                <c:pt idx="65">
                  <c:v>17.368048887570296</c:v>
                </c:pt>
                <c:pt idx="66">
                  <c:v>17.419696673553727</c:v>
                </c:pt>
                <c:pt idx="67">
                  <c:v>17.453281035436291</c:v>
                </c:pt>
                <c:pt idx="68">
                  <c:v>17.46893290787019</c:v>
                </c:pt>
                <c:pt idx="69">
                  <c:v>17.46682518783911</c:v>
                </c:pt>
                <c:pt idx="70">
                  <c:v>17.447171371845645</c:v>
                </c:pt>
                <c:pt idx="71">
                  <c:v>17.410224131154386</c:v>
                </c:pt>
                <c:pt idx="72">
                  <c:v>17.356273829487581</c:v>
                </c:pt>
                <c:pt idx="73">
                  <c:v>17.2856469868487</c:v>
                </c:pt>
                <c:pt idx="74">
                  <c:v>17.198704692526988</c:v>
                </c:pt>
                <c:pt idx="75">
                  <c:v>17.095840969822589</c:v>
                </c:pt>
                <c:pt idx="76">
                  <c:v>16.977481094634847</c:v>
                </c:pt>
                <c:pt idx="77">
                  <c:v>16.844079869780284</c:v>
                </c:pt>
                <c:pt idx="78">
                  <c:v>16.69611985675121</c:v>
                </c:pt>
                <c:pt idx="79">
                  <c:v>16.534109566591674</c:v>
                </c:pt>
                <c:pt idx="80">
                  <c:v>16.358581611647079</c:v>
                </c:pt>
                <c:pt idx="81">
                  <c:v>16.170090820132604</c:v>
                </c:pt>
                <c:pt idx="82">
                  <c:v>15.969212315751971</c:v>
                </c:pt>
                <c:pt idx="83">
                  <c:v>15.756539564972837</c:v>
                </c:pt>
                <c:pt idx="84">
                  <c:v>15.532682395011991</c:v>
                </c:pt>
                <c:pt idx="85">
                  <c:v>15.298264986091068</c:v>
                </c:pt>
                <c:pt idx="86">
                  <c:v>15.053923842072816</c:v>
                </c:pt>
                <c:pt idx="87">
                  <c:v>14.800305744165168</c:v>
                </c:pt>
                <c:pt idx="88">
                  <c:v>14.538065692966699</c:v>
                </c:pt>
                <c:pt idx="89">
                  <c:v>14.267864844706889</c:v>
                </c:pt>
                <c:pt idx="90">
                  <c:v>13.99036844809153</c:v>
                </c:pt>
                <c:pt idx="91">
                  <c:v>13.706243788681029</c:v>
                </c:pt>
                <c:pt idx="92">
                  <c:v>13.416158148194253</c:v>
                </c:pt>
                <c:pt idx="93">
                  <c:v>13.12077678652825</c:v>
                </c:pt>
                <c:pt idx="94">
                  <c:v>12.820760954604214</c:v>
                </c:pt>
                <c:pt idx="95">
                  <c:v>12.516765946381691</c:v>
                </c:pt>
                <c:pt idx="96">
                  <c:v>12.209439198519194</c:v>
                </c:pt>
                <c:pt idx="97">
                  <c:v>11.899418446193756</c:v>
                </c:pt>
                <c:pt idx="98">
                  <c:v>11.587329943521103</c:v>
                </c:pt>
                <c:pt idx="99">
                  <c:v>11.273786756840668</c:v>
                </c:pt>
                <c:pt idx="100">
                  <c:v>10.959387138846303</c:v>
                </c:pt>
                <c:pt idx="101">
                  <c:v>10.644712991156643</c:v>
                </c:pt>
                <c:pt idx="102">
                  <c:v>10.330328422434121</c:v>
                </c:pt>
                <c:pt idx="103">
                  <c:v>10.016778408584283</c:v>
                </c:pt>
                <c:pt idx="104">
                  <c:v>9.7045875609063135</c:v>
                </c:pt>
                <c:pt idx="105">
                  <c:v>9.3942590073303958</c:v>
                </c:pt>
                <c:pt idx="106">
                  <c:v>9.0862733910792439</c:v>
                </c:pt>
                <c:pt idx="107">
                  <c:v>8.7810879902406622</c:v>
                </c:pt>
                <c:pt idx="108">
                  <c:v>8.4791359608487404</c:v>
                </c:pt>
                <c:pt idx="109">
                  <c:v>8.1808257051552342</c:v>
                </c:pt>
                <c:pt idx="110">
                  <c:v>7.8865403658432331</c:v>
                </c:pt>
                <c:pt idx="111">
                  <c:v>7.596637446005186</c:v>
                </c:pt>
                <c:pt idx="112">
                  <c:v>7.311448553789293</c:v>
                </c:pt>
                <c:pt idx="113">
                  <c:v>7.0312792697240409</c:v>
                </c:pt>
                <c:pt idx="114">
                  <c:v>6.75640913387174</c:v>
                </c:pt>
                <c:pt idx="115">
                  <c:v>6.4870917491483722</c:v>
                </c:pt>
                <c:pt idx="116">
                  <c:v>6.2235549963883798</c:v>
                </c:pt>
                <c:pt idx="117">
                  <c:v>5.9660013560369585</c:v>
                </c:pt>
                <c:pt idx="118">
                  <c:v>5.7146083307260387</c:v>
                </c:pt>
                <c:pt idx="119">
                  <c:v>5.4695289624386794</c:v>
                </c:pt>
                <c:pt idx="120">
                  <c:v>5.2308924374940462</c:v>
                </c:pt>
                <c:pt idx="121">
                  <c:v>4.9988047721945472</c:v>
                </c:pt>
                <c:pt idx="122">
                  <c:v>4.7733495716689855</c:v>
                </c:pt>
                <c:pt idx="123">
                  <c:v>4.5545888542212243</c:v>
                </c:pt>
                <c:pt idx="124">
                  <c:v>4.342563933351224</c:v>
                </c:pt>
                <c:pt idx="125">
                  <c:v>4.1372963495529458</c:v>
                </c:pt>
                <c:pt idx="126">
                  <c:v>3.9387888440072443</c:v>
                </c:pt>
                <c:pt idx="127">
                  <c:v>3.7470263663742953</c:v>
                </c:pt>
                <c:pt idx="128">
                  <c:v>3.5619771090436654</c:v>
                </c:pt>
                <c:pt idx="129">
                  <c:v>3.3835935604158123</c:v>
                </c:pt>
                <c:pt idx="130">
                  <c:v>3.2118135700601571</c:v>
                </c:pt>
                <c:pt idx="131">
                  <c:v>3.0465614189157444</c:v>
                </c:pt>
                <c:pt idx="132">
                  <c:v>2.8877488880640323</c:v>
                </c:pt>
                <c:pt idx="133">
                  <c:v>2.7352763200030261</c:v>
                </c:pt>
                <c:pt idx="134">
                  <c:v>2.5890336667805514</c:v>
                </c:pt>
                <c:pt idx="135">
                  <c:v>2.4489015197959718</c:v>
                </c:pt>
                <c:pt idx="136">
                  <c:v>2.3147521165467917</c:v>
                </c:pt>
                <c:pt idx="137">
                  <c:v>2.1864503200739707</c:v>
                </c:pt>
                <c:pt idx="138">
                  <c:v>2.063854567340917</c:v>
                </c:pt>
                <c:pt idx="139">
                  <c:v>1.9468177832610769</c:v>
                </c:pt>
                <c:pt idx="140">
                  <c:v>1.835188257562467</c:v>
                </c:pt>
                <c:pt idx="141">
                  <c:v>1.7288104821402162</c:v>
                </c:pt>
                <c:pt idx="142">
                  <c:v>1.6275259469960286</c:v>
                </c:pt>
                <c:pt idx="143">
                  <c:v>1.5311738932930918</c:v>
                </c:pt>
                <c:pt idx="144">
                  <c:v>1.4395920224633953</c:v>
                </c:pt>
                <c:pt idx="145">
                  <c:v>1.3526171606892792</c:v>
                </c:pt>
                <c:pt idx="146">
                  <c:v>1.2700858784404776</c:v>
                </c:pt>
                <c:pt idx="147">
                  <c:v>1.19183506508032</c:v>
                </c:pt>
                <c:pt idx="148">
                  <c:v>1.1177024588594504</c:v>
                </c:pt>
                <c:pt idx="149">
                  <c:v>1.0475271328915861</c:v>
                </c:pt>
                <c:pt idx="150">
                  <c:v>0.98114993795343308</c:v>
                </c:pt>
                <c:pt idx="151">
                  <c:v>0.91841390317011828</c:v>
                </c:pt>
                <c:pt idx="152">
                  <c:v>0.85916459583874416</c:v>
                </c:pt>
                <c:pt idx="153">
                  <c:v>0.80325044180687943</c:v>
                </c:pt>
                <c:pt idx="154">
                  <c:v>0.750523007960751</c:v>
                </c:pt>
                <c:pt idx="155">
                  <c:v>0.70083724849098972</c:v>
                </c:pt>
                <c:pt idx="156">
                  <c:v>0.65405171669319895</c:v>
                </c:pt>
                <c:pt idx="157">
                  <c:v>0.61002874412792896</c:v>
                </c:pt>
                <c:pt idx="158">
                  <c:v>0.56863458901135022</c:v>
                </c:pt>
                <c:pt idx="159">
                  <c:v>0.52973955573572085</c:v>
                </c:pt>
                <c:pt idx="160">
                  <c:v>0.49321808742917023</c:v>
                </c:pt>
                <c:pt idx="161">
                  <c:v>0.45894883345920728</c:v>
                </c:pt>
                <c:pt idx="162">
                  <c:v>0.42681469376517273</c:v>
                </c:pt>
                <c:pt idx="163">
                  <c:v>0.39670284187334898</c:v>
                </c:pt>
                <c:pt idx="164">
                  <c:v>0.36850472840614718</c:v>
                </c:pt>
                <c:pt idx="165">
                  <c:v>0.34211606684515428</c:v>
                </c:pt>
                <c:pt idx="166">
                  <c:v>0.31743680324840096</c:v>
                </c:pt>
                <c:pt idx="167">
                  <c:v>0.29437107155624398</c:v>
                </c:pt>
                <c:pt idx="168">
                  <c:v>0.27282713604909065</c:v>
                </c:pt>
                <c:pt idx="169">
                  <c:v>0.2527173224449733</c:v>
                </c:pt>
                <c:pt idx="170">
                  <c:v>0.23395793904677387</c:v>
                </c:pt>
                <c:pt idx="171">
                  <c:v>0.21646918926876021</c:v>
                </c:pt>
                <c:pt idx="172">
                  <c:v>0.20017507679081298</c:v>
                </c:pt>
                <c:pt idx="173">
                  <c:v>0.18500330450719721</c:v>
                </c:pt>
                <c:pt idx="174">
                  <c:v>0.17088516835560896</c:v>
                </c:pt>
                <c:pt idx="175">
                  <c:v>0.15775544703216218</c:v>
                </c:pt>
                <c:pt idx="176">
                  <c:v>0.14555228851946853</c:v>
                </c:pt>
                <c:pt idx="177">
                  <c:v>0.13421709427853457</c:v>
                </c:pt>
                <c:pt idx="178">
                  <c:v>0.12369440188115323</c:v>
                </c:pt>
                <c:pt idx="179">
                  <c:v>0.113931766788191</c:v>
                </c:pt>
                <c:pt idx="180">
                  <c:v>0.10487964391088206</c:v>
                </c:pt>
                <c:pt idx="181">
                  <c:v>9.649126952713126E-2</c:v>
                </c:pt>
                <c:pt idx="182">
                  <c:v>8.8722544063066192E-2</c:v>
                </c:pt>
                <c:pt idx="183">
                  <c:v>8.153191619173121E-2</c:v>
                </c:pt>
                <c:pt idx="184">
                  <c:v>7.4880268645949336E-2</c:v>
                </c:pt>
                <c:pt idx="185">
                  <c:v>6.8730806091011384E-2</c:v>
                </c:pt>
                <c:pt idx="186">
                  <c:v>6.3048945354954616E-2</c:v>
                </c:pt>
                <c:pt idx="187">
                  <c:v>5.7802208269727665E-2</c:v>
                </c:pt>
                <c:pt idx="188">
                  <c:v>5.2960117335436437E-2</c:v>
                </c:pt>
                <c:pt idx="189">
                  <c:v>4.8494094382029986E-2</c:v>
                </c:pt>
                <c:pt idx="190">
                  <c:v>4.4377362368113245E-2</c:v>
                </c:pt>
                <c:pt idx="191">
                  <c:v>4.058485042494555E-2</c:v>
                </c:pt>
                <c:pt idx="192">
                  <c:v>3.7093102224960879E-2</c:v>
                </c:pt>
                <c:pt idx="193">
                  <c:v>3.3880187728202463E-2</c:v>
                </c:pt>
                <c:pt idx="194">
                  <c:v>3.0925618336739534E-2</c:v>
                </c:pt>
                <c:pt idx="195">
                  <c:v>2.8210265466293023E-2</c:v>
                </c:pt>
                <c:pt idx="196">
                  <c:v>2.5716282525782098E-2</c:v>
                </c:pt>
                <c:pt idx="197">
                  <c:v>2.342703027916803E-2</c:v>
                </c:pt>
                <c:pt idx="198">
                  <c:v>2.1327005549666208E-2</c:v>
                </c:pt>
                <c:pt idx="199">
                  <c:v>1.9401773213976251E-2</c:v>
                </c:pt>
                <c:pt idx="200">
                  <c:v>1.7637901423500607E-2</c:v>
                </c:pt>
                <c:pt idx="201">
                  <c:v>1.6022899980446724E-2</c:v>
                </c:pt>
                <c:pt idx="202">
                  <c:v>1.45451617891029E-2</c:v>
                </c:pt>
                <c:pt idx="203">
                  <c:v>1.3193907296317834E-2</c:v>
                </c:pt>
                <c:pt idx="204">
                  <c:v>1.1959131830172548E-2</c:v>
                </c:pt>
                <c:pt idx="205">
                  <c:v>1.0831555741901758E-2</c:v>
                </c:pt>
                <c:pt idx="206">
                  <c:v>9.8025772531849971E-3</c:v>
                </c:pt>
                <c:pt idx="207">
                  <c:v>8.8642279088868639E-3</c:v>
                </c:pt>
                <c:pt idx="208">
                  <c:v>8.0091305340823718E-3</c:v>
                </c:pt>
                <c:pt idx="209">
                  <c:v>7.2304595936699655E-3</c:v>
                </c:pt>
                <c:pt idx="210">
                  <c:v>6.5219038529651142E-3</c:v>
                </c:pt>
                <c:pt idx="211">
                  <c:v>5.8776312383065771E-3</c:v>
                </c:pt>
                <c:pt idx="212">
                  <c:v>5.2922557978226517E-3</c:v>
                </c:pt>
                <c:pt idx="213">
                  <c:v>4.8386922045640761E-3</c:v>
                </c:pt>
                <c:pt idx="214">
                  <c:v>4.240698439406854E-3</c:v>
                </c:pt>
                <c:pt idx="215">
                  <c:v>3.7192597545942147E-3</c:v>
                </c:pt>
                <c:pt idx="216">
                  <c:v>3.2642634282382473E-3</c:v>
                </c:pt>
                <c:pt idx="217">
                  <c:v>2.866970982530288E-3</c:v>
                </c:pt>
                <c:pt idx="218">
                  <c:v>2.5198265361080028E-3</c:v>
                </c:pt>
                <c:pt idx="219">
                  <c:v>2.2162925289746283E-3</c:v>
                </c:pt>
                <c:pt idx="220">
                  <c:v>1.950708822639619E-3</c:v>
                </c:pt>
                <c:pt idx="221">
                  <c:v>1.7181717741584542E-3</c:v>
                </c:pt>
                <c:pt idx="222">
                  <c:v>1.5144303881337244E-3</c:v>
                </c:pt>
                <c:pt idx="223">
                  <c:v>1.3357970795382676E-3</c:v>
                </c:pt>
                <c:pt idx="224">
                  <c:v>1.1790709442585248E-3</c:v>
                </c:pt>
                <c:pt idx="225">
                  <c:v>1.0414717434982196E-3</c:v>
                </c:pt>
                <c:pt idx="226">
                  <c:v>9.2058307103402859E-4</c:v>
                </c:pt>
                <c:pt idx="227">
                  <c:v>8.1430339586779964E-4</c:v>
                </c:pt>
                <c:pt idx="228">
                  <c:v>7.2080386306274215E-4</c:v>
                </c:pt>
                <c:pt idx="229">
                  <c:v>6.3849189754262728E-4</c:v>
                </c:pt>
                <c:pt idx="230">
                  <c:v>5.6597979365040818E-4</c:v>
                </c:pt>
                <c:pt idx="231">
                  <c:v>5.0205759092274756E-4</c:v>
                </c:pt>
                <c:pt idx="232">
                  <c:v>4.4566963690172666E-4</c:v>
                </c:pt>
                <c:pt idx="233">
                  <c:v>3.9589432346633714E-4</c:v>
                </c:pt>
                <c:pt idx="234">
                  <c:v>3.5192655632163629E-4</c:v>
                </c:pt>
                <c:pt idx="235">
                  <c:v>3.1306257979436163E-4</c:v>
                </c:pt>
                <c:pt idx="236">
                  <c:v>2.786868325305452E-4</c:v>
                </c:pt>
                <c:pt idx="237">
                  <c:v>2.4826055541391005E-4</c:v>
                </c:pt>
                <c:pt idx="238">
                  <c:v>2.2131191216241913E-4</c:v>
                </c:pt>
                <c:pt idx="239">
                  <c:v>1.9742741658182439E-4</c:v>
                </c:pt>
                <c:pt idx="240">
                  <c:v>1.7624448918223383E-4</c:v>
                </c:pt>
                <c:pt idx="241">
                  <c:v>1.5744499049631219E-4</c:v>
                </c:pt>
                <c:pt idx="242">
                  <c:v>1.4074959957165566E-4</c:v>
                </c:pt>
                <c:pt idx="243">
                  <c:v>1.2591292425229251E-4</c:v>
                </c:pt>
                <c:pt idx="244">
                  <c:v>1.127192454476284E-4</c:v>
                </c:pt>
                <c:pt idx="245">
                  <c:v>1.0097881098003089E-4</c:v>
                </c:pt>
                <c:pt idx="246">
                  <c:v>9.0524606119114442E-5</c:v>
                </c:pt>
                <c:pt idx="247">
                  <c:v>8.120953782002517E-5</c:v>
                </c:pt>
                <c:pt idx="248">
                  <c:v>7.2903978213930326E-5</c:v>
                </c:pt>
                <c:pt idx="249">
                  <c:v>6.5493620247313855E-5</c:v>
                </c:pt>
                <c:pt idx="250">
                  <c:v>5.8877604700098065E-5</c:v>
                </c:pt>
                <c:pt idx="251">
                  <c:v>5.2966883274295766E-5</c:v>
                </c:pt>
                <c:pt idx="252">
                  <c:v>4.7682787157488376E-5</c:v>
                </c:pt>
                <c:pt idx="253">
                  <c:v>4.2955774533965215E-5</c:v>
                </c:pt>
                <c:pt idx="254">
                  <c:v>3.8724334030806254E-5</c:v>
                </c:pt>
                <c:pt idx="255">
                  <c:v>3.4934024123727187E-5</c:v>
                </c:pt>
                <c:pt idx="256">
                  <c:v>3.1536631154309234E-5</c:v>
                </c:pt>
                <c:pt idx="257">
                  <c:v>2.8489430883102518E-5</c:v>
                </c:pt>
                <c:pt idx="258">
                  <c:v>2.5754540470810567E-5</c:v>
                </c:pt>
                <c:pt idx="259">
                  <c:v>2.3298349484247866E-5</c:v>
                </c:pt>
                <c:pt idx="260">
                  <c:v>2.1091020001040885E-5</c:v>
                </c:pt>
                <c:pt idx="261">
                  <c:v>1.9106047168109845E-5</c:v>
                </c:pt>
                <c:pt idx="262">
                  <c:v>1.7319872680498115E-5</c:v>
                </c:pt>
                <c:pt idx="263">
                  <c:v>1.5711544612072514E-5</c:v>
                </c:pt>
                <c:pt idx="264">
                  <c:v>1.4262417867793454E-5</c:v>
                </c:pt>
                <c:pt idx="265">
                  <c:v>1.2955890255699674E-5</c:v>
                </c:pt>
                <c:pt idx="266">
                  <c:v>1.1777169810179497E-5</c:v>
                </c:pt>
                <c:pt idx="267">
                  <c:v>1.0713069549210665E-5</c:v>
                </c:pt>
                <c:pt idx="268">
                  <c:v>9.7518263279911487E-6</c:v>
                </c:pt>
                <c:pt idx="269">
                  <c:v>8.8829408692324123E-6</c:v>
                </c:pt>
                <c:pt idx="270">
                  <c:v>8.0970364145209963E-6</c:v>
                </c:pt>
                <c:pt idx="271">
                  <c:v>7.3857337586520131E-6</c:v>
                </c:pt>
                <c:pt idx="272">
                  <c:v>6.741540705822128E-6</c:v>
                </c:pt>
                <c:pt idx="273">
                  <c:v>6.1577542283372488E-6</c:v>
                </c:pt>
                <c:pt idx="274">
                  <c:v>5.6283738196343025E-6</c:v>
                </c:pt>
                <c:pt idx="275">
                  <c:v>5.1480247179149466E-6</c:v>
                </c:pt>
                <c:pt idx="276">
                  <c:v>4.7118898379870399E-6</c:v>
                </c:pt>
                <c:pt idx="277">
                  <c:v>4.3156493900056934E-6</c:v>
                </c:pt>
                <c:pt idx="278">
                  <c:v>3.9554272872889304E-6</c:v>
                </c:pt>
                <c:pt idx="279">
                  <c:v>3.6277435535149591E-6</c:v>
                </c:pt>
                <c:pt idx="280">
                  <c:v>3.329472034343258E-6</c:v>
                </c:pt>
                <c:pt idx="281">
                  <c:v>3.0578028015466857E-6</c:v>
                </c:pt>
                <c:pt idx="282">
                  <c:v>2.8102087105746782E-6</c:v>
                </c:pt>
                <c:pt idx="283">
                  <c:v>2.5844156363804484E-6</c:v>
                </c:pt>
                <c:pt idx="284">
                  <c:v>2.3783759684573652E-6</c:v>
                </c:pt>
                <c:pt idx="285">
                  <c:v>2.1902449953209523E-6</c:v>
                </c:pt>
                <c:pt idx="286">
                  <c:v>2.0183598519937625E-6</c:v>
                </c:pt>
                <c:pt idx="287">
                  <c:v>1.8612207421443896E-6</c:v>
                </c:pt>
                <c:pt idx="288">
                  <c:v>1.7174741800468721E-6</c:v>
                </c:pt>
                <c:pt idx="289">
                  <c:v>1.5858980270281063E-6</c:v>
                </c:pt>
                <c:pt idx="290">
                  <c:v>1.4653881230534139E-6</c:v>
                </c:pt>
                <c:pt idx="291">
                  <c:v>1.3549463369945779E-6</c:v>
                </c:pt>
                <c:pt idx="292">
                  <c:v>1.2536698793089024E-6</c:v>
                </c:pt>
                <c:pt idx="293">
                  <c:v>1.1607417386613927E-6</c:v>
                </c:pt>
                <c:pt idx="294">
                  <c:v>1.0754221197339509E-6</c:v>
                </c:pt>
                <c:pt idx="295">
                  <c:v>9.9704077333865556E-7</c:v>
                </c:pt>
                <c:pt idx="296">
                  <c:v>9.249901222075832E-7</c:v>
                </c:pt>
                <c:pt idx="297">
                  <c:v>8.5871909666405345E-7</c:v>
                </c:pt>
                <c:pt idx="298">
                  <c:v>7.9772760395886096E-7</c:v>
                </c:pt>
                <c:pt idx="299">
                  <c:v>7.4156156353028067E-7</c:v>
                </c:pt>
                <c:pt idx="300">
                  <c:v>6.8980844794851309E-7</c:v>
                </c:pt>
                <c:pt idx="301">
                  <c:v>6.4209327594931961E-7</c:v>
                </c:pt>
                <c:pt idx="302">
                  <c:v>5.9807500984877574E-7</c:v>
                </c:pt>
                <c:pt idx="303">
                  <c:v>5.5744331485022345E-7</c:v>
                </c:pt>
                <c:pt idx="304">
                  <c:v>5.1991564238354942E-7</c:v>
                </c:pt>
                <c:pt idx="305">
                  <c:v>4.8523460372497135E-7</c:v>
                </c:pt>
                <c:pt idx="306">
                  <c:v>4.5316560379253497E-7</c:v>
                </c:pt>
                <c:pt idx="307">
                  <c:v>4.2349470825235544E-7</c:v>
                </c:pt>
                <c:pt idx="308">
                  <c:v>3.9602671994970291E-7</c:v>
                </c:pt>
                <c:pt idx="309">
                  <c:v>3.7058344323906909E-7</c:v>
                </c:pt>
                <c:pt idx="310">
                  <c:v>3.4700211706471387E-7</c:v>
                </c:pt>
                <c:pt idx="311">
                  <c:v>3.2513399966997633E-7</c:v>
                </c:pt>
                <c:pt idx="312">
                  <c:v>3.0484308961852363E-7</c:v>
                </c:pt>
                <c:pt idx="313">
                  <c:v>2.8600496941852763E-7</c:v>
                </c:pt>
                <c:pt idx="314">
                  <c:v>2.6850575947389618E-7</c:v>
                </c:pt>
                <c:pt idx="315">
                  <c:v>2.5224117136461174E-7</c:v>
                </c:pt>
                <c:pt idx="316">
                  <c:v>2.3711565059838655E-7</c:v>
                </c:pt>
                <c:pt idx="317">
                  <c:v>2.2304159999353968E-7</c:v>
                </c:pt>
                <c:pt idx="318">
                  <c:v>2.0993867576175843E-7</c:v>
                </c:pt>
                <c:pt idx="319">
                  <c:v>1.9773314917143992E-7</c:v>
                </c:pt>
                <c:pt idx="320">
                  <c:v>1.8635732739801573E-7</c:v>
                </c:pt>
                <c:pt idx="321">
                  <c:v>1.7574902781678634E-7</c:v>
                </c:pt>
                <c:pt idx="322">
                  <c:v>1.6585110057446014E-7</c:v>
                </c:pt>
                <c:pt idx="323">
                  <c:v>1.5661099479543779E-7</c:v>
                </c:pt>
                <c:pt idx="324">
                  <c:v>1.4798036424437388E-7</c:v>
                </c:pt>
                <c:pt idx="325">
                  <c:v>1.3991470868365524E-7</c:v>
                </c:pt>
                <c:pt idx="326">
                  <c:v>1.3237304753827718E-7</c:v>
                </c:pt>
                <c:pt idx="327">
                  <c:v>1.253176228159009E-7</c:v>
                </c:pt>
                <c:pt idx="328">
                  <c:v>1.1871362853067198E-7</c:v>
                </c:pt>
                <c:pt idx="329">
                  <c:v>1.1252896414941305E-7</c:v>
                </c:pt>
                <c:pt idx="330">
                  <c:v>1.0673400982127468E-7</c:v>
                </c:pt>
                <c:pt idx="331">
                  <c:v>1.0130142136979594E-7</c:v>
                </c:pt>
                <c:pt idx="332">
                  <c:v>9.6205943222142278E-8</c:v>
                </c:pt>
                <c:pt idx="333">
                  <c:v>9.1424237626387586E-8</c:v>
                </c:pt>
                <c:pt idx="334">
                  <c:v>8.6934728666126042E-8</c:v>
                </c:pt>
                <c:pt idx="335">
                  <c:v>8.271745972430413E-8</c:v>
                </c:pt>
                <c:pt idx="336">
                  <c:v>7.8753963176554479E-8</c:v>
                </c:pt>
                <c:pt idx="337">
                  <c:v>7.5027141210002082E-8</c:v>
                </c:pt>
                <c:pt idx="338">
                  <c:v>7.1521156767750974E-8</c:v>
                </c:pt>
                <c:pt idx="339">
                  <c:v>6.8221333713290723E-8</c:v>
                </c:pt>
                <c:pt idx="340">
                  <c:v>6.5114065393833376E-8</c:v>
                </c:pt>
                <c:pt idx="341">
                  <c:v>6.218673085814897E-8</c:v>
                </c:pt>
                <c:pt idx="342">
                  <c:v>5.9427618053548707E-8</c:v>
                </c:pt>
                <c:pt idx="343">
                  <c:v>5.6825853389081922E-8</c:v>
                </c:pt>
                <c:pt idx="344">
                  <c:v>5.4371337108422721E-8</c:v>
                </c:pt>
                <c:pt idx="345">
                  <c:v>5.2054683966901351E-8</c:v>
                </c:pt>
                <c:pt idx="346">
                  <c:v>4.9867168753261993E-8</c:v>
                </c:pt>
                <c:pt idx="347">
                  <c:v>4.7800676238451456E-8</c:v>
                </c:pt>
                <c:pt idx="348">
                  <c:v>4.5847655171527283E-8</c:v>
                </c:pt>
                <c:pt idx="349">
                  <c:v>4.4001075976973081E-8</c:v>
                </c:pt>
                <c:pt idx="350">
                  <c:v>4.2254391838712163E-8</c:v>
                </c:pt>
                <c:pt idx="351">
                  <c:v>4.0601502884197923E-8</c:v>
                </c:pt>
                <c:pt idx="352">
                  <c:v>3.9036723207437107E-8</c:v>
                </c:pt>
                <c:pt idx="353">
                  <c:v>3.7554750492908788E-8</c:v>
                </c:pt>
                <c:pt idx="354">
                  <c:v>3.6150638023313921E-8</c:v>
                </c:pt>
                <c:pt idx="355">
                  <c:v>3.4819768873136659E-8</c:v>
                </c:pt>
                <c:pt idx="356">
                  <c:v>3.355783210728667E-8</c:v>
                </c:pt>
                <c:pt idx="357">
                  <c:v>3.236080081981174E-8</c:v>
                </c:pt>
                <c:pt idx="358">
                  <c:v>3.12249118619585E-8</c:v>
                </c:pt>
                <c:pt idx="359">
                  <c:v>3.0146647121845446E-8</c:v>
                </c:pt>
                <c:pt idx="360">
                  <c:v>2.9122716229840085E-8</c:v>
                </c:pt>
                <c:pt idx="361">
                  <c:v>2.8150040574485856E-8</c:v>
                </c:pt>
                <c:pt idx="362">
                  <c:v>2.7225738523624748E-8</c:v>
                </c:pt>
                <c:pt idx="363">
                  <c:v>2.6347111754283227E-8</c:v>
                </c:pt>
                <c:pt idx="364">
                  <c:v>2.5511632603021283E-8</c:v>
                </c:pt>
                <c:pt idx="365">
                  <c:v>2.4716932355860164E-8</c:v>
                </c:pt>
                <c:pt idx="366">
                  <c:v>2.3960790403664865E-8</c:v>
                </c:pt>
                <c:pt idx="367">
                  <c:v>2.3241124195024773E-8</c:v>
                </c:pt>
                <c:pt idx="368">
                  <c:v>2.2555979924309791E-8</c:v>
                </c:pt>
                <c:pt idx="369">
                  <c:v>2.190352389771956E-8</c:v>
                </c:pt>
                <c:pt idx="370">
                  <c:v>2.1282034524839193E-8</c:v>
                </c:pt>
                <c:pt idx="371">
                  <c:v>2.0689894887507614E-8</c:v>
                </c:pt>
                <c:pt idx="372">
                  <c:v>2.0125585841729877E-8</c:v>
                </c:pt>
                <c:pt idx="373">
                  <c:v>1.9587679611949746E-8</c:v>
                </c:pt>
                <c:pt idx="374">
                  <c:v>1.9074833840285913E-8</c:v>
                </c:pt>
                <c:pt idx="375">
                  <c:v>1.858578605633538E-8</c:v>
                </c:pt>
                <c:pt idx="376">
                  <c:v>1.8119348535903803E-8</c:v>
                </c:pt>
                <c:pt idx="377">
                  <c:v>1.7674403519538338E-8</c:v>
                </c:pt>
                <c:pt idx="378">
                  <c:v>1.7249898764049116E-8</c:v>
                </c:pt>
                <c:pt idx="379">
                  <c:v>1.6844843402323593E-8</c:v>
                </c:pt>
                <c:pt idx="380">
                  <c:v>1.6458304088675656E-8</c:v>
                </c:pt>
                <c:pt idx="381">
                  <c:v>1.6089401408754365E-8</c:v>
                </c:pt>
                <c:pt idx="382">
                  <c:v>1.5737306534670674E-8</c:v>
                </c:pt>
                <c:pt idx="383">
                  <c:v>1.5401238107499347E-8</c:v>
                </c:pt>
                <c:pt idx="384">
                  <c:v>1.508045933069157E-8</c:v>
                </c:pt>
                <c:pt idx="385">
                  <c:v>1.477427525919951E-8</c:v>
                </c:pt>
                <c:pt idx="386">
                  <c:v>1.4482030270276275E-8</c:v>
                </c:pt>
                <c:pt idx="387">
                  <c:v>1.4203105702984354E-8</c:v>
                </c:pt>
                <c:pt idx="388">
                  <c:v>1.3936917654429334E-8</c:v>
                </c:pt>
                <c:pt idx="389">
                  <c:v>1.3682914921639563E-8</c:v>
                </c:pt>
                <c:pt idx="390">
                  <c:v>1.3440577078845726E-8</c:v>
                </c:pt>
                <c:pt idx="391">
                  <c:v>1.3209412680680714E-8</c:v>
                </c:pt>
                <c:pt idx="392">
                  <c:v>1.2988957582526074E-8</c:v>
                </c:pt>
                <c:pt idx="393">
                  <c:v>1.2778773369881525E-8</c:v>
                </c:pt>
                <c:pt idx="394">
                  <c:v>1.2578445889234271E-8</c:v>
                </c:pt>
                <c:pt idx="395">
                  <c:v>1.2387583873456222E-8</c:v>
                </c:pt>
                <c:pt idx="396">
                  <c:v>1.2205817655268344E-8</c:v>
                </c:pt>
                <c:pt idx="397">
                  <c:v>1.2032797962780195E-8</c:v>
                </c:pt>
                <c:pt idx="398">
                  <c:v>1.1868194791546884E-8</c:v>
                </c:pt>
                <c:pt idx="399">
                  <c:v>1.1711696347987527E-8</c:v>
                </c:pt>
                <c:pt idx="400">
                  <c:v>1.1563008059376358E-8</c:v>
                </c:pt>
                <c:pt idx="401">
                  <c:v>1.1421851645962433E-8</c:v>
                </c:pt>
                <c:pt idx="402">
                  <c:v>1.1287964251086256E-8</c:v>
                </c:pt>
                <c:pt idx="403">
                  <c:v>1.1161097625455771E-8</c:v>
                </c:pt>
                <c:pt idx="404">
                  <c:v>1.1041017362012842E-8</c:v>
                </c:pt>
                <c:pt idx="405">
                  <c:v>1.0927502178069828E-8</c:v>
                </c:pt>
                <c:pt idx="406">
                  <c:v>1.0820343241627761E-8</c:v>
                </c:pt>
                <c:pt idx="407">
                  <c:v>1.071934353899994E-8</c:v>
                </c:pt>
                <c:pt idx="408">
                  <c:v>1.0624317281062729E-8</c:v>
                </c:pt>
                <c:pt idx="409">
                  <c:v>1.0535089345636871E-8</c:v>
                </c:pt>
                <c:pt idx="410">
                  <c:v>1.0451494753673177E-8</c:v>
                </c:pt>
                <c:pt idx="411">
                  <c:v>1.0373378177071407E-8</c:v>
                </c:pt>
                <c:pt idx="412">
                  <c:v>1.030059347610683E-8</c:v>
                </c:pt>
                <c:pt idx="413">
                  <c:v>1.0233003264573058E-8</c:v>
                </c:pt>
                <c:pt idx="414">
                  <c:v>1.0170478500873059E-8</c:v>
                </c:pt>
                <c:pt idx="415">
                  <c:v>1.0112898103406608E-8</c:v>
                </c:pt>
                <c:pt idx="416">
                  <c:v>1.0060148588707204E-8</c:v>
                </c:pt>
                <c:pt idx="417">
                  <c:v>1.001212373088148E-8</c:v>
                </c:pt>
                <c:pt idx="418">
                  <c:v>9.9687242409942452E-9</c:v>
                </c:pt>
                <c:pt idx="419">
                  <c:v>9.9298574651274099E-9</c:v>
                </c:pt>
                <c:pt idx="420">
                  <c:v>9.8954370999183199E-9</c:v>
                </c:pt>
                <c:pt idx="421">
                  <c:v>9.8653829244563085E-9</c:v>
                </c:pt>
                <c:pt idx="422">
                  <c:v>9.8396205474818734E-9</c:v>
                </c:pt>
                <c:pt idx="423">
                  <c:v>9.8180811688951883E-9</c:v>
                </c:pt>
                <c:pt idx="424">
                  <c:v>9.8007013546374982E-9</c:v>
                </c:pt>
                <c:pt idx="425">
                  <c:v>9.7874228240607924E-9</c:v>
                </c:pt>
                <c:pt idx="426">
                  <c:v>9.778192248950891E-9</c:v>
                </c:pt>
                <c:pt idx="427">
                  <c:v>9.7729610634120066E-9</c:v>
                </c:pt>
                <c:pt idx="428">
                  <c:v>9.7716852838626397E-9</c:v>
                </c:pt>
                <c:pt idx="429">
                  <c:v>9.7743253384302023E-9</c:v>
                </c:pt>
                <c:pt idx="430">
                  <c:v>9.7808459050659673E-9</c:v>
                </c:pt>
                <c:pt idx="431">
                  <c:v>9.7912157577330765E-9</c:v>
                </c:pt>
                <c:pt idx="432">
                  <c:v>9.8054076200494866E-9</c:v>
                </c:pt>
                <c:pt idx="433">
                  <c:v>9.823398025793825E-9</c:v>
                </c:pt>
                <c:pt idx="434">
                  <c:v>9.8451671857047244E-9</c:v>
                </c:pt>
                <c:pt idx="435">
                  <c:v>9.8706988600269679E-9</c:v>
                </c:pt>
                <c:pt idx="436">
                  <c:v>9.8999802362754164E-9</c:v>
                </c:pt>
                <c:pt idx="437">
                  <c:v>9.9330018117058755E-9</c:v>
                </c:pt>
                <c:pt idx="438">
                  <c:v>9.9697572799962479E-9</c:v>
                </c:pt>
                <c:pt idx="439">
                  <c:v>1.001024342165506E-8</c:v>
                </c:pt>
                <c:pt idx="440">
                  <c:v>1.0054459997685973E-8</c:v>
                </c:pt>
                <c:pt idx="441">
                  <c:v>1.0102409646046656E-8</c:v>
                </c:pt>
                <c:pt idx="442">
                  <c:v>1.0154097780448391E-8</c:v>
                </c:pt>
                <c:pt idx="443">
                  <c:v>1.0209532491050199E-8</c:v>
                </c:pt>
                <c:pt idx="444">
                  <c:v>1.0268724446606779E-8</c:v>
                </c:pt>
                <c:pt idx="445">
                  <c:v>1.0331686797632998E-8</c:v>
                </c:pt>
                <c:pt idx="446">
                  <c:v>1.0398435080151017E-8</c:v>
                </c:pt>
                <c:pt idx="447">
                  <c:v>1.0468987119588489E-8</c:v>
                </c:pt>
                <c:pt idx="448">
                  <c:v>1.0543362934396112E-8</c:v>
                </c:pt>
                <c:pt idx="449">
                  <c:v>1.0621584638952535E-8</c:v>
                </c:pt>
                <c:pt idx="450">
                  <c:v>1.0703676345323891E-8</c:v>
                </c:pt>
                <c:pt idx="451">
                  <c:v>1.0789664063443103E-8</c:v>
                </c:pt>
                <c:pt idx="452">
                  <c:v>1.0879575599270237E-8</c:v>
                </c:pt>
                <c:pt idx="453">
                  <c:v>1.097344045049241E-8</c:v>
                </c:pt>
                <c:pt idx="454">
                  <c:v>1.1071289699317609E-8</c:v>
                </c:pt>
                <c:pt idx="455">
                  <c:v>1.1173155901910688E-8</c:v>
                </c:pt>
                <c:pt idx="456">
                  <c:v>1.1279072974015985E-8</c:v>
                </c:pt>
                <c:pt idx="457">
                  <c:v>1.1389076072304393E-8</c:v>
                </c:pt>
                <c:pt idx="458">
                  <c:v>1.1503201470976611E-8</c:v>
                </c:pt>
                <c:pt idx="459">
                  <c:v>1.1621486433148604E-8</c:v>
                </c:pt>
                <c:pt idx="460">
                  <c:v>1.1743969076538925E-8</c:v>
                </c:pt>
                <c:pt idx="461">
                  <c:v>1.1870688232970937E-8</c:v>
                </c:pt>
                <c:pt idx="462">
                  <c:v>1.2001683301197553E-8</c:v>
                </c:pt>
                <c:pt idx="463">
                  <c:v>1.2136994092549336E-8</c:v>
                </c:pt>
                <c:pt idx="464">
                  <c:v>1.2276660668902796E-8</c:v>
                </c:pt>
                <c:pt idx="465">
                  <c:v>1.2420723172460054E-8</c:v>
                </c:pt>
                <c:pt idx="466">
                  <c:v>1.2569221646827103E-8</c:v>
                </c:pt>
                <c:pt idx="467">
                  <c:v>1.2722195848875551E-8</c:v>
                </c:pt>
                <c:pt idx="468">
                  <c:v>1.2879685050870176E-8</c:v>
                </c:pt>
                <c:pt idx="469">
                  <c:v>1.304172783234436E-8</c:v>
                </c:pt>
                <c:pt idx="470">
                  <c:v>1.3208361861206307E-8</c:v>
                </c:pt>
                <c:pt idx="471">
                  <c:v>1.3379623663562289E-8</c:v>
                </c:pt>
                <c:pt idx="472">
                  <c:v>1.3555548381746872E-8</c:v>
                </c:pt>
                <c:pt idx="473">
                  <c:v>1.3736169520058461E-8</c:v>
                </c:pt>
                <c:pt idx="474">
                  <c:v>1.3921518677707161E-8</c:v>
                </c:pt>
                <c:pt idx="475">
                  <c:v>1.411162526849546E-8</c:v>
                </c:pt>
                <c:pt idx="476">
                  <c:v>1.4306516226766023E-8</c:v>
                </c:pt>
                <c:pt idx="477">
                  <c:v>1.450621569917368E-8</c:v>
                </c:pt>
                <c:pt idx="478">
                  <c:v>1.4710744721857063E-8</c:v>
                </c:pt>
                <c:pt idx="479">
                  <c:v>1.4920120882616949E-8</c:v>
                </c:pt>
                <c:pt idx="480">
                  <c:v>1.5134357967737207E-8</c:v>
                </c:pt>
                <c:pt idx="481">
                  <c:v>1.535346559312262E-8</c:v>
                </c:pt>
                <c:pt idx="482">
                  <c:v>1.5577448819469203E-8</c:v>
                </c:pt>
                <c:pt idx="483">
                  <c:v>1.5806307751230971E-8</c:v>
                </c:pt>
                <c:pt idx="484">
                  <c:v>1.604003711920139E-8</c:v>
                </c:pt>
                <c:pt idx="485">
                  <c:v>1.6278625846587897E-8</c:v>
                </c:pt>
                <c:pt idx="486">
                  <c:v>1.6522056598526102E-8</c:v>
                </c:pt>
                <c:pt idx="487">
                  <c:v>1.6770305315056441E-8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5ED-8C46-85BE-B44D71765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590416"/>
        <c:axId val="584587968"/>
      </c:scatterChart>
      <c:valAx>
        <c:axId val="132842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528831"/>
        <c:crosses val="autoZero"/>
        <c:crossBetween val="midCat"/>
      </c:valAx>
      <c:valAx>
        <c:axId val="132752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428559"/>
        <c:crosses val="autoZero"/>
        <c:crossBetween val="midCat"/>
      </c:valAx>
      <c:valAx>
        <c:axId val="584587968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</a:t>
                </a:r>
                <a:r>
                  <a:rPr lang="en-US" baseline="0"/>
                  <a:t> Pressure (MPa)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90416"/>
        <c:crosses val="max"/>
        <c:crossBetween val="midCat"/>
      </c:valAx>
      <c:valAx>
        <c:axId val="584590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458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 2'!$Z$12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'Problem 2'!$Y$13:$Y$490</c:f>
              <c:numCache>
                <c:formatCode>General</c:formatCode>
                <c:ptCount val="478"/>
                <c:pt idx="0">
                  <c:v>0</c:v>
                </c:pt>
                <c:pt idx="1">
                  <c:v>1.9845896112026521E-16</c:v>
                </c:pt>
                <c:pt idx="2">
                  <c:v>5.982982124824936E-16</c:v>
                </c:pt>
                <c:pt idx="3">
                  <c:v>1.2024293279751386E-15</c:v>
                </c:pt>
                <c:pt idx="4">
                  <c:v>2.0137527847982054E-15</c:v>
                </c:pt>
                <c:pt idx="5">
                  <c:v>3.0351566886618872E-15</c:v>
                </c:pt>
                <c:pt idx="6">
                  <c:v>4.2695155760433072E-15</c:v>
                </c:pt>
                <c:pt idx="7">
                  <c:v>5.7196893039029664E-15</c:v>
                </c:pt>
                <c:pt idx="8">
                  <c:v>7.388522037178071E-15</c:v>
                </c:pt>
                <c:pt idx="9">
                  <c:v>9.2788413442009585E-15</c:v>
                </c:pt>
                <c:pt idx="10">
                  <c:v>1.139345740993553E-14</c:v>
                </c:pt>
                <c:pt idx="11">
                  <c:v>1.3735162376582159E-14</c:v>
                </c:pt>
                <c:pt idx="12">
                  <c:v>1.6306729820672173E-14</c:v>
                </c:pt>
                <c:pt idx="13">
                  <c:v>1.9110914375258122E-14</c:v>
                </c:pt>
                <c:pt idx="14">
                  <c:v>2.2150451505208148E-14</c:v>
                </c:pt>
                <c:pt idx="15">
                  <c:v>2.5428057442935422E-14</c:v>
                </c:pt>
                <c:pt idx="16">
                  <c:v>2.8946429291141617E-14</c:v>
                </c:pt>
                <c:pt idx="17">
                  <c:v>3.2708245298332421E-14</c:v>
                </c:pt>
                <c:pt idx="18">
                  <c:v>3.6716165311980171E-14</c:v>
                </c:pt>
                <c:pt idx="19">
                  <c:v>4.0972831413271047E-14</c:v>
                </c:pt>
                <c:pt idx="20">
                  <c:v>4.5480868736391066E-14</c:v>
                </c:pt>
                <c:pt idx="21">
                  <c:v>5.0242886474284709E-14</c:v>
                </c:pt>
                <c:pt idx="22">
                  <c:v>5.5261479071772889E-14</c:v>
                </c:pt>
                <c:pt idx="23">
                  <c:v>6.0539227605852578E-14</c:v>
                </c:pt>
                <c:pt idx="24">
                  <c:v>3.1248888928240812</c:v>
                </c:pt>
                <c:pt idx="25">
                  <c:v>6.7526061266706305</c:v>
                </c:pt>
                <c:pt idx="26">
                  <c:v>10.938130971109548</c:v>
                </c:pt>
                <c:pt idx="27">
                  <c:v>15.73966426143738</c:v>
                </c:pt>
                <c:pt idx="28">
                  <c:v>21.218624176878279</c:v>
                </c:pt>
                <c:pt idx="29">
                  <c:v>27.439632154285928</c:v>
                </c:pt>
                <c:pt idx="30">
                  <c:v>34.470488653637972</c:v>
                </c:pt>
                <c:pt idx="31">
                  <c:v>42.382138477306476</c:v>
                </c:pt>
                <c:pt idx="32">
                  <c:v>51.248625337283151</c:v>
                </c:pt>
                <c:pt idx="33">
                  <c:v>61.147035363688254</c:v>
                </c:pt>
                <c:pt idx="34">
                  <c:v>72.157429254409209</c:v>
                </c:pt>
                <c:pt idx="35">
                  <c:v>84.362762779967923</c:v>
                </c:pt>
                <c:pt idx="36">
                  <c:v>97.848795380013669</c:v>
                </c:pt>
                <c:pt idx="37">
                  <c:v>112.70398661842722</c:v>
                </c:pt>
                <c:pt idx="38">
                  <c:v>129.01938030306476</c:v>
                </c:pt>
                <c:pt idx="39">
                  <c:v>146.88847612373812</c:v>
                </c:pt>
                <c:pt idx="40">
                  <c:v>166.40708871808792</c:v>
                </c:pt>
                <c:pt idx="41">
                  <c:v>187.67319413940388</c:v>
                </c:pt>
                <c:pt idx="42">
                  <c:v>210.78676377289977</c:v>
                </c:pt>
                <c:pt idx="43">
                  <c:v>235.84958582703243</c:v>
                </c:pt>
                <c:pt idx="44">
                  <c:v>262.96507461359323</c:v>
                </c:pt>
                <c:pt idx="45">
                  <c:v>292.23806792376683</c:v>
                </c:pt>
                <c:pt idx="46">
                  <c:v>323.77461290625769</c:v>
                </c:pt>
                <c:pt idx="47">
                  <c:v>357.68174095688772</c:v>
                </c:pt>
                <c:pt idx="48">
                  <c:v>394.06723223557731</c:v>
                </c:pt>
                <c:pt idx="49">
                  <c:v>433.03937053499112</c:v>
                </c:pt>
                <c:pt idx="50">
                  <c:v>474.70668933390704</c:v>
                </c:pt>
                <c:pt idx="51">
                  <c:v>519.1777099759679</c:v>
                </c:pt>
                <c:pt idx="52">
                  <c:v>566.56067301924679</c:v>
                </c:pt>
                <c:pt idx="53">
                  <c:v>616.96326390228046</c:v>
                </c:pt>
                <c:pt idx="54">
                  <c:v>670.49233416614652</c:v>
                </c:pt>
                <c:pt idx="55">
                  <c:v>727.25361955805738</c:v>
                </c:pt>
                <c:pt idx="56">
                  <c:v>787.35145641810311</c:v>
                </c:pt>
                <c:pt idx="57">
                  <c:v>850.88849781559327</c:v>
                </c:pt>
                <c:pt idx="58">
                  <c:v>917.96543095343679</c:v>
                </c:pt>
                <c:pt idx="59">
                  <c:v>988.68069739681039</c:v>
                </c:pt>
                <c:pt idx="60">
                  <c:v>1063.1302177048783</c:v>
                </c:pt>
                <c:pt idx="61">
                  <c:v>1141.407122050616</c:v>
                </c:pt>
                <c:pt idx="62">
                  <c:v>1223.6014884032152</c:v>
                </c:pt>
                <c:pt idx="63">
                  <c:v>1309.8000898197258</c:v>
                </c:pt>
                <c:pt idx="64">
                  <c:v>1400.0861523474534</c:v>
                </c:pt>
                <c:pt idx="65">
                  <c:v>1494.539124976423</c:v>
                </c:pt>
                <c:pt idx="66">
                  <c:v>1593.2344630024559</c:v>
                </c:pt>
                <c:pt idx="67">
                  <c:v>1696.2434260669904</c:v>
                </c:pt>
                <c:pt idx="68">
                  <c:v>1803.6328920307901</c:v>
                </c:pt>
                <c:pt idx="69">
                  <c:v>1915.4651877166189</c:v>
                </c:pt>
                <c:pt idx="70">
                  <c:v>2031.7979374224046</c:v>
                </c:pt>
                <c:pt idx="71">
                  <c:v>2152.6839299633025</c:v>
                </c:pt>
                <c:pt idx="72">
                  <c:v>2278.1710048504046</c:v>
                </c:pt>
                <c:pt idx="73">
                  <c:v>2408.3019580578157</c:v>
                </c:pt>
                <c:pt idx="74">
                  <c:v>2543.1144676706544</c:v>
                </c:pt>
                <c:pt idx="75">
                  <c:v>2682.6410395465564</c:v>
                </c:pt>
                <c:pt idx="76">
                  <c:v>2826.9089729646389</c:v>
                </c:pt>
                <c:pt idx="77">
                  <c:v>2975.9403460809194</c:v>
                </c:pt>
                <c:pt idx="78">
                  <c:v>3129.7520208598548</c:v>
                </c:pt>
                <c:pt idx="79">
                  <c:v>3288.3556670099524</c:v>
                </c:pt>
                <c:pt idx="80">
                  <c:v>3451.7578043190374</c:v>
                </c:pt>
                <c:pt idx="81">
                  <c:v>3619.9598626632251</c:v>
                </c:pt>
                <c:pt idx="82">
                  <c:v>3792.9582588542544</c:v>
                </c:pt>
                <c:pt idx="83">
                  <c:v>3970.7444893935958</c:v>
                </c:pt>
                <c:pt idx="84">
                  <c:v>4153.3052381193465</c:v>
                </c:pt>
                <c:pt idx="85">
                  <c:v>4340.6224976639678</c:v>
                </c:pt>
                <c:pt idx="86">
                  <c:v>4532.6737035874557</c:v>
                </c:pt>
                <c:pt idx="87">
                  <c:v>4729.431880011648</c:v>
                </c:pt>
                <c:pt idx="88">
                  <c:v>4930.8657955567196</c:v>
                </c:pt>
                <c:pt idx="89">
                  <c:v>5136.9401283699772</c:v>
                </c:pt>
                <c:pt idx="90">
                  <c:v>5347.6156390391961</c:v>
                </c:pt>
                <c:pt idx="91">
                  <c:v>5562.8493501970042</c:v>
                </c:pt>
                <c:pt idx="92">
                  <c:v>5782.5947316482734</c:v>
                </c:pt>
                <c:pt idx="93">
                  <c:v>6006.8018898879718</c:v>
                </c:pt>
                <c:pt idx="94">
                  <c:v>6235.4177609212393</c:v>
                </c:pt>
                <c:pt idx="95">
                  <c:v>6468.3863053494842</c:v>
                </c:pt>
                <c:pt idx="96">
                  <c:v>6705.6487047445171</c:v>
                </c:pt>
                <c:pt idx="97">
                  <c:v>6947.1435583962302</c:v>
                </c:pt>
                <c:pt idx="98">
                  <c:v>7192.807079586546</c:v>
                </c:pt>
                <c:pt idx="99">
                  <c:v>7442.5732906123876</c:v>
                </c:pt>
                <c:pt idx="100">
                  <c:v>7696.3742158519099</c:v>
                </c:pt>
                <c:pt idx="101">
                  <c:v>7954.1400722403714</c:v>
                </c:pt>
                <c:pt idx="102">
                  <c:v>8215.799456593697</c:v>
                </c:pt>
                <c:pt idx="103">
                  <c:v>8481.2795292882729</c:v>
                </c:pt>
                <c:pt idx="104">
                  <c:v>8750.5061938739927</c:v>
                </c:pt>
                <c:pt idx="105">
                  <c:v>9023.4042722634604</c:v>
                </c:pt>
                <c:pt idx="106">
                  <c:v>9299.8976752030831</c:v>
                </c:pt>
                <c:pt idx="107">
                  <c:v>9579.9095677909263</c:v>
                </c:pt>
                <c:pt idx="108">
                  <c:v>9863.3625298616553</c:v>
                </c:pt>
                <c:pt idx="109">
                  <c:v>10150.178711110088</c:v>
                </c:pt>
                <c:pt idx="110">
                  <c:v>10440.279980871979</c:v>
                </c:pt>
                <c:pt idx="111">
                  <c:v>10733.588072523324</c:v>
                </c:pt>
                <c:pt idx="112">
                  <c:v>11030.024722498005</c:v>
                </c:pt>
                <c:pt idx="113">
                  <c:v>11329.511803957725</c:v>
                </c:pt>
                <c:pt idx="114">
                  <c:v>11631.971455178416</c:v>
                </c:pt>
                <c:pt idx="115">
                  <c:v>11937.326202743396</c:v>
                </c:pt>
                <c:pt idx="116">
                  <c:v>12245.499079656041</c:v>
                </c:pt>
                <c:pt idx="117">
                  <c:v>12556.413738503705</c:v>
                </c:pt>
                <c:pt idx="118">
                  <c:v>12869.994559820236</c:v>
                </c:pt>
                <c:pt idx="119">
                  <c:v>13186.166755807166</c:v>
                </c:pt>
                <c:pt idx="120">
                  <c:v>13504.856469583608</c:v>
                </c:pt>
                <c:pt idx="121">
                  <c:v>13825.990870142234</c:v>
                </c:pt>
                <c:pt idx="122">
                  <c:v>14149.498243194226</c:v>
                </c:pt>
                <c:pt idx="123">
                  <c:v>14475.308078089174</c:v>
                </c:pt>
                <c:pt idx="124">
                  <c:v>14803.351150997734</c:v>
                </c:pt>
                <c:pt idx="125">
                  <c:v>15133.559604544951</c:v>
                </c:pt>
                <c:pt idx="126">
                  <c:v>15465.86702408123</c:v>
                </c:pt>
                <c:pt idx="127">
                  <c:v>15800.208510775743</c:v>
                </c:pt>
                <c:pt idx="128">
                  <c:v>16136.520751714401</c:v>
                </c:pt>
                <c:pt idx="129">
                  <c:v>16474.742087180766</c:v>
                </c:pt>
                <c:pt idx="130">
                  <c:v>16814.81257529448</c:v>
                </c:pt>
                <c:pt idx="131">
                  <c:v>17156.674054177209</c:v>
                </c:pt>
                <c:pt idx="132">
                  <c:v>17500.270201811731</c:v>
                </c:pt>
                <c:pt idx="133">
                  <c:v>17845.546593754745</c:v>
                </c:pt>
                <c:pt idx="134">
                  <c:v>18192.450758859573</c:v>
                </c:pt>
                <c:pt idx="135">
                  <c:v>18540.932233159881</c:v>
                </c:pt>
                <c:pt idx="136">
                  <c:v>18890.942612061172</c:v>
                </c:pt>
                <c:pt idx="137">
                  <c:v>19242.435600982135</c:v>
                </c:pt>
                <c:pt idx="138">
                  <c:v>19595.367064583967</c:v>
                </c:pt>
                <c:pt idx="139">
                  <c:v>19949.695074721421</c:v>
                </c:pt>
                <c:pt idx="140">
                  <c:v>20305.379957245979</c:v>
                </c:pt>
                <c:pt idx="141">
                  <c:v>20662.384337787767</c:v>
                </c:pt>
                <c:pt idx="142">
                  <c:v>21020.673186639793</c:v>
                </c:pt>
                <c:pt idx="143">
                  <c:v>21380.213862865443</c:v>
                </c:pt>
                <c:pt idx="144">
                  <c:v>21740.976157747125</c:v>
                </c:pt>
                <c:pt idx="145">
                  <c:v>22102.932337692237</c:v>
                </c:pt>
                <c:pt idx="146">
                  <c:v>22466.057186710292</c:v>
                </c:pt>
                <c:pt idx="147">
                  <c:v>22830.328048573629</c:v>
                </c:pt>
                <c:pt idx="148">
                  <c:v>23195.72486877269</c:v>
                </c:pt>
                <c:pt idx="149">
                  <c:v>23562.230236375701</c:v>
                </c:pt>
                <c:pt idx="150">
                  <c:v>23929.829425901997</c:v>
                </c:pt>
                <c:pt idx="151">
                  <c:v>24298.510439317484</c:v>
                </c:pt>
                <c:pt idx="152">
                  <c:v>24668.264048260618</c:v>
                </c:pt>
                <c:pt idx="153">
                  <c:v>25039.08383660722</c:v>
                </c:pt>
                <c:pt idx="154">
                  <c:v>25410.96624348269</c:v>
                </c:pt>
                <c:pt idx="155">
                  <c:v>25783.910606830745</c:v>
                </c:pt>
                <c:pt idx="156">
                  <c:v>26157.919207648501</c:v>
                </c:pt>
                <c:pt idx="157">
                  <c:v>26532.997314998625</c:v>
                </c:pt>
                <c:pt idx="158">
                  <c:v>26909.153231910725</c:v>
                </c:pt>
                <c:pt idx="159">
                  <c:v>27286.398342285585</c:v>
                </c:pt>
                <c:pt idx="160">
                  <c:v>27664.747158917384</c:v>
                </c:pt>
                <c:pt idx="161">
                  <c:v>28044.217372751344</c:v>
                </c:pt>
                <c:pt idx="162">
                  <c:v>28424.829903496509</c:v>
                </c:pt>
                <c:pt idx="163">
                  <c:v>28806.608951715538</c:v>
                </c:pt>
                <c:pt idx="164">
                  <c:v>29189.582052516973</c:v>
                </c:pt>
                <c:pt idx="165">
                  <c:v>29573.780130977888</c:v>
                </c:pt>
                <c:pt idx="166">
                  <c:v>29959.237559428693</c:v>
                </c:pt>
                <c:pt idx="167">
                  <c:v>30345.992216735809</c:v>
                </c:pt>
                <c:pt idx="168">
                  <c:v>30734.08554972192</c:v>
                </c:pt>
                <c:pt idx="169">
                  <c:v>31123.562636868068</c:v>
                </c:pt>
                <c:pt idx="170">
                  <c:v>31514.472254447221</c:v>
                </c:pt>
                <c:pt idx="171">
                  <c:v>31906.866945244034</c:v>
                </c:pt>
                <c:pt idx="172">
                  <c:v>32300.803090021753</c:v>
                </c:pt>
                <c:pt idx="173">
                  <c:v>32696.340981903297</c:v>
                </c:pt>
                <c:pt idx="174">
                  <c:v>33093.54490384127</c:v>
                </c:pt>
                <c:pt idx="175">
                  <c:v>33492.483209358295</c:v>
                </c:pt>
                <c:pt idx="176">
                  <c:v>33893.22840674816</c:v>
                </c:pt>
                <c:pt idx="177">
                  <c:v>34295.85724693667</c:v>
                </c:pt>
                <c:pt idx="178">
                  <c:v>34700.450815211101</c:v>
                </c:pt>
                <c:pt idx="179">
                  <c:v>35107.094627037375</c:v>
                </c:pt>
                <c:pt idx="180">
                  <c:v>35515.878728195385</c:v>
                </c:pt>
                <c:pt idx="181">
                  <c:v>35926.897799475715</c:v>
                </c:pt>
                <c:pt idx="182">
                  <c:v>36340.251266193438</c:v>
                </c:pt>
                <c:pt idx="183">
                  <c:v>36756.043412789819</c:v>
                </c:pt>
                <c:pt idx="184">
                  <c:v>37174.383502807832</c:v>
                </c:pt>
                <c:pt idx="185">
                  <c:v>37595.385904544717</c:v>
                </c:pt>
                <c:pt idx="186">
                  <c:v>38019.170222702734</c:v>
                </c:pt>
                <c:pt idx="187">
                  <c:v>38445.861436379142</c:v>
                </c:pt>
                <c:pt idx="188">
                  <c:v>38875.590043758188</c:v>
                </c:pt>
                <c:pt idx="189">
                  <c:v>39308.49221389099</c:v>
                </c:pt>
                <c:pt idx="190">
                  <c:v>39744.709945974515</c:v>
                </c:pt>
                <c:pt idx="191">
                  <c:v>40184.391236568146</c:v>
                </c:pt>
                <c:pt idx="192">
                  <c:v>40627.690255216941</c:v>
                </c:pt>
                <c:pt idx="193">
                  <c:v>41074.767528981873</c:v>
                </c:pt>
                <c:pt idx="194">
                  <c:v>41525.790136413802</c:v>
                </c:pt>
                <c:pt idx="195">
                  <c:v>41980.931911545907</c:v>
                </c:pt>
                <c:pt idx="196">
                  <c:v>42440.373658520824</c:v>
                </c:pt>
                <c:pt idx="197">
                  <c:v>42904.303377515134</c:v>
                </c:pt>
                <c:pt idx="198">
                  <c:v>43372.91650267299</c:v>
                </c:pt>
                <c:pt idx="199">
                  <c:v>43846.416152815793</c:v>
                </c:pt>
                <c:pt idx="200">
                  <c:v>44325.013395753529</c:v>
                </c:pt>
                <c:pt idx="201">
                  <c:v>44808.927527089487</c:v>
                </c:pt>
                <c:pt idx="202">
                  <c:v>45298.386364480699</c:v>
                </c:pt>
                <c:pt idx="203">
                  <c:v>45793.626558395503</c:v>
                </c:pt>
                <c:pt idx="204">
                  <c:v>46294.893920494869</c:v>
                </c:pt>
                <c:pt idx="205">
                  <c:v>46802.443770859783</c:v>
                </c:pt>
                <c:pt idx="206">
                  <c:v>47316.541305390048</c:v>
                </c:pt>
                <c:pt idx="207">
                  <c:v>47837.461984815804</c:v>
                </c:pt>
                <c:pt idx="208">
                  <c:v>48365.491946889168</c:v>
                </c:pt>
                <c:pt idx="209">
                  <c:v>48900.92844346373</c:v>
                </c:pt>
                <c:pt idx="210">
                  <c:v>49444.080304324969</c:v>
                </c:pt>
                <c:pt idx="211">
                  <c:v>49995.268429806893</c:v>
                </c:pt>
                <c:pt idx="212">
                  <c:v>50554.826314420563</c:v>
                </c:pt>
                <c:pt idx="213">
                  <c:v>51131.177484752705</c:v>
                </c:pt>
                <c:pt idx="214">
                  <c:v>51709.781782324782</c:v>
                </c:pt>
                <c:pt idx="215">
                  <c:v>52278.297869200527</c:v>
                </c:pt>
                <c:pt idx="216">
                  <c:v>52836.744893778865</c:v>
                </c:pt>
                <c:pt idx="217">
                  <c:v>53385.142445492056</c:v>
                </c:pt>
                <c:pt idx="218">
                  <c:v>53923.510553669556</c:v>
                </c:pt>
                <c:pt idx="219">
                  <c:v>54451.869686282167</c:v>
                </c:pt>
                <c:pt idx="220">
                  <c:v>54970.240748581753</c:v>
                </c:pt>
                <c:pt idx="221">
                  <c:v>55478.645081650684</c:v>
                </c:pt>
                <c:pt idx="222">
                  <c:v>55977.104460873183</c:v>
                </c:pt>
                <c:pt idx="223">
                  <c:v>56465.641094338855</c:v>
                </c:pt>
                <c:pt idx="224">
                  <c:v>56944.277621187415</c:v>
                </c:pt>
                <c:pt idx="225">
                  <c:v>57413.03710990362</c:v>
                </c:pt>
                <c:pt idx="226">
                  <c:v>57871.943056568176</c:v>
                </c:pt>
                <c:pt idx="227">
                  <c:v>58321.019383072387</c:v>
                </c:pt>
                <c:pt idx="228">
                  <c:v>58760.290435300696</c:v>
                </c:pt>
                <c:pt idx="229">
                  <c:v>59189.780981287542</c:v>
                </c:pt>
                <c:pt idx="230">
                  <c:v>59609.51620935127</c:v>
                </c:pt>
                <c:pt idx="231">
                  <c:v>60019.521726210885</c:v>
                </c:pt>
                <c:pt idx="232">
                  <c:v>60419.823555087496</c:v>
                </c:pt>
                <c:pt idx="233">
                  <c:v>60810.448133794875</c:v>
                </c:pt>
                <c:pt idx="234">
                  <c:v>61191.422312821422</c:v>
                </c:pt>
                <c:pt idx="235">
                  <c:v>61562.773353406017</c:v>
                </c:pt>
                <c:pt idx="236">
                  <c:v>61924.528925611114</c:v>
                </c:pt>
                <c:pt idx="237">
                  <c:v>62276.717106393873</c:v>
                </c:pt>
                <c:pt idx="238">
                  <c:v>62619.366377678605</c:v>
                </c:pt>
                <c:pt idx="239">
                  <c:v>62952.505624431564</c:v>
                </c:pt>
                <c:pt idx="240">
                  <c:v>63276.164132740385</c:v>
                </c:pt>
                <c:pt idx="241">
                  <c:v>63590.371587899623</c:v>
                </c:pt>
                <c:pt idx="242">
                  <c:v>63895.158072503473</c:v>
                </c:pt>
                <c:pt idx="243">
                  <c:v>64190.554064548</c:v>
                </c:pt>
                <c:pt idx="244">
                  <c:v>64476.590435543498</c:v>
                </c:pt>
                <c:pt idx="245">
                  <c:v>64753.29844863819</c:v>
                </c:pt>
                <c:pt idx="246">
                  <c:v>65020.709756755634</c:v>
                </c:pt>
                <c:pt idx="247">
                  <c:v>65278.856400745353</c:v>
                </c:pt>
                <c:pt idx="248">
                  <c:v>65527.770807549125</c:v>
                </c:pt>
                <c:pt idx="249">
                  <c:v>65767.485788383376</c:v>
                </c:pt>
                <c:pt idx="250">
                  <c:v>65998.034536938896</c:v>
                </c:pt>
                <c:pt idx="251">
                  <c:v>66219.450627598766</c:v>
                </c:pt>
                <c:pt idx="252">
                  <c:v>66431.768013675988</c:v>
                </c:pt>
                <c:pt idx="253">
                  <c:v>66635.021025670663</c:v>
                </c:pt>
                <c:pt idx="254">
                  <c:v>66829.244369548862</c:v>
                </c:pt>
                <c:pt idx="255">
                  <c:v>67014.473125043573</c:v>
                </c:pt>
                <c:pt idx="256">
                  <c:v>67190.742743977898</c:v>
                </c:pt>
                <c:pt idx="257">
                  <c:v>67358.08904861311</c:v>
                </c:pt>
                <c:pt idx="258">
                  <c:v>67516.548230020344</c:v>
                </c:pt>
                <c:pt idx="259">
                  <c:v>67666.156846478465</c:v>
                </c:pt>
                <c:pt idx="260">
                  <c:v>67806.951821897659</c:v>
                </c:pt>
                <c:pt idx="261">
                  <c:v>67938.970444270191</c:v>
                </c:pt>
                <c:pt idx="262">
                  <c:v>68062.250364149499</c:v>
                </c:pt>
                <c:pt idx="263">
                  <c:v>68176.829593157367</c:v>
                </c:pt>
                <c:pt idx="264">
                  <c:v>68282.746502520138</c:v>
                </c:pt>
                <c:pt idx="265">
                  <c:v>68380.039821636237</c:v>
                </c:pt>
                <c:pt idx="266">
                  <c:v>68468.748636672899</c:v>
                </c:pt>
                <c:pt idx="267">
                  <c:v>68548.912389196092</c:v>
                </c:pt>
                <c:pt idx="268">
                  <c:v>68620.570874831305</c:v>
                </c:pt>
                <c:pt idx="269">
                  <c:v>68683.764241958212</c:v>
                </c:pt>
                <c:pt idx="270">
                  <c:v>68738.532990438602</c:v>
                </c:pt>
                <c:pt idx="271">
                  <c:v>68784.917970378912</c:v>
                </c:pt>
                <c:pt idx="272">
                  <c:v>68822.960380927427</c:v>
                </c:pt>
                <c:pt idx="273">
                  <c:v>68852.70176910756</c:v>
                </c:pt>
                <c:pt idx="274">
                  <c:v>68874.184028687174</c:v>
                </c:pt>
                <c:pt idx="275">
                  <c:v>68887.44939908541</c:v>
                </c:pt>
                <c:pt idx="276">
                  <c:v>68892.540464316626</c:v>
                </c:pt>
                <c:pt idx="277">
                  <c:v>68889.500151972825</c:v>
                </c:pt>
                <c:pt idx="278">
                  <c:v>68878.371732245476</c:v>
                </c:pt>
                <c:pt idx="279">
                  <c:v>68859.198816986318</c:v>
                </c:pt>
                <c:pt idx="280">
                  <c:v>68832.025358808678</c:v>
                </c:pt>
                <c:pt idx="281">
                  <c:v>68796.895650229519</c:v>
                </c:pt>
                <c:pt idx="282">
                  <c:v>68753.854322853498</c:v>
                </c:pt>
                <c:pt idx="283">
                  <c:v>68702.946346597659</c:v>
                </c:pt>
                <c:pt idx="284">
                  <c:v>68644.217028960615</c:v>
                </c:pt>
                <c:pt idx="285">
                  <c:v>68577.712014333767</c:v>
                </c:pt>
                <c:pt idx="286">
                  <c:v>68503.477283356609</c:v>
                </c:pt>
                <c:pt idx="287">
                  <c:v>68421.559152316797</c:v>
                </c:pt>
                <c:pt idx="288">
                  <c:v>68332.00427259499</c:v>
                </c:pt>
                <c:pt idx="289">
                  <c:v>68234.859630155348</c:v>
                </c:pt>
                <c:pt idx="290">
                  <c:v>68130.172545082707</c:v>
                </c:pt>
                <c:pt idx="291">
                  <c:v>68017.990671165229</c:v>
                </c:pt>
                <c:pt idx="292">
                  <c:v>67898.361995526284</c:v>
                </c:pt>
                <c:pt idx="293">
                  <c:v>67771.334838302675</c:v>
                </c:pt>
                <c:pt idx="294">
                  <c:v>67636.957852372158</c:v>
                </c:pt>
                <c:pt idx="295">
                  <c:v>67495.280023129904</c:v>
                </c:pt>
                <c:pt idx="296">
                  <c:v>67346.350668314335</c:v>
                </c:pt>
                <c:pt idx="297">
                  <c:v>67190.219437883497</c:v>
                </c:pt>
                <c:pt idx="298">
                  <c:v>67026.936313941755</c:v>
                </c:pt>
                <c:pt idx="299">
                  <c:v>66856.55161071867</c:v>
                </c:pt>
                <c:pt idx="300">
                  <c:v>66679.115974598491</c:v>
                </c:pt>
                <c:pt idx="301">
                  <c:v>66494.680384202962</c:v>
                </c:pt>
                <c:pt idx="302">
                  <c:v>66303.296150526803</c:v>
                </c:pt>
                <c:pt idx="303">
                  <c:v>66105.014917127337</c:v>
                </c:pt>
                <c:pt idx="304">
                  <c:v>65899.888660366603</c:v>
                </c:pt>
                <c:pt idx="305">
                  <c:v>65687.969689710211</c:v>
                </c:pt>
                <c:pt idx="306">
                  <c:v>65469.310648079845</c:v>
                </c:pt>
                <c:pt idx="307">
                  <c:v>65243.964512261933</c:v>
                </c:pt>
                <c:pt idx="308">
                  <c:v>65011.984593373156</c:v>
                </c:pt>
                <c:pt idx="309">
                  <c:v>64773.424537382278</c:v>
                </c:pt>
                <c:pt idx="310">
                  <c:v>64528.338325689299</c:v>
                </c:pt>
                <c:pt idx="311">
                  <c:v>64276.7802757635</c:v>
                </c:pt>
                <c:pt idx="312">
                  <c:v>64018.805041838619</c:v>
                </c:pt>
                <c:pt idx="313">
                  <c:v>63754.467615668313</c:v>
                </c:pt>
                <c:pt idx="314">
                  <c:v>63483.823327341473</c:v>
                </c:pt>
                <c:pt idx="315">
                  <c:v>63206.927846156264</c:v>
                </c:pt>
                <c:pt idx="316">
                  <c:v>62923.837181557064</c:v>
                </c:pt>
                <c:pt idx="317">
                  <c:v>62634.607684130853</c:v>
                </c:pt>
                <c:pt idx="318">
                  <c:v>62339.296046667288</c:v>
                </c:pt>
                <c:pt idx="319">
                  <c:v>62037.959305280347</c:v>
                </c:pt>
                <c:pt idx="320">
                  <c:v>61730.654840593394</c:v>
                </c:pt>
                <c:pt idx="321">
                  <c:v>61417.440378988096</c:v>
                </c:pt>
                <c:pt idx="322">
                  <c:v>61098.373993917703</c:v>
                </c:pt>
                <c:pt idx="323">
                  <c:v>60773.514107285293</c:v>
                </c:pt>
                <c:pt idx="324">
                  <c:v>60442.919490887616</c:v>
                </c:pt>
                <c:pt idx="325">
                  <c:v>60106.649267925008</c:v>
                </c:pt>
                <c:pt idx="326">
                  <c:v>59764.762914578816</c:v>
                </c:pt>
                <c:pt idx="327">
                  <c:v>59417.320261654626</c:v>
                </c:pt>
                <c:pt idx="328">
                  <c:v>59064.381496296075</c:v>
                </c:pt>
                <c:pt idx="329">
                  <c:v>58706.007163765309</c:v>
                </c:pt>
                <c:pt idx="330">
                  <c:v>58342.258169293527</c:v>
                </c:pt>
                <c:pt idx="331">
                  <c:v>57973.195780002105</c:v>
                </c:pt>
                <c:pt idx="332">
                  <c:v>57598.881626894014</c:v>
                </c:pt>
                <c:pt idx="333">
                  <c:v>57219.377706916333</c:v>
                </c:pt>
                <c:pt idx="334">
                  <c:v>56834.746385095765</c:v>
                </c:pt>
                <c:pt idx="335">
                  <c:v>56445.050396745763</c:v>
                </c:pt>
                <c:pt idx="336">
                  <c:v>56050.352849748495</c:v>
                </c:pt>
                <c:pt idx="337">
                  <c:v>55650.717226910187</c:v>
                </c:pt>
                <c:pt idx="338">
                  <c:v>55246.207388392111</c:v>
                </c:pt>
                <c:pt idx="339">
                  <c:v>54836.887574215958</c:v>
                </c:pt>
                <c:pt idx="340">
                  <c:v>54422.822406847285</c:v>
                </c:pt>
                <c:pt idx="341">
                  <c:v>54004.076893855919</c:v>
                </c:pt>
                <c:pt idx="342">
                  <c:v>53580.716430653243</c:v>
                </c:pt>
                <c:pt idx="343">
                  <c:v>53152.806803309373</c:v>
                </c:pt>
                <c:pt idx="344">
                  <c:v>52720.41419145016</c:v>
                </c:pt>
                <c:pt idx="345">
                  <c:v>52283.605171233496</c:v>
                </c:pt>
                <c:pt idx="346">
                  <c:v>51842.446718408224</c:v>
                </c:pt>
                <c:pt idx="347">
                  <c:v>51397.006211454325</c:v>
                </c:pt>
                <c:pt idx="348">
                  <c:v>50947.351434806857</c:v>
                </c:pt>
                <c:pt idx="349">
                  <c:v>50493.550582162876</c:v>
                </c:pt>
                <c:pt idx="350">
                  <c:v>50035.672259873725</c:v>
                </c:pt>
                <c:pt idx="351">
                  <c:v>49573.785490423965</c:v>
                </c:pt>
                <c:pt idx="352">
                  <c:v>49107.959715994584</c:v>
                </c:pt>
                <c:pt idx="353">
                  <c:v>48638.264802116923</c:v>
                </c:pt>
                <c:pt idx="354">
                  <c:v>48164.771041412765</c:v>
                </c:pt>
                <c:pt idx="355">
                  <c:v>47687.549157425005</c:v>
                </c:pt>
                <c:pt idx="356">
                  <c:v>47206.670308539222</c:v>
                </c:pt>
                <c:pt idx="357">
                  <c:v>46722.206091996661</c:v>
                </c:pt>
                <c:pt idx="358">
                  <c:v>46234.228547999621</c:v>
                </c:pt>
                <c:pt idx="359">
                  <c:v>45742.810163911199</c:v>
                </c:pt>
                <c:pt idx="360">
                  <c:v>45248.023878550004</c:v>
                </c:pt>
                <c:pt idx="361">
                  <c:v>44749.943086580606</c:v>
                </c:pt>
                <c:pt idx="362">
                  <c:v>44248.641643000694</c:v>
                </c:pt>
                <c:pt idx="363">
                  <c:v>43744.193867728594</c:v>
                </c:pt>
                <c:pt idx="364">
                  <c:v>43236.674550288008</c:v>
                </c:pt>
                <c:pt idx="365">
                  <c:v>42726.158954595725</c:v>
                </c:pt>
                <c:pt idx="366">
                  <c:v>42212.72282384937</c:v>
                </c:pt>
                <c:pt idx="367">
                  <c:v>41696.442385520415</c:v>
                </c:pt>
                <c:pt idx="368">
                  <c:v>41177.394356451157</c:v>
                </c:pt>
                <c:pt idx="369">
                  <c:v>40655.655948057509</c:v>
                </c:pt>
                <c:pt idx="370">
                  <c:v>40131.304871640081</c:v>
                </c:pt>
                <c:pt idx="371">
                  <c:v>39604.419343802823</c:v>
                </c:pt>
                <c:pt idx="372">
                  <c:v>39075.078091983829</c:v>
                </c:pt>
                <c:pt idx="373">
                  <c:v>38543.360360095947</c:v>
                </c:pt>
                <c:pt idx="374">
                  <c:v>38009.345914282669</c:v>
                </c:pt>
                <c:pt idx="375">
                  <c:v>37473.115048786873</c:v>
                </c:pt>
                <c:pt idx="376">
                  <c:v>36934.748591938289</c:v>
                </c:pt>
                <c:pt idx="377">
                  <c:v>36394.327912256878</c:v>
                </c:pt>
                <c:pt idx="378">
                  <c:v>35851.93492467732</c:v>
                </c:pt>
                <c:pt idx="379">
                  <c:v>35307.652096895312</c:v>
                </c:pt>
                <c:pt idx="380">
                  <c:v>34761.562455834755</c:v>
                </c:pt>
                <c:pt idx="381">
                  <c:v>34213.749594242792</c:v>
                </c:pt>
                <c:pt idx="382">
                  <c:v>33664.29767741025</c:v>
                </c:pt>
                <c:pt idx="383">
                  <c:v>33113.291450020661</c:v>
                </c:pt>
                <c:pt idx="384">
                  <c:v>32560.816243129935</c:v>
                </c:pt>
                <c:pt idx="385">
                  <c:v>32006.957981279385</c:v>
                </c:pt>
                <c:pt idx="386">
                  <c:v>31451.803189742812</c:v>
                </c:pt>
                <c:pt idx="387">
                  <c:v>30895.439001909475</c:v>
                </c:pt>
                <c:pt idx="388">
                  <c:v>30337.953166807431</c:v>
                </c:pt>
                <c:pt idx="389">
                  <c:v>29779.434056766651</c:v>
                </c:pt>
                <c:pt idx="390">
                  <c:v>29219.970675225661</c:v>
                </c:pt>
                <c:pt idx="391">
                  <c:v>28659.652664684127</c:v>
                </c:pt>
                <c:pt idx="392">
                  <c:v>28098.570314802011</c:v>
                </c:pt>
                <c:pt idx="393">
                  <c:v>27536.814570649887</c:v>
                </c:pt>
                <c:pt idx="394">
                  <c:v>26974.47704111223</c:v>
                </c:pt>
                <c:pt idx="395">
                  <c:v>26411.650007444576</c:v>
                </c:pt>
                <c:pt idx="396">
                  <c:v>25848.426431989366</c:v>
                </c:pt>
                <c:pt idx="397">
                  <c:v>25284.899967052374</c:v>
                </c:pt>
                <c:pt idx="398">
                  <c:v>24721.164963941806</c:v>
                </c:pt>
                <c:pt idx="399">
                  <c:v>24157.316482172744</c:v>
                </c:pt>
                <c:pt idx="400">
                  <c:v>23593.450298841912</c:v>
                </c:pt>
                <c:pt idx="401">
                  <c:v>23029.662918172206</c:v>
                </c:pt>
                <c:pt idx="402">
                  <c:v>22466.051581233929</c:v>
                </c:pt>
                <c:pt idx="403">
                  <c:v>21902.714275842882</c:v>
                </c:pt>
                <c:pt idx="404">
                  <c:v>21339.749746638419</c:v>
                </c:pt>
                <c:pt idx="405">
                  <c:v>20777.257505347585</c:v>
                </c:pt>
                <c:pt idx="406">
                  <c:v>20215.337841236218</c:v>
                </c:pt>
                <c:pt idx="407">
                  <c:v>19654.091831749734</c:v>
                </c:pt>
                <c:pt idx="408">
                  <c:v>19093.621353351591</c:v>
                </c:pt>
                <c:pt idx="409">
                  <c:v>18534.029092555116</c:v>
                </c:pt>
                <c:pt idx="410">
                  <c:v>17975.418557162517</c:v>
                </c:pt>
                <c:pt idx="411">
                  <c:v>17417.894087705896</c:v>
                </c:pt>
                <c:pt idx="412">
                  <c:v>16861.560869098899</c:v>
                </c:pt>
                <c:pt idx="413">
                  <c:v>16306.52494250257</c:v>
                </c:pt>
                <c:pt idx="414">
                  <c:v>15752.893217408007</c:v>
                </c:pt>
                <c:pt idx="415">
                  <c:v>15200.773483942394</c:v>
                </c:pt>
                <c:pt idx="416">
                  <c:v>14650.274425399326</c:v>
                </c:pt>
                <c:pt idx="417">
                  <c:v>14101.505631002516</c:v>
                </c:pt>
                <c:pt idx="418">
                  <c:v>13554.577608902448</c:v>
                </c:pt>
                <c:pt idx="419">
                  <c:v>13009.601799415819</c:v>
                </c:pt>
                <c:pt idx="420">
                  <c:v>12466.690588507447</c:v>
                </c:pt>
                <c:pt idx="421">
                  <c:v>11925.957321524278</c:v>
                </c:pt>
                <c:pt idx="422">
                  <c:v>11387.516317183943</c:v>
                </c:pt>
                <c:pt idx="423">
                  <c:v>10851.482881822969</c:v>
                </c:pt>
                <c:pt idx="424">
                  <c:v>10317.973323913477</c:v>
                </c:pt>
                <c:pt idx="425">
                  <c:v>9787.1049688483654</c:v>
                </c:pt>
                <c:pt idx="426">
                  <c:v>9258.996174005315</c:v>
                </c:pt>
                <c:pt idx="427">
                  <c:v>8733.7663440953256</c:v>
                </c:pt>
                <c:pt idx="428">
                  <c:v>8211.5359467983017</c:v>
                </c:pt>
                <c:pt idx="429">
                  <c:v>7692.4265286951022</c:v>
                </c:pt>
                <c:pt idx="430">
                  <c:v>7176.5607315032494</c:v>
                </c:pt>
                <c:pt idx="431">
                  <c:v>6664.0623086189162</c:v>
                </c:pt>
                <c:pt idx="432">
                  <c:v>6155.0561419762134</c:v>
                </c:pt>
                <c:pt idx="433">
                  <c:v>5649.6682592286325</c:v>
                </c:pt>
                <c:pt idx="434">
                  <c:v>5148.0258512604023</c:v>
                </c:pt>
                <c:pt idx="435">
                  <c:v>4650.2572900354389</c:v>
                </c:pt>
                <c:pt idx="436">
                  <c:v>4156.4921467914201</c:v>
                </c:pt>
                <c:pt idx="437">
                  <c:v>3666.8612105858533</c:v>
                </c:pt>
                <c:pt idx="438">
                  <c:v>3181.496507205768</c:v>
                </c:pt>
                <c:pt idx="439">
                  <c:v>2700.5313184436691</c:v>
                </c:pt>
                <c:pt idx="440">
                  <c:v>2224.1002017555097</c:v>
                </c:pt>
                <c:pt idx="441">
                  <c:v>1752.3390103028426</c:v>
                </c:pt>
                <c:pt idx="442">
                  <c:v>1285.3849133938957</c:v>
                </c:pt>
                <c:pt idx="443">
                  <c:v>823.37641732752877</c:v>
                </c:pt>
                <c:pt idx="444">
                  <c:v>366.45338665770231</c:v>
                </c:pt>
                <c:pt idx="445">
                  <c:v>-85.24293412102476</c:v>
                </c:pt>
                <c:pt idx="446">
                  <c:v>-531.56989844824136</c:v>
                </c:pt>
                <c:pt idx="447">
                  <c:v>-972.38343512607719</c:v>
                </c:pt>
                <c:pt idx="448">
                  <c:v>-1407.5380252912119</c:v>
                </c:pt>
                <c:pt idx="449">
                  <c:v>-1836.8866789135327</c:v>
                </c:pt>
                <c:pt idx="450">
                  <c:v>-2260.2809108159536</c:v>
                </c:pt>
                <c:pt idx="451">
                  <c:v>-2677.570716200315</c:v>
                </c:pt>
                <c:pt idx="452">
                  <c:v>-3088.6045456645029</c:v>
                </c:pt>
                <c:pt idx="453">
                  <c:v>-3493.2292797033174</c:v>
                </c:pt>
                <c:pt idx="454">
                  <c:v>-3891.2902026733268</c:v>
                </c:pt>
                <c:pt idx="455">
                  <c:v>-4282.6309762120572</c:v>
                </c:pt>
                <c:pt idx="456">
                  <c:v>-4667.0936120972792</c:v>
                </c:pt>
                <c:pt idx="457">
                  <c:v>-5044.5184445267323</c:v>
                </c:pt>
                <c:pt idx="458">
                  <c:v>-5414.7441018095542</c:v>
                </c:pt>
                <c:pt idx="459">
                  <c:v>-5777.6074774487106</c:v>
                </c:pt>
                <c:pt idx="460">
                  <c:v>-6132.9437005992731</c:v>
                </c:pt>
                <c:pt idx="461">
                  <c:v>-6480.5861058860446</c:v>
                </c:pt>
                <c:pt idx="462">
                  <c:v>-6820.3662025639733</c:v>
                </c:pt>
                <c:pt idx="463">
                  <c:v>-7152.1136429981952</c:v>
                </c:pt>
                <c:pt idx="464">
                  <c:v>-7475.6561904536811</c:v>
                </c:pt>
                <c:pt idx="465">
                  <c:v>-7790.819686163858</c:v>
                </c:pt>
                <c:pt idx="466">
                  <c:v>-8097.428015669926</c:v>
                </c:pt>
                <c:pt idx="467">
                  <c:v>-8395.3030743984891</c:v>
                </c:pt>
                <c:pt idx="468">
                  <c:v>-8684.2647324642621</c:v>
                </c:pt>
                <c:pt idx="469">
                  <c:v>-8964.1307986722877</c:v>
                </c:pt>
                <c:pt idx="470">
                  <c:v>-9234.7169836944195</c:v>
                </c:pt>
                <c:pt idx="471">
                  <c:v>-9495.8368624002578</c:v>
                </c:pt>
                <c:pt idx="472">
                  <c:v>-9747.3018353133848</c:v>
                </c:pt>
                <c:pt idx="473">
                  <c:v>-9988.9210891701932</c:v>
                </c:pt>
                <c:pt idx="474">
                  <c:v>-10220.501556550462</c:v>
                </c:pt>
                <c:pt idx="475">
                  <c:v>-10441.84787455757</c:v>
                </c:pt>
                <c:pt idx="476">
                  <c:v>-10652.762342512036</c:v>
                </c:pt>
                <c:pt idx="477">
                  <c:v>-10853.044878636532</c:v>
                </c:pt>
              </c:numCache>
            </c:numRef>
          </c:xVal>
          <c:yVal>
            <c:numRef>
              <c:f>'Problem 2'!$Z$13:$Z$490</c:f>
              <c:numCache>
                <c:formatCode>General</c:formatCode>
                <c:ptCount val="478"/>
                <c:pt idx="0">
                  <c:v>6400</c:v>
                </c:pt>
                <c:pt idx="1">
                  <c:v>6403.2410824428489</c:v>
                </c:pt>
                <c:pt idx="2">
                  <c:v>6409.7709629632727</c:v>
                </c:pt>
                <c:pt idx="3">
                  <c:v>6419.6372031881374</c:v>
                </c:pt>
                <c:pt idx="4">
                  <c:v>6432.8871890755654</c:v>
                </c:pt>
                <c:pt idx="5">
                  <c:v>6449.5681103445031</c:v>
                </c:pt>
                <c:pt idx="6">
                  <c:v>6469.7269411643629</c:v>
                </c:pt>
                <c:pt idx="7">
                  <c:v>6493.4104222743827</c:v>
                </c:pt>
                <c:pt idx="8">
                  <c:v>6520.6650447009506</c:v>
                </c:pt>
                <c:pt idx="9">
                  <c:v>6551.5370352384298</c:v>
                </c:pt>
                <c:pt idx="10">
                  <c:v>6586.0723438548503</c:v>
                </c:pt>
                <c:pt idx="11">
                  <c:v>6624.3166331783041</c:v>
                </c:pt>
                <c:pt idx="12">
                  <c:v>6666.3152702128709</c:v>
                </c:pt>
                <c:pt idx="13">
                  <c:v>6712.1133204245634</c:v>
                </c:pt>
                <c:pt idx="14">
                  <c:v>6761.7555443280226</c:v>
                </c:pt>
                <c:pt idx="15">
                  <c:v>6815.2863966937202</c:v>
                </c:pt>
                <c:pt idx="16">
                  <c:v>6872.7500284831613</c:v>
                </c:pt>
                <c:pt idx="17">
                  <c:v>6934.1902916062363</c:v>
                </c:pt>
                <c:pt idx="18">
                  <c:v>6999.6507465805171</c:v>
                </c:pt>
                <c:pt idx="19">
                  <c:v>7069.1746731570165</c:v>
                </c:pt>
                <c:pt idx="20">
                  <c:v>7142.8050839609559</c:v>
                </c:pt>
                <c:pt idx="21">
                  <c:v>7220.584741179463</c:v>
                </c:pt>
                <c:pt idx="22">
                  <c:v>7302.5561763110845</c:v>
                </c:pt>
                <c:pt idx="23">
                  <c:v>7388.7617129746986</c:v>
                </c:pt>
                <c:pt idx="24">
                  <c:v>7479.189433030484</c:v>
                </c:pt>
                <c:pt idx="25">
                  <c:v>7573.925723750237</c:v>
                </c:pt>
                <c:pt idx="26">
                  <c:v>7673.0102532668352</c:v>
                </c:pt>
                <c:pt idx="27">
                  <c:v>7776.4822296666971</c:v>
                </c:pt>
                <c:pt idx="28">
                  <c:v>7884.3803955033945</c:v>
                </c:pt>
                <c:pt idx="29">
                  <c:v>7996.7430224455766</c:v>
                </c:pt>
                <c:pt idx="30">
                  <c:v>8113.6079059719577</c:v>
                </c:pt>
                <c:pt idx="31">
                  <c:v>8235.0123600220577</c:v>
                </c:pt>
                <c:pt idx="32">
                  <c:v>8360.993211508252</c:v>
                </c:pt>
                <c:pt idx="33">
                  <c:v>8491.5867945927366</c:v>
                </c:pt>
                <c:pt idx="34">
                  <c:v>8626.828944632136</c:v>
                </c:pt>
                <c:pt idx="35">
                  <c:v>8766.7549916930329</c:v>
                </c:pt>
                <c:pt idx="36">
                  <c:v>8911.3997535433882</c:v>
                </c:pt>
                <c:pt idx="37">
                  <c:v>9060.7975280280461</c:v>
                </c:pt>
                <c:pt idx="38">
                  <c:v>9214.9820847409937</c:v>
                </c:pt>
                <c:pt idx="39">
                  <c:v>9373.986655912835</c:v>
                </c:pt>
                <c:pt idx="40">
                  <c:v>9537.8439264391272</c:v>
                </c:pt>
                <c:pt idx="41">
                  <c:v>9706.5860229835253</c:v>
                </c:pt>
                <c:pt idx="42">
                  <c:v>9880.2445020991181</c:v>
                </c:pt>
                <c:pt idx="43">
                  <c:v>10058.850337321825</c:v>
                </c:pt>
                <c:pt idx="44">
                  <c:v>10242.433905201053</c:v>
                </c:pt>
                <c:pt idx="45">
                  <c:v>10431.024970244907</c:v>
                </c:pt>
                <c:pt idx="46">
                  <c:v>10624.652668769857</c:v>
                </c:pt>
                <c:pt idx="47">
                  <c:v>10823.345491657852</c:v>
                </c:pt>
                <c:pt idx="48">
                  <c:v>11027.131266037184</c:v>
                </c:pt>
                <c:pt idx="49">
                  <c:v>11236.037135916737</c:v>
                </c:pt>
                <c:pt idx="50">
                  <c:v>11450.089541816491</c:v>
                </c:pt>
                <c:pt idx="51">
                  <c:v>11669.314199450171</c:v>
                </c:pt>
                <c:pt idx="52">
                  <c:v>11893.736077528334</c:v>
                </c:pt>
                <c:pt idx="53">
                  <c:v>12123.379374762151</c:v>
                </c:pt>
                <c:pt idx="54">
                  <c:v>12358.267496159191</c:v>
                </c:pt>
                <c:pt idx="55">
                  <c:v>12598.42302871277</c:v>
                </c:pt>
                <c:pt idx="56">
                  <c:v>12843.867716595556</c:v>
                </c:pt>
                <c:pt idx="57">
                  <c:v>13094.622435976233</c:v>
                </c:pt>
                <c:pt idx="58">
                  <c:v>13350.707169584812</c:v>
                </c:pt>
                <c:pt idx="59">
                  <c:v>13612.140981157736</c:v>
                </c:pt>
                <c:pt idx="60">
                  <c:v>13878.941989898183</c:v>
                </c:pt>
                <c:pt idx="61">
                  <c:v>14151.127345089768</c:v>
                </c:pt>
                <c:pt idx="62">
                  <c:v>14428.71320100344</c:v>
                </c:pt>
                <c:pt idx="63">
                  <c:v>14711.714692237429</c:v>
                </c:pt>
                <c:pt idx="64">
                  <c:v>15000.145909629002</c:v>
                </c:pt>
                <c:pt idx="65">
                  <c:v>15294.019876874367</c:v>
                </c:pt>
                <c:pt idx="66">
                  <c:v>15593.34852798943</c:v>
                </c:pt>
                <c:pt idx="67">
                  <c:v>15898.142685739422</c:v>
                </c:pt>
                <c:pt idx="68">
                  <c:v>16208.412041159654</c:v>
                </c:pt>
                <c:pt idx="69">
                  <c:v>16524.16513428311</c:v>
                </c:pt>
                <c:pt idx="70">
                  <c:v>16845.40933618306</c:v>
                </c:pt>
                <c:pt idx="71">
                  <c:v>17172.15083243098</c:v>
                </c:pt>
                <c:pt idx="72">
                  <c:v>17504.394608061248</c:v>
                </c:pt>
                <c:pt idx="73">
                  <c:v>17842.144434125345</c:v>
                </c:pt>
                <c:pt idx="74">
                  <c:v>18185.402855908775</c:v>
                </c:pt>
                <c:pt idx="75">
                  <c:v>18534.171182874663</c:v>
                </c:pt>
                <c:pt idx="76">
                  <c:v>18888.449480388423</c:v>
                </c:pt>
                <c:pt idx="77">
                  <c:v>19248.236563268591</c:v>
                </c:pt>
                <c:pt idx="78">
                  <c:v>19613.529991199652</c:v>
                </c:pt>
                <c:pt idx="79">
                  <c:v>19984.326066033784</c:v>
                </c:pt>
                <c:pt idx="80">
                  <c:v>20360.619830999898</c:v>
                </c:pt>
                <c:pt idx="81">
                  <c:v>20742.405071830108</c:v>
                </c:pt>
                <c:pt idx="82">
                  <c:v>21129.674319806218</c:v>
                </c:pt>
                <c:pt idx="83">
                  <c:v>21522.418856721481</c:v>
                </c:pt>
                <c:pt idx="84">
                  <c:v>21920.628721746409</c:v>
                </c:pt>
                <c:pt idx="85">
                  <c:v>22324.292720181256</c:v>
                </c:pt>
                <c:pt idx="86">
                  <c:v>22733.398434072376</c:v>
                </c:pt>
                <c:pt idx="87">
                  <c:v>23147.93223466463</c:v>
                </c:pt>
                <c:pt idx="88">
                  <c:v>23567.879296657786</c:v>
                </c:pt>
                <c:pt idx="89">
                  <c:v>23993.223614230843</c:v>
                </c:pt>
                <c:pt idx="90">
                  <c:v>24423.948018794978</c:v>
                </c:pt>
                <c:pt idx="91">
                  <c:v>24860.034198432841</c:v>
                </c:pt>
                <c:pt idx="92">
                  <c:v>25301.462718979503</c:v>
                </c:pt>
                <c:pt idx="93">
                  <c:v>25748.213046698238</c:v>
                </c:pt>
                <c:pt idx="94">
                  <c:v>26200.263572502598</c:v>
                </c:pt>
                <c:pt idx="95">
                  <c:v>26657.591637674745</c:v>
                </c:pt>
                <c:pt idx="96">
                  <c:v>27120.173561028852</c:v>
                </c:pt>
                <c:pt idx="97">
                  <c:v>27587.984667467343</c:v>
                </c:pt>
                <c:pt idx="98">
                  <c:v>28060.999317876987</c:v>
                </c:pt>
                <c:pt idx="99">
                  <c:v>28539.190940311164</c:v>
                </c:pt>
                <c:pt idx="100">
                  <c:v>29022.532062404036</c:v>
                </c:pt>
                <c:pt idx="101">
                  <c:v>29510.994344962026</c:v>
                </c:pt>
                <c:pt idx="102">
                  <c:v>30004.548616677439</c:v>
                </c:pt>
                <c:pt idx="103">
                  <c:v>30503.164909908905</c:v>
                </c:pt>
                <c:pt idx="104">
                  <c:v>31006.812497472929</c:v>
                </c:pt>
                <c:pt idx="105">
                  <c:v>31515.459930390673</c:v>
                </c:pt>
                <c:pt idx="106">
                  <c:v>32029.075076533827</c:v>
                </c:pt>
                <c:pt idx="107">
                  <c:v>32547.625160113355</c:v>
                </c:pt>
                <c:pt idx="108">
                  <c:v>33071.076801954754</c:v>
                </c:pt>
                <c:pt idx="109">
                  <c:v>33599.396060503444</c:v>
                </c:pt>
                <c:pt idx="110">
                  <c:v>34132.548473503877</c:v>
                </c:pt>
                <c:pt idx="111">
                  <c:v>34670.499100296249</c:v>
                </c:pt>
                <c:pt idx="112">
                  <c:v>35213.212564674621</c:v>
                </c:pt>
                <c:pt idx="113">
                  <c:v>35760.653098250856</c:v>
                </c:pt>
                <c:pt idx="114">
                  <c:v>36312.784584269044</c:v>
                </c:pt>
                <c:pt idx="115">
                  <c:v>36869.570601815758</c:v>
                </c:pt>
                <c:pt idx="116">
                  <c:v>37430.974470372166</c:v>
                </c:pt>
                <c:pt idx="117">
                  <c:v>37996.959294654924</c:v>
                </c:pt>
                <c:pt idx="118">
                  <c:v>38567.488009693887</c:v>
                </c:pt>
                <c:pt idx="119">
                  <c:v>39142.523426095846</c:v>
                </c:pt>
                <c:pt idx="120">
                  <c:v>39722.028275445009</c:v>
                </c:pt>
                <c:pt idx="121">
                  <c:v>40305.965255792413</c:v>
                </c:pt>
                <c:pt idx="122">
                  <c:v>40894.297077188443</c:v>
                </c:pt>
                <c:pt idx="123">
                  <c:v>41486.986507214402</c:v>
                </c:pt>
                <c:pt idx="124">
                  <c:v>42083.996416471455</c:v>
                </c:pt>
                <c:pt idx="125">
                  <c:v>42685.289823987405</c:v>
                </c:pt>
                <c:pt idx="126">
                  <c:v>43290.829942504439</c:v>
                </c:pt>
                <c:pt idx="127">
                  <c:v>43900.580223613455</c:v>
                </c:pt>
                <c:pt idx="128">
                  <c:v>44514.504402703627</c:v>
                </c:pt>
                <c:pt idx="129">
                  <c:v>45132.566543698536</c:v>
                </c:pt>
                <c:pt idx="130">
                  <c:v>45754.731083553488</c:v>
                </c:pt>
                <c:pt idx="131">
                  <c:v>46380.962876491678</c:v>
                </c:pt>
                <c:pt idx="132">
                  <c:v>47011.227237960098</c:v>
                </c:pt>
                <c:pt idx="133">
                  <c:v>47645.489988289512</c:v>
                </c:pt>
                <c:pt idx="134">
                  <c:v>48283.717496046149</c:v>
                </c:pt>
                <c:pt idx="135">
                  <c:v>48925.876721066139</c:v>
                </c:pt>
                <c:pt idx="136">
                  <c:v>49571.935257167337</c:v>
                </c:pt>
                <c:pt idx="137">
                  <c:v>50221.861374536435</c:v>
                </c:pt>
                <c:pt idx="138">
                  <c:v>50875.624061792943</c:v>
                </c:pt>
                <c:pt idx="139">
                  <c:v>51533.193067734937</c:v>
                </c:pt>
                <c:pt idx="140">
                  <c:v>52194.538942774954</c:v>
                </c:pt>
                <c:pt idx="141">
                  <c:v>52859.63308007786</c:v>
                </c:pt>
                <c:pt idx="142">
                  <c:v>53528.447756415786</c:v>
                </c:pt>
                <c:pt idx="143">
                  <c:v>54200.956172758619</c:v>
                </c:pt>
                <c:pt idx="144">
                  <c:v>54877.132494621721</c:v>
                </c:pt>
                <c:pt idx="145">
                  <c:v>55556.951892195822</c:v>
                </c:pt>
                <c:pt idx="146">
                  <c:v>56240.390580287043</c:v>
                </c:pt>
                <c:pt idx="147">
                  <c:v>56927.42585809817</c:v>
                </c:pt>
                <c:pt idx="148">
                  <c:v>57618.036148885243</c:v>
                </c:pt>
                <c:pt idx="149">
                  <c:v>58312.201039526444</c:v>
                </c:pt>
                <c:pt idx="150">
                  <c:v>59009.90132004318</c:v>
                </c:pt>
                <c:pt idx="151">
                  <c:v>59711.119023115949</c:v>
                </c:pt>
                <c:pt idx="152">
                  <c:v>60415.837463640521</c:v>
                </c:pt>
                <c:pt idx="153">
                  <c:v>61124.041278372446</c:v>
                </c:pt>
                <c:pt idx="154">
                  <c:v>61835.71646571075</c:v>
                </c:pt>
                <c:pt idx="155">
                  <c:v>62550.850425674173</c:v>
                </c:pt>
                <c:pt idx="156">
                  <c:v>63269.432000126042</c:v>
                </c:pt>
                <c:pt idx="157">
                  <c:v>63991.451513306361</c:v>
                </c:pt>
                <c:pt idx="158">
                  <c:v>64716.900812732354</c:v>
                </c:pt>
                <c:pt idx="159">
                  <c:v>65445.77331053136</c:v>
                </c:pt>
                <c:pt idx="160">
                  <c:v>66178.064025272528</c:v>
                </c:pt>
                <c:pt idx="161">
                  <c:v>66913.769624366541</c:v>
                </c:pt>
                <c:pt idx="162">
                  <c:v>67652.888467105251</c:v>
                </c:pt>
                <c:pt idx="163">
                  <c:v>68395.420648416126</c:v>
                </c:pt>
                <c:pt idx="164">
                  <c:v>69141.368043409049</c:v>
                </c:pt>
                <c:pt idx="165">
                  <c:v>69890.734352796222</c:v>
                </c:pt>
                <c:pt idx="166">
                  <c:v>70643.525149269175</c:v>
                </c:pt>
                <c:pt idx="167">
                  <c:v>71399.74792491991</c:v>
                </c:pt>
                <c:pt idx="168">
                  <c:v>72159.412139797016</c:v>
                </c:pt>
                <c:pt idx="169">
                  <c:v>72922.529271690888</c:v>
                </c:pt>
                <c:pt idx="170">
                  <c:v>73689.112867246717</c:v>
                </c:pt>
                <c:pt idx="171">
                  <c:v>74459.178594507233</c:v>
                </c:pt>
                <c:pt idx="172">
                  <c:v>75232.744296992329</c:v>
                </c:pt>
                <c:pt idx="173">
                  <c:v>76009.830049426979</c:v>
                </c:pt>
                <c:pt idx="174">
                  <c:v>76790.458215234234</c:v>
                </c:pt>
                <c:pt idx="175">
                  <c:v>77574.653505915034</c:v>
                </c:pt>
                <c:pt idx="176">
                  <c:v>78362.443042443047</c:v>
                </c:pt>
                <c:pt idx="177">
                  <c:v>79153.856418808311</c:v>
                </c:pt>
                <c:pt idx="178">
                  <c:v>79948.925767850698</c:v>
                </c:pt>
                <c:pt idx="179">
                  <c:v>80747.685829531256</c:v>
                </c:pt>
                <c:pt idx="180">
                  <c:v>81550.174021797196</c:v>
                </c:pt>
                <c:pt idx="181">
                  <c:v>82356.430514205058</c:v>
                </c:pt>
                <c:pt idx="182">
                  <c:v>83166.498304475303</c:v>
                </c:pt>
                <c:pt idx="183">
                  <c:v>83980.423298161768</c:v>
                </c:pt>
                <c:pt idx="184">
                  <c:v>84798.254391629787</c:v>
                </c:pt>
                <c:pt idx="185">
                  <c:v>85620.043558548568</c:v>
                </c:pt>
                <c:pt idx="186">
                  <c:v>86445.845940115629</c:v>
                </c:pt>
                <c:pt idx="187">
                  <c:v>87275.719939244795</c:v>
                </c:pt>
                <c:pt idx="188">
                  <c:v>88109.727318963865</c:v>
                </c:pt>
                <c:pt idx="189">
                  <c:v>88947.933305283892</c:v>
                </c:pt>
                <c:pt idx="190">
                  <c:v>89790.406694819336</c:v>
                </c:pt>
                <c:pt idx="191">
                  <c:v>90637.219967457015</c:v>
                </c:pt>
                <c:pt idx="192">
                  <c:v>91488.44940439229</c:v>
                </c:pt>
                <c:pt idx="193">
                  <c:v>92344.175211872891</c:v>
                </c:pt>
                <c:pt idx="194">
                  <c:v>93204.481651015041</c:v>
                </c:pt>
                <c:pt idx="195">
                  <c:v>94069.457174082796</c:v>
                </c:pt>
                <c:pt idx="196">
                  <c:v>94939.194567650135</c:v>
                </c:pt>
                <c:pt idx="197">
                  <c:v>95813.791103096679</c:v>
                </c:pt>
                <c:pt idx="198">
                  <c:v>96693.348694922024</c:v>
                </c:pt>
                <c:pt idx="199">
                  <c:v>97577.974067401083</c:v>
                </c:pt>
                <c:pt idx="200">
                  <c:v>98467.778930143759</c:v>
                </c:pt>
                <c:pt idx="201">
                  <c:v>99362.880163166992</c:v>
                </c:pt>
                <c:pt idx="202">
                  <c:v>100263.40001213655</c:v>
                </c:pt>
                <c:pt idx="203">
                  <c:v>101169.46629448973</c:v>
                </c:pt>
                <c:pt idx="204">
                  <c:v>102081.21261720971</c:v>
                </c:pt>
                <c:pt idx="205">
                  <c:v>102998.77860708747</c:v>
                </c:pt>
                <c:pt idx="206">
                  <c:v>103922.31015437943</c:v>
                </c:pt>
                <c:pt idx="207">
                  <c:v>104851.95967084808</c:v>
                </c:pt>
                <c:pt idx="208">
                  <c:v>105787.88636326134</c:v>
                </c:pt>
                <c:pt idx="209">
                  <c:v>106730.25652352301</c:v>
                </c:pt>
                <c:pt idx="210">
                  <c:v>107679.24383671497</c:v>
                </c:pt>
                <c:pt idx="211">
                  <c:v>108635.02970845088</c:v>
                </c:pt>
                <c:pt idx="212">
                  <c:v>109597.80361307484</c:v>
                </c:pt>
                <c:pt idx="213">
                  <c:v>110576.24181021551</c:v>
                </c:pt>
                <c:pt idx="214">
                  <c:v>111549.6484587575</c:v>
                </c:pt>
                <c:pt idx="215">
                  <c:v>112518.0257120219</c:v>
                </c:pt>
                <c:pt idx="216">
                  <c:v>113481.37574030198</c:v>
                </c:pt>
                <c:pt idx="217">
                  <c:v>114439.70073212784</c:v>
                </c:pt>
                <c:pt idx="218">
                  <c:v>115393.00289543181</c:v>
                </c:pt>
                <c:pt idx="219">
                  <c:v>116341.28445862919</c:v>
                </c:pt>
                <c:pt idx="220">
                  <c:v>117284.54767162642</c:v>
                </c:pt>
                <c:pt idx="221">
                  <c:v>118222.79480676755</c:v>
                </c:pt>
                <c:pt idx="222">
                  <c:v>119156.02815972787</c:v>
                </c:pt>
                <c:pt idx="223">
                  <c:v>120084.25005036259</c:v>
                </c:pt>
                <c:pt idx="224">
                  <c:v>121007.4628235171</c:v>
                </c:pt>
                <c:pt idx="225">
                  <c:v>121925.66884980448</c:v>
                </c:pt>
                <c:pt idx="226">
                  <c:v>122838.87052635541</c:v>
                </c:pt>
                <c:pt idx="227">
                  <c:v>123747.07027754423</c:v>
                </c:pt>
                <c:pt idx="228">
                  <c:v>124650.27055569518</c:v>
                </c:pt>
                <c:pt idx="229">
                  <c:v>125548.4738417717</c:v>
                </c:pt>
                <c:pt idx="230">
                  <c:v>126441.68264605146</c:v>
                </c:pt>
                <c:pt idx="231">
                  <c:v>127329.89950878953</c:v>
                </c:pt>
                <c:pt idx="232">
                  <c:v>128213.12700087162</c:v>
                </c:pt>
                <c:pt idx="233">
                  <c:v>129091.36772445902</c:v>
                </c:pt>
                <c:pt idx="234">
                  <c:v>129964.6243136269</c:v>
                </c:pt>
                <c:pt idx="235">
                  <c:v>130832.89943499706</c:v>
                </c:pt>
                <c:pt idx="236">
                  <c:v>131696.19578836643</c:v>
                </c:pt>
                <c:pt idx="237">
                  <c:v>132554.51610733211</c:v>
                </c:pt>
                <c:pt idx="238">
                  <c:v>133407.86315991392</c:v>
                </c:pt>
                <c:pt idx="239">
                  <c:v>134256.23974917515</c:v>
                </c:pt>
                <c:pt idx="240">
                  <c:v>135099.64871384203</c:v>
                </c:pt>
                <c:pt idx="241">
                  <c:v>135938.09292892285</c:v>
                </c:pt>
                <c:pt idx="242">
                  <c:v>136771.5753063265</c:v>
                </c:pt>
                <c:pt idx="243">
                  <c:v>137600.09879548193</c:v>
                </c:pt>
                <c:pt idx="244">
                  <c:v>138423.66638395761</c:v>
                </c:pt>
                <c:pt idx="245">
                  <c:v>139242.28109808266</c:v>
                </c:pt>
                <c:pt idx="246">
                  <c:v>140055.94600356882</c:v>
                </c:pt>
                <c:pt idx="247">
                  <c:v>140864.66420613424</c:v>
                </c:pt>
                <c:pt idx="248">
                  <c:v>141668.43885212895</c:v>
                </c:pt>
                <c:pt idx="249">
                  <c:v>142467.27312916252</c:v>
                </c:pt>
                <c:pt idx="250">
                  <c:v>143261.17026673382</c:v>
                </c:pt>
                <c:pt idx="251">
                  <c:v>144050.13353686317</c:v>
                </c:pt>
                <c:pt idx="252">
                  <c:v>144834.16625472711</c:v>
                </c:pt>
                <c:pt idx="253">
                  <c:v>145613.2717792959</c:v>
                </c:pt>
                <c:pt idx="254">
                  <c:v>146387.45351397368</c:v>
                </c:pt>
                <c:pt idx="255">
                  <c:v>147156.71490724181</c:v>
                </c:pt>
                <c:pt idx="256">
                  <c:v>147921.05945330518</c:v>
                </c:pt>
                <c:pt idx="257">
                  <c:v>148680.49069274162</c:v>
                </c:pt>
                <c:pt idx="258">
                  <c:v>149435.01221315478</c:v>
                </c:pt>
                <c:pt idx="259">
                  <c:v>150184.62764983031</c:v>
                </c:pt>
                <c:pt idx="260">
                  <c:v>150929.34068639547</c:v>
                </c:pt>
                <c:pt idx="261">
                  <c:v>151669.15505548244</c:v>
                </c:pt>
                <c:pt idx="262">
                  <c:v>152404.07453939514</c:v>
                </c:pt>
                <c:pt idx="263">
                  <c:v>153134.10297077993</c:v>
                </c:pt>
                <c:pt idx="264">
                  <c:v>153859.24423330018</c:v>
                </c:pt>
                <c:pt idx="265">
                  <c:v>154579.50226231449</c:v>
                </c:pt>
                <c:pt idx="266">
                  <c:v>155294.88104555925</c:v>
                </c:pt>
                <c:pt idx="267">
                  <c:v>156005.38462383504</c:v>
                </c:pt>
                <c:pt idx="268">
                  <c:v>156711.01709169731</c:v>
                </c:pt>
                <c:pt idx="269">
                  <c:v>157411.78259815121</c:v>
                </c:pt>
                <c:pt idx="270">
                  <c:v>158107.68534735078</c:v>
                </c:pt>
                <c:pt idx="271">
                  <c:v>158798.72959930258</c:v>
                </c:pt>
                <c:pt idx="272">
                  <c:v>159484.91967057373</c:v>
                </c:pt>
                <c:pt idx="273">
                  <c:v>160166.25993500452</c:v>
                </c:pt>
                <c:pt idx="274">
                  <c:v>160842.75482442568</c:v>
                </c:pt>
                <c:pt idx="275">
                  <c:v>161514.40882938032</c:v>
                </c:pt>
                <c:pt idx="276">
                  <c:v>162181.22649985077</c:v>
                </c:pt>
                <c:pt idx="277">
                  <c:v>162843.21244599018</c:v>
                </c:pt>
                <c:pt idx="278">
                  <c:v>163500.37133885917</c:v>
                </c:pt>
                <c:pt idx="279">
                  <c:v>164152.70791116747</c:v>
                </c:pt>
                <c:pt idx="280">
                  <c:v>164800.22695802076</c:v>
                </c:pt>
                <c:pt idx="281">
                  <c:v>165442.9333376727</c:v>
                </c:pt>
                <c:pt idx="282">
                  <c:v>166080.83197228229</c:v>
                </c:pt>
                <c:pt idx="283">
                  <c:v>166713.92784867663</c:v>
                </c:pt>
                <c:pt idx="284">
                  <c:v>167342.22601911906</c:v>
                </c:pt>
                <c:pt idx="285">
                  <c:v>167965.73160208311</c:v>
                </c:pt>
                <c:pt idx="286">
                  <c:v>168584.44978303189</c:v>
                </c:pt>
                <c:pt idx="287">
                  <c:v>169198.38581520348</c:v>
                </c:pt>
                <c:pt idx="288">
                  <c:v>169807.54502040197</c:v>
                </c:pt>
                <c:pt idx="289">
                  <c:v>170411.93278979461</c:v>
                </c:pt>
                <c:pt idx="290">
                  <c:v>171011.55458471493</c:v>
                </c:pt>
                <c:pt idx="291">
                  <c:v>171606.41593747211</c:v>
                </c:pt>
                <c:pt idx="292">
                  <c:v>172196.5224521666</c:v>
                </c:pt>
                <c:pt idx="293">
                  <c:v>172781.87980551203</c:v>
                </c:pt>
                <c:pt idx="294">
                  <c:v>173362.49374766374</c:v>
                </c:pt>
                <c:pt idx="295">
                  <c:v>173938.37010305375</c:v>
                </c:pt>
                <c:pt idx="296">
                  <c:v>174509.5147712325</c:v>
                </c:pt>
                <c:pt idx="297">
                  <c:v>175075.93372771741</c:v>
                </c:pt>
                <c:pt idx="298">
                  <c:v>175637.6330248483</c:v>
                </c:pt>
                <c:pt idx="299">
                  <c:v>176194.61879264994</c:v>
                </c:pt>
                <c:pt idx="300">
                  <c:v>176746.89723970165</c:v>
                </c:pt>
                <c:pt idx="301">
                  <c:v>177294.47465401419</c:v>
                </c:pt>
                <c:pt idx="302">
                  <c:v>177837.35740391412</c:v>
                </c:pt>
                <c:pt idx="303">
                  <c:v>178375.55193893553</c:v>
                </c:pt>
                <c:pt idx="304">
                  <c:v>178909.0647907196</c:v>
                </c:pt>
                <c:pt idx="305">
                  <c:v>179437.90257392172</c:v>
                </c:pt>
                <c:pt idx="306">
                  <c:v>179962.07198712666</c:v>
                </c:pt>
                <c:pt idx="307">
                  <c:v>180481.57981377176</c:v>
                </c:pt>
                <c:pt idx="308">
                  <c:v>180996.4329230781</c:v>
                </c:pt>
                <c:pt idx="309">
                  <c:v>181506.63827099025</c:v>
                </c:pt>
                <c:pt idx="310">
                  <c:v>182012.20290112423</c:v>
                </c:pt>
                <c:pt idx="311">
                  <c:v>182513.13394572408</c:v>
                </c:pt>
                <c:pt idx="312">
                  <c:v>183009.43862662729</c:v>
                </c:pt>
                <c:pt idx="313">
                  <c:v>183501.12425623898</c:v>
                </c:pt>
                <c:pt idx="314">
                  <c:v>183988.19823851509</c:v>
                </c:pt>
                <c:pt idx="315">
                  <c:v>184470.66806995473</c:v>
                </c:pt>
                <c:pt idx="316">
                  <c:v>184948.54134060195</c:v>
                </c:pt>
                <c:pt idx="317">
                  <c:v>185421.82573505689</c:v>
                </c:pt>
                <c:pt idx="318">
                  <c:v>185890.5290334966</c:v>
                </c:pt>
                <c:pt idx="319">
                  <c:v>186354.65911270559</c:v>
                </c:pt>
                <c:pt idx="320">
                  <c:v>186814.22394711649</c:v>
                </c:pt>
                <c:pt idx="321">
                  <c:v>187269.2316098607</c:v>
                </c:pt>
                <c:pt idx="322">
                  <c:v>187719.69027382936</c:v>
                </c:pt>
                <c:pt idx="323">
                  <c:v>188165.6082127449</c:v>
                </c:pt>
                <c:pt idx="324">
                  <c:v>188606.99380224312</c:v>
                </c:pt>
                <c:pt idx="325">
                  <c:v>189043.85552096611</c:v>
                </c:pt>
                <c:pt idx="326">
                  <c:v>189476.2019516663</c:v>
                </c:pt>
                <c:pt idx="327">
                  <c:v>189904.04178232152</c:v>
                </c:pt>
                <c:pt idx="328">
                  <c:v>190327.38380726174</c:v>
                </c:pt>
                <c:pt idx="329">
                  <c:v>190746.23692830699</c:v>
                </c:pt>
                <c:pt idx="330">
                  <c:v>191160.61015591744</c:v>
                </c:pt>
                <c:pt idx="331">
                  <c:v>191570.51261035528</c:v>
                </c:pt>
                <c:pt idx="332">
                  <c:v>191975.95352285876</c:v>
                </c:pt>
                <c:pt idx="333">
                  <c:v>192376.94223682873</c:v>
                </c:pt>
                <c:pt idx="334">
                  <c:v>192773.48820902774</c:v>
                </c:pt>
                <c:pt idx="335">
                  <c:v>193165.6010107919</c:v>
                </c:pt>
                <c:pt idx="336">
                  <c:v>193553.29032925589</c:v>
                </c:pt>
                <c:pt idx="337">
                  <c:v>193936.56596859111</c:v>
                </c:pt>
                <c:pt idx="338">
                  <c:v>194315.43785125748</c:v>
                </c:pt>
                <c:pt idx="339">
                  <c:v>194689.91601926877</c:v>
                </c:pt>
                <c:pt idx="340">
                  <c:v>195060.01063547214</c:v>
                </c:pt>
                <c:pt idx="341">
                  <c:v>195425.73198484161</c:v>
                </c:pt>
                <c:pt idx="342">
                  <c:v>195787.09047578616</c:v>
                </c:pt>
                <c:pt idx="343">
                  <c:v>196144.09664147248</c:v>
                </c:pt>
                <c:pt idx="344">
                  <c:v>196496.76114116271</c:v>
                </c:pt>
                <c:pt idx="345">
                  <c:v>196845.09476156728</c:v>
                </c:pt>
                <c:pt idx="346">
                  <c:v>197189.10841821332</c:v>
                </c:pt>
                <c:pt idx="347">
                  <c:v>197528.81315682887</c:v>
                </c:pt>
                <c:pt idx="348">
                  <c:v>197864.22015474294</c:v>
                </c:pt>
                <c:pt idx="349">
                  <c:v>198195.34072230209</c:v>
                </c:pt>
                <c:pt idx="350">
                  <c:v>198522.18630430341</c:v>
                </c:pt>
                <c:pt idx="351">
                  <c:v>198844.76848144454</c:v>
                </c:pt>
                <c:pt idx="352">
                  <c:v>199163.09897179069</c:v>
                </c:pt>
                <c:pt idx="353">
                  <c:v>199477.18963225934</c:v>
                </c:pt>
                <c:pt idx="354">
                  <c:v>199787.05246012259</c:v>
                </c:pt>
                <c:pt idx="355">
                  <c:v>200092.69959452772</c:v>
                </c:pt>
                <c:pt idx="356">
                  <c:v>200394.14331803605</c:v>
                </c:pt>
                <c:pt idx="357">
                  <c:v>200691.39605818069</c:v>
                </c:pt>
                <c:pt idx="358">
                  <c:v>200984.4703890433</c:v>
                </c:pt>
                <c:pt idx="359">
                  <c:v>201273.37903285038</c:v>
                </c:pt>
                <c:pt idx="360">
                  <c:v>201558.13486158915</c:v>
                </c:pt>
                <c:pt idx="361">
                  <c:v>201838.7508986438</c:v>
                </c:pt>
                <c:pt idx="362">
                  <c:v>202115.24032045214</c:v>
                </c:pt>
                <c:pt idx="363">
                  <c:v>202387.61645818298</c:v>
                </c:pt>
                <c:pt idx="364">
                  <c:v>202655.89279943507</c:v>
                </c:pt>
                <c:pt idx="365">
                  <c:v>202920.08298995739</c:v>
                </c:pt>
                <c:pt idx="366">
                  <c:v>203180.20083539159</c:v>
                </c:pt>
                <c:pt idx="367">
                  <c:v>203436.26030303692</c:v>
                </c:pt>
                <c:pt idx="368">
                  <c:v>203688.27552363786</c:v>
                </c:pt>
                <c:pt idx="369">
                  <c:v>203936.26079319508</c:v>
                </c:pt>
                <c:pt idx="370">
                  <c:v>204180.23057480014</c:v>
                </c:pt>
                <c:pt idx="371">
                  <c:v>204420.19950049426</c:v>
                </c:pt>
                <c:pt idx="372">
                  <c:v>204656.18237315159</c:v>
                </c:pt>
                <c:pt idx="373">
                  <c:v>204888.19416838774</c:v>
                </c:pt>
                <c:pt idx="374">
                  <c:v>205116.25003649344</c:v>
                </c:pt>
                <c:pt idx="375">
                  <c:v>205340.3653043946</c:v>
                </c:pt>
                <c:pt idx="376">
                  <c:v>205560.55547763844</c:v>
                </c:pt>
                <c:pt idx="377">
                  <c:v>205776.83624240677</c:v>
                </c:pt>
                <c:pt idx="378">
                  <c:v>205989.22346755679</c:v>
                </c:pt>
                <c:pt idx="379">
                  <c:v>206197.73320668965</c:v>
                </c:pt>
                <c:pt idx="380">
                  <c:v>206402.3817002477</c:v>
                </c:pt>
                <c:pt idx="381">
                  <c:v>206603.18537764074</c:v>
                </c:pt>
                <c:pt idx="382">
                  <c:v>206800.16085940183</c:v>
                </c:pt>
                <c:pt idx="383">
                  <c:v>206993.32495937333</c:v>
                </c:pt>
                <c:pt idx="384">
                  <c:v>207182.6946869237</c:v>
                </c:pt>
                <c:pt idx="385">
                  <c:v>207368.28724919551</c:v>
                </c:pt>
                <c:pt idx="386">
                  <c:v>207550.12005338556</c:v>
                </c:pt>
                <c:pt idx="387">
                  <c:v>207728.21070905757</c:v>
                </c:pt>
                <c:pt idx="388">
                  <c:v>207902.57703048788</c:v>
                </c:pt>
                <c:pt idx="389">
                  <c:v>208073.2370390452</c:v>
                </c:pt>
                <c:pt idx="390">
                  <c:v>208240.20896560475</c:v>
                </c:pt>
                <c:pt idx="391">
                  <c:v>208403.51125299771</c:v>
                </c:pt>
                <c:pt idx="392">
                  <c:v>208563.16255849635</c:v>
                </c:pt>
                <c:pt idx="393">
                  <c:v>208719.18175633604</c:v>
                </c:pt>
                <c:pt idx="394">
                  <c:v>208871.58794027433</c:v>
                </c:pt>
                <c:pt idx="395">
                  <c:v>209020.40042618825</c:v>
                </c:pt>
                <c:pt idx="396">
                  <c:v>209165.63875471032</c:v>
                </c:pt>
                <c:pt idx="397">
                  <c:v>209307.32269390431</c:v>
                </c:pt>
                <c:pt idx="398">
                  <c:v>209445.4722419813</c:v>
                </c:pt>
                <c:pt idx="399">
                  <c:v>209580.10763005703</c:v>
                </c:pt>
                <c:pt idx="400">
                  <c:v>209711.24932495129</c:v>
                </c:pt>
                <c:pt idx="401">
                  <c:v>209838.91803203023</c:v>
                </c:pt>
                <c:pt idx="402">
                  <c:v>209963.13469809244</c:v>
                </c:pt>
                <c:pt idx="403">
                  <c:v>210083.92051429991</c:v>
                </c:pt>
                <c:pt idx="404">
                  <c:v>210201.29691915432</c:v>
                </c:pt>
                <c:pt idx="405">
                  <c:v>210315.28560152024</c:v>
                </c:pt>
                <c:pt idx="406">
                  <c:v>210425.90850369559</c:v>
                </c:pt>
                <c:pt idx="407">
                  <c:v>210533.18782453085</c:v>
                </c:pt>
                <c:pt idx="408">
                  <c:v>210637.14602259765</c:v>
                </c:pt>
                <c:pt idx="409">
                  <c:v>210737.80581940818</c:v>
                </c:pt>
                <c:pt idx="410">
                  <c:v>210835.19020268603</c:v>
                </c:pt>
                <c:pt idx="411">
                  <c:v>210929.32242969004</c:v>
                </c:pt>
                <c:pt idx="412">
                  <c:v>211020.22603059188</c:v>
                </c:pt>
                <c:pt idx="413">
                  <c:v>211107.92481190877</c:v>
                </c:pt>
                <c:pt idx="414">
                  <c:v>211192.4428599925</c:v>
                </c:pt>
                <c:pt idx="415">
                  <c:v>211273.80454457569</c:v>
                </c:pt>
                <c:pt idx="416">
                  <c:v>211352.0345223771</c:v>
                </c:pt>
                <c:pt idx="417">
                  <c:v>211427.15774076662</c:v>
                </c:pt>
                <c:pt idx="418">
                  <c:v>211499.19944149177</c:v>
                </c:pt>
                <c:pt idx="419">
                  <c:v>211568.18516446676</c:v>
                </c:pt>
                <c:pt idx="420">
                  <c:v>211634.1407516257</c:v>
                </c:pt>
                <c:pt idx="421">
                  <c:v>211697.09235084115</c:v>
                </c:pt>
                <c:pt idx="422">
                  <c:v>211757.06641990974</c:v>
                </c:pt>
                <c:pt idx="423">
                  <c:v>211814.08973060607</c:v>
                </c:pt>
                <c:pt idx="424">
                  <c:v>211868.18937280678</c:v>
                </c:pt>
                <c:pt idx="425">
                  <c:v>211919.39275868607</c:v>
                </c:pt>
                <c:pt idx="426">
                  <c:v>211967.72762698442</c:v>
                </c:pt>
                <c:pt idx="427">
                  <c:v>212013.22204735223</c:v>
                </c:pt>
                <c:pt idx="428">
                  <c:v>212055.90442477007</c:v>
                </c:pt>
                <c:pt idx="429">
                  <c:v>212095.80350404716</c:v>
                </c:pt>
                <c:pt idx="430">
                  <c:v>212132.94837440024</c:v>
                </c:pt>
                <c:pt idx="431">
                  <c:v>212167.36847411428</c:v>
                </c:pt>
                <c:pt idx="432">
                  <c:v>212199.09359528741</c:v>
                </c:pt>
                <c:pt idx="433">
                  <c:v>212228.15388866156</c:v>
                </c:pt>
                <c:pt idx="434">
                  <c:v>212254.57986854124</c:v>
                </c:pt>
                <c:pt idx="435">
                  <c:v>212278.40241780243</c:v>
                </c:pt>
                <c:pt idx="436">
                  <c:v>212299.65279299364</c:v>
                </c:pt>
                <c:pt idx="437">
                  <c:v>212318.36262953148</c:v>
                </c:pt>
                <c:pt idx="438">
                  <c:v>212334.56394699292</c:v>
                </c:pt>
                <c:pt idx="439">
                  <c:v>212348.28915450681</c:v>
                </c:pt>
                <c:pt idx="440">
                  <c:v>212359.57105624679</c:v>
                </c:pt>
                <c:pt idx="441">
                  <c:v>212368.44285702819</c:v>
                </c:pt>
                <c:pt idx="442">
                  <c:v>212374.93816801163</c:v>
                </c:pt>
                <c:pt idx="443">
                  <c:v>212379.09101251591</c:v>
                </c:pt>
                <c:pt idx="444">
                  <c:v>212380.93583194268</c:v>
                </c:pt>
                <c:pt idx="445">
                  <c:v>212380.50749181598</c:v>
                </c:pt>
                <c:pt idx="446">
                  <c:v>212377.84128793952</c:v>
                </c:pt>
                <c:pt idx="447">
                  <c:v>212372.97295267461</c:v>
                </c:pt>
                <c:pt idx="448">
                  <c:v>212365.93866134176</c:v>
                </c:pt>
                <c:pt idx="449">
                  <c:v>212356.77503874921</c:v>
                </c:pt>
                <c:pt idx="450">
                  <c:v>212345.51916585185</c:v>
                </c:pt>
                <c:pt idx="451">
                  <c:v>212332.20858654342</c:v>
                </c:pt>
                <c:pt idx="452">
                  <c:v>212316.88131458609</c:v>
                </c:pt>
                <c:pt idx="453">
                  <c:v>212299.57584068051</c:v>
                </c:pt>
                <c:pt idx="454">
                  <c:v>212280.33113968032</c:v>
                </c:pt>
                <c:pt idx="455">
                  <c:v>212259.18667795495</c:v>
                </c:pt>
                <c:pt idx="456">
                  <c:v>212236.18242090454</c:v>
                </c:pt>
                <c:pt idx="457">
                  <c:v>212211.35884063118</c:v>
                </c:pt>
                <c:pt idx="458">
                  <c:v>212184.75692377065</c:v>
                </c:pt>
                <c:pt idx="459">
                  <c:v>212156.41817948912</c:v>
                </c:pt>
                <c:pt idx="460">
                  <c:v>212126.38464764922</c:v>
                </c:pt>
                <c:pt idx="461">
                  <c:v>212094.69890715013</c:v>
                </c:pt>
                <c:pt idx="462">
                  <c:v>212061.40408444667</c:v>
                </c:pt>
                <c:pt idx="463">
                  <c:v>212026.54386225215</c:v>
                </c:pt>
                <c:pt idx="464">
                  <c:v>211990.16248843051</c:v>
                </c:pt>
                <c:pt idx="465">
                  <c:v>211952.30478508261</c:v>
                </c:pt>
                <c:pt idx="466">
                  <c:v>211913.01615783255</c:v>
                </c:pt>
                <c:pt idx="467">
                  <c:v>211872.34260531966</c:v>
                </c:pt>
                <c:pt idx="468">
                  <c:v>211830.33072890204</c:v>
                </c:pt>
                <c:pt idx="469">
                  <c:v>211787.02774257775</c:v>
                </c:pt>
                <c:pt idx="470">
                  <c:v>211742.48148313008</c:v>
                </c:pt>
                <c:pt idx="471">
                  <c:v>211696.74042050345</c:v>
                </c:pt>
                <c:pt idx="472">
                  <c:v>211649.85366841676</c:v>
                </c:pt>
                <c:pt idx="473">
                  <c:v>211601.87099522125</c:v>
                </c:pt>
                <c:pt idx="474">
                  <c:v>211552.84283501009</c:v>
                </c:pt>
                <c:pt idx="475">
                  <c:v>211502.82029898747</c:v>
                </c:pt>
                <c:pt idx="476">
                  <c:v>211451.85518710507</c:v>
                </c:pt>
                <c:pt idx="477">
                  <c:v>211399.99999997375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86-3046-8665-39369EE12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337296"/>
        <c:axId val="1127338944"/>
      </c:scatterChart>
      <c:valAx>
        <c:axId val="112733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338944"/>
        <c:crosses val="autoZero"/>
        <c:crossBetween val="midCat"/>
      </c:valAx>
      <c:valAx>
        <c:axId val="11273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33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1460500</xdr:colOff>
      <xdr:row>504</xdr:row>
      <xdr:rowOff>152400</xdr:rowOff>
    </xdr:from>
    <xdr:to>
      <xdr:col>11</xdr:col>
      <xdr:colOff>660400</xdr:colOff>
      <xdr:row>527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EDF93D-498B-F749-A9B4-D056D43FE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895350</xdr:colOff>
      <xdr:row>506</xdr:row>
      <xdr:rowOff>95250</xdr:rowOff>
    </xdr:from>
    <xdr:to>
      <xdr:col>6</xdr:col>
      <xdr:colOff>762000</xdr:colOff>
      <xdr:row>526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8ED6CF-B423-6B44-B298-C4D753665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558800</xdr:colOff>
      <xdr:row>507</xdr:row>
      <xdr:rowOff>25400</xdr:rowOff>
    </xdr:from>
    <xdr:to>
      <xdr:col>10</xdr:col>
      <xdr:colOff>558800</xdr:colOff>
      <xdr:row>524</xdr:row>
      <xdr:rowOff>63500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B262576-C1BC-334C-9354-930E189E8227}"/>
            </a:ext>
          </a:extLst>
        </xdr:cNvPr>
        <xdr:cNvCxnSpPr/>
      </xdr:nvCxnSpPr>
      <xdr:spPr>
        <a:xfrm flipH="1" flipV="1">
          <a:off x="14732000" y="103047800"/>
          <a:ext cx="0" cy="3492500"/>
        </a:xfrm>
        <a:prstGeom prst="line">
          <a:avLst/>
        </a:prstGeom>
        <a:ln w="254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15021</xdr:colOff>
      <xdr:row>64</xdr:row>
      <xdr:rowOff>177528</xdr:rowOff>
    </xdr:from>
    <xdr:to>
      <xdr:col>34</xdr:col>
      <xdr:colOff>505269</xdr:colOff>
      <xdr:row>82</xdr:row>
      <xdr:rowOff>136560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8EAC45-E1CC-4EF9-3EA4-4F1D69C0C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602226</xdr:colOff>
      <xdr:row>22</xdr:row>
      <xdr:rowOff>82753</xdr:rowOff>
    </xdr:from>
    <xdr:to>
      <xdr:col>33</xdr:col>
      <xdr:colOff>80571</xdr:colOff>
      <xdr:row>35</xdr:row>
      <xdr:rowOff>163050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5395A-CC47-274E-C6EA-91713A5EA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0.23213</cdr:x>
      <cdr:y>0.20974</cdr:y>
    </cdr:from>
    <cdr:to>
      <cdr:x>0.23213</cdr:x>
      <cdr:y>0.76779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27D92727-3AC5-3709-2DAB-6A638CCCFFE0}"/>
            </a:ext>
          </a:extLst>
        </cdr:cNvPr>
        <cdr:cNvCxnSpPr/>
      </cdr:nvCxnSpPr>
      <cdr:spPr>
        <a:xfrm xmlns:a="http://schemas.openxmlformats.org/drawingml/2006/main">
          <a:off x="1254979" y="764731"/>
          <a:ext cx="0" cy="2034731"/>
        </a:xfrm>
        <a:prstGeom xmlns:a="http://schemas.openxmlformats.org/drawingml/2006/main" prst="line">
          <a:avLst/>
        </a:prstGeom>
        <a:ln xmlns:a="http://schemas.openxmlformats.org/drawingml/2006/main" w="15875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C0AB-62E1-A140-8B19-8E5AB38F958E}">
  <dimension ref="A1:O628"/>
  <sheetViews>
    <sheetView topLeftCell="A380" workbookViewId="0">
      <selection activeCell="A224" sqref="A224:XFD224"/>
    </sheetView>
  </sheetViews>
  <sheetFormatPr baseColWidth="10" defaultRowHeight="16" x14ac:dyDescent="0.2"/>
  <cols>
    <col min="1" max="1" width="16" style="2" customWidth="1"/>
    <col min="2" max="2" width="16.6640625" style="2" customWidth="1"/>
    <col min="3" max="3" width="14.6640625" style="2" customWidth="1"/>
    <col min="4" max="4" width="17" style="2" customWidth="1"/>
    <col min="5" max="5" width="19.83203125" style="2" customWidth="1"/>
    <col min="6" max="6" width="26.5" style="2" customWidth="1"/>
    <col min="7" max="7" width="24.6640625" style="2" customWidth="1"/>
    <col min="8" max="8" width="21.1640625" style="2" customWidth="1"/>
    <col min="9" max="9" width="12.83203125" style="2" customWidth="1"/>
    <col min="10" max="10" width="16.6640625" style="2" customWidth="1"/>
    <col min="11" max="11" width="10.83203125" style="2"/>
    <col min="13" max="13" width="23.5" customWidth="1"/>
    <col min="14" max="14" width="18.83203125" customWidth="1"/>
    <col min="15" max="15" width="12.83203125" customWidth="1"/>
  </cols>
  <sheetData>
    <row r="1" spans="1:15" x14ac:dyDescent="0.2">
      <c r="A1" s="2" t="s">
        <v>0</v>
      </c>
      <c r="B1" s="2">
        <v>4780</v>
      </c>
      <c r="C1" s="2" t="s">
        <v>8</v>
      </c>
      <c r="F1" s="2" t="s">
        <v>15</v>
      </c>
      <c r="G1" s="2" t="s">
        <v>16</v>
      </c>
    </row>
    <row r="2" spans="1:15" x14ac:dyDescent="0.2">
      <c r="A2" s="2" t="s">
        <v>1</v>
      </c>
      <c r="B2" s="2">
        <v>2375</v>
      </c>
      <c r="C2" s="2" t="s">
        <v>8</v>
      </c>
      <c r="F2" s="2">
        <v>7.542058049463809</v>
      </c>
      <c r="G2" s="2">
        <f>F2*PI()/180</f>
        <v>0.1316337453396848</v>
      </c>
    </row>
    <row r="3" spans="1:15" x14ac:dyDescent="0.2">
      <c r="A3" s="2" t="s">
        <v>5</v>
      </c>
      <c r="B3" s="2">
        <f>B1-B2</f>
        <v>2405</v>
      </c>
      <c r="C3" s="2" t="s">
        <v>8</v>
      </c>
    </row>
    <row r="5" spans="1:15" x14ac:dyDescent="0.2">
      <c r="A5" s="2" t="s">
        <v>2</v>
      </c>
      <c r="B5" s="2">
        <v>15570</v>
      </c>
      <c r="C5" s="2" t="s">
        <v>9</v>
      </c>
    </row>
    <row r="6" spans="1:15" x14ac:dyDescent="0.2">
      <c r="A6" s="2" t="s">
        <v>3</v>
      </c>
      <c r="B6" s="2">
        <v>311</v>
      </c>
      <c r="C6" s="2" t="s">
        <v>10</v>
      </c>
    </row>
    <row r="7" spans="1:15" x14ac:dyDescent="0.2">
      <c r="A7" s="2" t="s">
        <v>4</v>
      </c>
      <c r="B7" s="2">
        <f xml:space="preserve"> B5/(9.80665*B6)</f>
        <v>5.1051387254232621</v>
      </c>
      <c r="C7" s="2" t="s">
        <v>11</v>
      </c>
    </row>
    <row r="8" spans="1:15" x14ac:dyDescent="0.2">
      <c r="A8" s="2" t="s">
        <v>6</v>
      </c>
      <c r="B8" s="2">
        <f>B2/B7</f>
        <v>465.21752448619134</v>
      </c>
      <c r="C8" s="2" t="s">
        <v>10</v>
      </c>
    </row>
    <row r="9" spans="1:15" x14ac:dyDescent="0.2">
      <c r="A9" s="2" t="s">
        <v>7</v>
      </c>
      <c r="B9" s="2">
        <f>B6*9.80665</f>
        <v>3049.8681499999998</v>
      </c>
      <c r="C9" s="2" t="s">
        <v>12</v>
      </c>
    </row>
    <row r="12" spans="1:15" x14ac:dyDescent="0.2">
      <c r="A12" s="3" t="s">
        <v>13</v>
      </c>
      <c r="B12" s="3" t="s">
        <v>18</v>
      </c>
      <c r="C12" s="3" t="s">
        <v>19</v>
      </c>
      <c r="D12" s="3" t="s">
        <v>17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14</v>
      </c>
      <c r="J12" s="3" t="s">
        <v>24</v>
      </c>
      <c r="K12" s="3" t="s">
        <v>25</v>
      </c>
      <c r="L12" s="1"/>
      <c r="M12" s="1" t="s">
        <v>31</v>
      </c>
      <c r="N12" s="1" t="s">
        <v>30</v>
      </c>
      <c r="O12" s="1" t="s">
        <v>33</v>
      </c>
    </row>
    <row r="13" spans="1:15" x14ac:dyDescent="0.2">
      <c r="A13" s="2">
        <v>0</v>
      </c>
      <c r="B13" s="4">
        <f>(($B$5/K13)-(J13*SIN(E13)))</f>
        <v>1.6379536987322174</v>
      </c>
      <c r="C13" s="2">
        <v>0</v>
      </c>
      <c r="D13" s="2">
        <f>B13*A13</f>
        <v>0</v>
      </c>
      <c r="E13" s="5">
        <f>PI()/2</f>
        <v>1.5707963267948966</v>
      </c>
      <c r="F13" s="2">
        <f>(1740/(1740+I13))*D13*COS(E13)</f>
        <v>0</v>
      </c>
      <c r="G13" s="2">
        <f>F13*A13</f>
        <v>0</v>
      </c>
      <c r="H13" s="2">
        <f>D13*SIN(E13)</f>
        <v>0</v>
      </c>
      <c r="I13" s="2">
        <v>0</v>
      </c>
      <c r="J13" s="5">
        <f>((1.619368477)/(1+(I13/1740000))^2)</f>
        <v>1.6193684770000001</v>
      </c>
      <c r="K13" s="6">
        <f>$B$1-($B$7*A13)</f>
        <v>4780</v>
      </c>
      <c r="M13">
        <f>G13/1000</f>
        <v>0</v>
      </c>
      <c r="N13">
        <f>E13*180/PI()</f>
        <v>90</v>
      </c>
      <c r="O13">
        <f>I13/10</f>
        <v>0</v>
      </c>
    </row>
    <row r="14" spans="1:15" x14ac:dyDescent="0.2">
      <c r="A14" s="2">
        <v>1</v>
      </c>
      <c r="B14" s="4">
        <f t="shared" ref="B14:B15" si="0">(($B$5/K14)-(J14*SIN(E14)))</f>
        <v>1.6414393543776811</v>
      </c>
      <c r="C14" s="2">
        <f>-((J14/D14)-(D14/(1740000+(I14))))*COS(E14)</f>
        <v>-6.0537388864269382E-17</v>
      </c>
      <c r="D14" s="7">
        <f>B13</f>
        <v>1.6379536987322174</v>
      </c>
      <c r="E14" s="5">
        <f>PI()/2</f>
        <v>1.5707963267948966</v>
      </c>
      <c r="F14" s="2">
        <f>((1740000/(1740000+(I14)))*D14*COS(E14))</f>
        <v>1.0029564330162426E-16</v>
      </c>
      <c r="G14" s="2">
        <f>(F14 + G13)</f>
        <v>1.0029564330162426E-16</v>
      </c>
      <c r="H14" s="2">
        <f>D14*SIN(E14)</f>
        <v>1.6379536987322174</v>
      </c>
      <c r="I14" s="2">
        <f>(H14+I13)</f>
        <v>1.6379536987322174</v>
      </c>
      <c r="J14" s="5">
        <f>((1.619368477)/(1+(I14/1740000))^2)</f>
        <v>1.6193654282105272</v>
      </c>
      <c r="K14" s="6">
        <f t="shared" ref="K14:K77" si="1">$B$1-($B$7*A14)</f>
        <v>4774.8948612745771</v>
      </c>
      <c r="M14">
        <f t="shared" ref="M14:M77" si="2">G14/1000</f>
        <v>1.0029564330162426E-19</v>
      </c>
      <c r="N14">
        <f t="shared" ref="N14:N77" si="3">E14*180/PI()</f>
        <v>90</v>
      </c>
      <c r="O14">
        <f t="shared" ref="O14:O77" si="4">I14/10</f>
        <v>0.16379536987322174</v>
      </c>
    </row>
    <row r="15" spans="1:15" x14ac:dyDescent="0.2">
      <c r="A15" s="2">
        <v>2</v>
      </c>
      <c r="B15" s="4">
        <f t="shared" si="0"/>
        <v>1.6449355201908451</v>
      </c>
      <c r="C15" s="2">
        <f>-((J15/D15)-(D15/(1740000+(I15))))*COS(E15)</f>
        <v>-3.023632135189282E-17</v>
      </c>
      <c r="D15" s="7">
        <f>D14+B14</f>
        <v>3.2793930531098985</v>
      </c>
      <c r="E15" s="5">
        <f>PI()/2</f>
        <v>1.5707963267948966</v>
      </c>
      <c r="F15" s="2">
        <f>((1740000/(1740000+(I15)))*D15*COS(E15))</f>
        <v>2.0080434279646274E-16</v>
      </c>
      <c r="G15" s="2">
        <f>(F15 + G14)</f>
        <v>3.0109998609808699E-16</v>
      </c>
      <c r="H15" s="2">
        <f>D15*SIN(E15)</f>
        <v>3.2793930531098985</v>
      </c>
      <c r="I15" s="2">
        <f>(H15+I14)</f>
        <v>4.9173467518421159</v>
      </c>
      <c r="J15" s="5">
        <f>((1.619368477)/(1+(I15/1740000))^2)</f>
        <v>1.6193593241694659</v>
      </c>
      <c r="K15" s="6">
        <f t="shared" si="1"/>
        <v>4769.7897225491533</v>
      </c>
      <c r="M15">
        <f t="shared" si="2"/>
        <v>3.0109998609808697E-19</v>
      </c>
      <c r="N15">
        <f t="shared" si="3"/>
        <v>90</v>
      </c>
      <c r="O15">
        <f t="shared" si="4"/>
        <v>0.4917346751842116</v>
      </c>
    </row>
    <row r="16" spans="1:15" x14ac:dyDescent="0.2">
      <c r="A16" s="2">
        <v>3</v>
      </c>
      <c r="B16" s="4">
        <f t="shared" ref="B16:B22" si="5">(($B$5/K16)-(J16*SIN(E16)))</f>
        <v>1.6484422265901308</v>
      </c>
      <c r="C16" s="2">
        <f t="shared" ref="C16:C21" si="6">-((J16/D16)-(D16/(1740000+(I16))))*COS(E16)</f>
        <v>-2.0135891541828882E-17</v>
      </c>
      <c r="D16" s="7">
        <f t="shared" ref="D16:D21" si="7">D15+B15</f>
        <v>4.9243285733007438</v>
      </c>
      <c r="E16" s="5">
        <f t="shared" ref="E16:E23" si="8">PI()/2</f>
        <v>1.5707963267948966</v>
      </c>
      <c r="F16" s="2">
        <f t="shared" ref="F16:F21" si="9">((1740000/(1740000+(I16)))*D16*COS(E16))</f>
        <v>3.0152645578771675E-16</v>
      </c>
      <c r="G16" s="2">
        <f t="shared" ref="G16:G21" si="10">(F16 + G15)</f>
        <v>6.0262644188580369E-16</v>
      </c>
      <c r="H16" s="2">
        <f t="shared" ref="H16:H21" si="11">D16*SIN(E16)</f>
        <v>4.9243285733007438</v>
      </c>
      <c r="I16" s="2">
        <f t="shared" ref="I16:I21" si="12">(H16+I15)</f>
        <v>9.8416753251428588</v>
      </c>
      <c r="J16" s="5">
        <f t="shared" ref="J16:J23" si="13">((1.619368477)/(1+(I16/1740000))^2)</f>
        <v>1.6193501584211858</v>
      </c>
      <c r="K16" s="6">
        <f t="shared" si="1"/>
        <v>4764.6845838237305</v>
      </c>
      <c r="M16">
        <f t="shared" si="2"/>
        <v>6.0262644188580372E-19</v>
      </c>
      <c r="N16">
        <f t="shared" si="3"/>
        <v>90</v>
      </c>
      <c r="O16">
        <f t="shared" si="4"/>
        <v>0.9841675325142859</v>
      </c>
    </row>
    <row r="17" spans="1:15" x14ac:dyDescent="0.2">
      <c r="A17" s="2">
        <v>4</v>
      </c>
      <c r="B17" s="4">
        <f t="shared" si="5"/>
        <v>1.6519595040901545</v>
      </c>
      <c r="C17" s="2">
        <f t="shared" si="6"/>
        <v>-1.5085621123186152E-17</v>
      </c>
      <c r="D17" s="7">
        <f t="shared" si="7"/>
        <v>6.5727707998908746</v>
      </c>
      <c r="E17" s="5">
        <f t="shared" si="8"/>
        <v>1.5707963267948966</v>
      </c>
      <c r="F17" s="2">
        <f t="shared" si="9"/>
        <v>4.0246233941618678E-16</v>
      </c>
      <c r="G17" s="2">
        <f t="shared" si="10"/>
        <v>1.0050887813019904E-15</v>
      </c>
      <c r="H17" s="2">
        <f t="shared" si="11"/>
        <v>6.5727707998908746</v>
      </c>
      <c r="I17" s="2">
        <f t="shared" si="12"/>
        <v>16.414446125033734</v>
      </c>
      <c r="J17" s="5">
        <f t="shared" si="13"/>
        <v>1.6193379245166726</v>
      </c>
      <c r="K17" s="6">
        <f t="shared" si="1"/>
        <v>4759.5794450983067</v>
      </c>
      <c r="M17">
        <f t="shared" si="2"/>
        <v>1.0050887813019904E-18</v>
      </c>
      <c r="N17">
        <f t="shared" si="3"/>
        <v>90</v>
      </c>
      <c r="O17">
        <f t="shared" si="4"/>
        <v>1.6414446125033735</v>
      </c>
    </row>
    <row r="18" spans="1:15" x14ac:dyDescent="0.2">
      <c r="A18" s="2">
        <v>5</v>
      </c>
      <c r="B18" s="4">
        <f t="shared" si="5"/>
        <v>1.6554873833021551</v>
      </c>
      <c r="C18" s="2">
        <f t="shared" si="6"/>
        <v>-1.2055414433844403E-17</v>
      </c>
      <c r="D18" s="7">
        <f t="shared" si="7"/>
        <v>8.2247303039810298</v>
      </c>
      <c r="E18" s="5">
        <f t="shared" si="8"/>
        <v>1.5707963267948966</v>
      </c>
      <c r="F18" s="2">
        <f t="shared" si="9"/>
        <v>5.0361235065542122E-16</v>
      </c>
      <c r="G18" s="2">
        <f t="shared" si="10"/>
        <v>1.5087011319574116E-15</v>
      </c>
      <c r="H18" s="2">
        <f t="shared" si="11"/>
        <v>8.2247303039810298</v>
      </c>
      <c r="I18" s="2">
        <f t="shared" si="12"/>
        <v>24.639176429014764</v>
      </c>
      <c r="J18" s="5">
        <f t="shared" si="13"/>
        <v>1.6193226160136509</v>
      </c>
      <c r="K18" s="6">
        <f t="shared" si="1"/>
        <v>4754.4743063728838</v>
      </c>
      <c r="M18">
        <f t="shared" si="2"/>
        <v>1.5087011319574117E-18</v>
      </c>
      <c r="N18">
        <f t="shared" si="3"/>
        <v>90</v>
      </c>
      <c r="O18">
        <f t="shared" si="4"/>
        <v>2.4639176429014764</v>
      </c>
    </row>
    <row r="19" spans="1:15" x14ac:dyDescent="0.2">
      <c r="A19" s="2">
        <v>6</v>
      </c>
      <c r="B19" s="4">
        <f t="shared" si="5"/>
        <v>1.6590258949344168</v>
      </c>
      <c r="C19" s="2">
        <f t="shared" si="6"/>
        <v>-1.0035239586478732E-17</v>
      </c>
      <c r="D19" s="7">
        <f t="shared" si="7"/>
        <v>9.8802176872831851</v>
      </c>
      <c r="E19" s="5">
        <f t="shared" si="8"/>
        <v>1.5707963267948966</v>
      </c>
      <c r="F19" s="2">
        <f t="shared" si="9"/>
        <v>6.0497684630684916E-16</v>
      </c>
      <c r="G19" s="2">
        <f t="shared" si="10"/>
        <v>2.1136779782642607E-15</v>
      </c>
      <c r="H19" s="2">
        <f t="shared" si="11"/>
        <v>9.8802176872831851</v>
      </c>
      <c r="I19" s="2">
        <f t="shared" si="12"/>
        <v>34.519394116297946</v>
      </c>
      <c r="J19" s="5">
        <f t="shared" si="13"/>
        <v>1.6193042264767186</v>
      </c>
      <c r="K19" s="6">
        <f t="shared" si="1"/>
        <v>4749.36916764746</v>
      </c>
      <c r="M19">
        <f t="shared" si="2"/>
        <v>2.1136779782642606E-18</v>
      </c>
      <c r="N19">
        <f t="shared" si="3"/>
        <v>90</v>
      </c>
      <c r="O19">
        <f t="shared" si="4"/>
        <v>3.4519394116297946</v>
      </c>
    </row>
    <row r="20" spans="1:15" x14ac:dyDescent="0.2">
      <c r="A20" s="2">
        <v>7</v>
      </c>
      <c r="B20" s="4">
        <f t="shared" si="5"/>
        <v>1.6625750697927009</v>
      </c>
      <c r="C20" s="2">
        <f t="shared" si="6"/>
        <v>-8.5922257722772307E-18</v>
      </c>
      <c r="D20" s="7">
        <f t="shared" si="7"/>
        <v>11.539243582217601</v>
      </c>
      <c r="E20" s="5">
        <f t="shared" si="8"/>
        <v>1.5707963267948966</v>
      </c>
      <c r="F20" s="2">
        <f t="shared" si="9"/>
        <v>7.0655618299489582E-16</v>
      </c>
      <c r="G20" s="2">
        <f t="shared" si="10"/>
        <v>2.8202341612591566E-15</v>
      </c>
      <c r="H20" s="2">
        <f t="shared" si="11"/>
        <v>11.539243582217601</v>
      </c>
      <c r="I20" s="2">
        <f t="shared" si="12"/>
        <v>46.058637698515547</v>
      </c>
      <c r="J20" s="5">
        <f t="shared" si="13"/>
        <v>1.6192827494774718</v>
      </c>
      <c r="K20" s="6">
        <f t="shared" si="1"/>
        <v>4744.2640289220371</v>
      </c>
      <c r="M20">
        <f t="shared" si="2"/>
        <v>2.8202341612591567E-18</v>
      </c>
      <c r="N20">
        <f t="shared" si="3"/>
        <v>90</v>
      </c>
      <c r="O20">
        <f t="shared" si="4"/>
        <v>4.6058637698515543</v>
      </c>
    </row>
    <row r="21" spans="1:15" x14ac:dyDescent="0.2">
      <c r="A21" s="2">
        <v>8</v>
      </c>
      <c r="B21" s="4">
        <f t="shared" si="5"/>
        <v>1.6661349387806823</v>
      </c>
      <c r="C21" s="2">
        <f t="shared" si="6"/>
        <v>-7.5099375868704243E-18</v>
      </c>
      <c r="D21" s="7">
        <f t="shared" si="7"/>
        <v>13.201818652010303</v>
      </c>
      <c r="E21" s="5">
        <f t="shared" si="8"/>
        <v>1.5707963267948966</v>
      </c>
      <c r="F21" s="2">
        <f t="shared" si="9"/>
        <v>8.0835071716208431E-16</v>
      </c>
      <c r="G21" s="2">
        <f t="shared" si="10"/>
        <v>3.628584878421241E-15</v>
      </c>
      <c r="H21" s="2">
        <f t="shared" si="11"/>
        <v>13.201818652010303</v>
      </c>
      <c r="I21" s="2">
        <f t="shared" si="12"/>
        <v>59.26045635052585</v>
      </c>
      <c r="J21" s="5">
        <f t="shared" si="13"/>
        <v>1.6192581785946343</v>
      </c>
      <c r="K21" s="6">
        <f t="shared" si="1"/>
        <v>4739.1588901966143</v>
      </c>
      <c r="M21">
        <f t="shared" si="2"/>
        <v>3.6285848784212408E-18</v>
      </c>
      <c r="N21">
        <f t="shared" si="3"/>
        <v>90</v>
      </c>
      <c r="O21">
        <f t="shared" si="4"/>
        <v>5.926045635052585</v>
      </c>
    </row>
    <row r="22" spans="1:15" x14ac:dyDescent="0.2">
      <c r="A22" s="2">
        <v>9</v>
      </c>
      <c r="B22" s="4">
        <f t="shared" si="5"/>
        <v>1.6697055329003825</v>
      </c>
      <c r="C22" s="2">
        <f>-((J22/D22)-(D22/(1740000+(I22))))*COS(E22)</f>
        <v>-6.6681331389744246E-18</v>
      </c>
      <c r="D22" s="7">
        <f>D21+B21</f>
        <v>14.867953590790986</v>
      </c>
      <c r="E22" s="5">
        <f>PI()/2</f>
        <v>1.5707963267948966</v>
      </c>
      <c r="F22" s="2">
        <f>((1740000/(1740000+(I22)))*D22*COS(E22))</f>
        <v>9.1036080506412011E-16</v>
      </c>
      <c r="G22" s="2">
        <f>(F22 + G21)</f>
        <v>4.5389456834853611E-15</v>
      </c>
      <c r="H22" s="2">
        <f>D22*SIN(E22)</f>
        <v>14.867953590790986</v>
      </c>
      <c r="I22" s="2">
        <f>(H22+I21)</f>
        <v>74.128409941316832</v>
      </c>
      <c r="J22" s="5">
        <f>((1.619368477)/(1+(I22/1740000))^2)</f>
        <v>1.6192305074141893</v>
      </c>
      <c r="K22" s="6">
        <f t="shared" si="1"/>
        <v>4734.0537514711905</v>
      </c>
      <c r="M22">
        <f t="shared" si="2"/>
        <v>4.538945683485361E-18</v>
      </c>
      <c r="N22">
        <f t="shared" si="3"/>
        <v>90</v>
      </c>
      <c r="O22">
        <f t="shared" si="4"/>
        <v>7.4128409941316828</v>
      </c>
    </row>
    <row r="23" spans="1:15" x14ac:dyDescent="0.2">
      <c r="A23" s="2">
        <v>10</v>
      </c>
      <c r="B23" s="4">
        <f t="shared" ref="B23:B24" si="14">(($B$5/K23)-(J23*SIN(E23)))</f>
        <v>1.6732868832526051</v>
      </c>
      <c r="C23" s="2">
        <f t="shared" ref="C23" si="15">-((J23/D23)-(D23/(1740000+(I23))))*COS(E23)</f>
        <v>-5.9946672938481905E-18</v>
      </c>
      <c r="D23" s="7">
        <f t="shared" ref="D23" si="16">D22+B22</f>
        <v>16.53765912369137</v>
      </c>
      <c r="E23" s="5">
        <f t="shared" si="8"/>
        <v>1.5707963267948966</v>
      </c>
      <c r="F23" s="2">
        <f t="shared" ref="F23" si="17">((1740000/(1740000+(I23)))*D23*COS(E23))</f>
        <v>1.0125868027649594E-15</v>
      </c>
      <c r="G23" s="2">
        <f t="shared" ref="G23" si="18">(F23 + G22)</f>
        <v>5.5515324862503209E-15</v>
      </c>
      <c r="H23" s="2">
        <f t="shared" ref="H23" si="19">D23*SIN(E23)</f>
        <v>16.53765912369137</v>
      </c>
      <c r="I23" s="2">
        <f t="shared" ref="I23" si="20">(H23+I22)</f>
        <v>90.666069065008202</v>
      </c>
      <c r="J23" s="5">
        <f t="shared" si="13"/>
        <v>1.6191997295295113</v>
      </c>
      <c r="K23" s="6">
        <f t="shared" si="1"/>
        <v>4728.9486127457676</v>
      </c>
      <c r="M23">
        <f t="shared" si="2"/>
        <v>5.5515324862503212E-18</v>
      </c>
      <c r="N23">
        <f t="shared" si="3"/>
        <v>90</v>
      </c>
      <c r="O23">
        <f t="shared" si="4"/>
        <v>9.0666069065008195</v>
      </c>
    </row>
    <row r="24" spans="1:15" x14ac:dyDescent="0.2">
      <c r="A24" s="2">
        <v>11</v>
      </c>
      <c r="B24" s="4">
        <f t="shared" si="14"/>
        <v>1.690886488108764</v>
      </c>
      <c r="C24" s="2">
        <f>-((J24/D24)-(D24/(1740000+(I24))))*COS(E24)</f>
        <v>-1.1668636028362659E-2</v>
      </c>
      <c r="D24" s="7">
        <f>D23+B23</f>
        <v>18.210946006943974</v>
      </c>
      <c r="E24" s="5">
        <f>PI()/2 - G2</f>
        <v>1.4391625814552118</v>
      </c>
      <c r="F24" s="2">
        <f>((1740000/(1740000+(I24)))*D24*COS(E24))</f>
        <v>2.390108865560526</v>
      </c>
      <c r="G24" s="2">
        <f>(F24 + G23)</f>
        <v>2.3901088655605318</v>
      </c>
      <c r="H24" s="2">
        <f>D24*SIN(E24)</f>
        <v>18.053399130890156</v>
      </c>
      <c r="I24" s="2">
        <f>(H24+I23)</f>
        <v>108.71946819589836</v>
      </c>
      <c r="J24" s="5">
        <f>((1.619368477)/(1+(I24/1740000))^2)</f>
        <v>1.6191661317352772</v>
      </c>
      <c r="K24" s="6">
        <f t="shared" si="1"/>
        <v>4723.8434740203438</v>
      </c>
      <c r="M24">
        <f t="shared" si="2"/>
        <v>2.3901088655605318E-3</v>
      </c>
      <c r="N24">
        <f t="shared" si="3"/>
        <v>82.457941950536195</v>
      </c>
      <c r="O24">
        <f t="shared" si="4"/>
        <v>10.871946819589835</v>
      </c>
    </row>
    <row r="25" spans="1:15" x14ac:dyDescent="0.2">
      <c r="A25" s="2">
        <v>12</v>
      </c>
      <c r="B25" s="4">
        <f t="shared" ref="B25" si="21">(($B$5/K25)-(J25*SIN(E25)))</f>
        <v>1.6970777755303199</v>
      </c>
      <c r="C25" s="2">
        <f>-((J25/D25)-(D25/(1740000+(I25))))*COS(E25)</f>
        <v>-1.1616985014511003E-2</v>
      </c>
      <c r="D25" s="7">
        <f>D24+B24</f>
        <v>19.901832495052737</v>
      </c>
      <c r="E25" s="5">
        <f>E24+C24</f>
        <v>1.4274939454268492</v>
      </c>
      <c r="F25" s="2">
        <f>((1740000/(1740000+(I25)))*D25*COS(E25))</f>
        <v>2.8420190844800088</v>
      </c>
      <c r="G25" s="2">
        <f>(F25 + G24)</f>
        <v>5.2321279500405407</v>
      </c>
      <c r="H25" s="2">
        <f>D25*SIN(E25)</f>
        <v>19.697834193521597</v>
      </c>
      <c r="I25" s="2">
        <f>(H25+I24)</f>
        <v>128.41730238941994</v>
      </c>
      <c r="J25" s="5">
        <f>((1.619368477)/(1+(I25/1740000))^2)</f>
        <v>1.6191294748021905</v>
      </c>
      <c r="K25" s="6">
        <f t="shared" si="1"/>
        <v>4718.7383352949209</v>
      </c>
      <c r="M25">
        <f t="shared" si="2"/>
        <v>5.2321279500405406E-3</v>
      </c>
      <c r="N25">
        <f t="shared" si="3"/>
        <v>81.789378353436717</v>
      </c>
      <c r="O25">
        <f t="shared" si="4"/>
        <v>12.841730238941995</v>
      </c>
    </row>
    <row r="26" spans="1:15" x14ac:dyDescent="0.2">
      <c r="A26" s="2">
        <v>13</v>
      </c>
      <c r="B26" s="4">
        <f t="shared" ref="B26:B89" si="22">(($B$5/K26)-(J26*SIN(E26)))</f>
        <v>1.7034849712857043</v>
      </c>
      <c r="C26" s="2">
        <f t="shared" ref="C26:C89" si="23">-((J26/D26)-(D26/(1740000+(I26))))*COS(E26)</f>
        <v>-1.1564698422571887E-2</v>
      </c>
      <c r="D26" s="7">
        <f t="shared" ref="D26:D89" si="24">D25+B25</f>
        <v>21.598910270583058</v>
      </c>
      <c r="E26" s="5">
        <f t="shared" ref="E26:E89" si="25">E25+C25</f>
        <v>1.4158769604123382</v>
      </c>
      <c r="F26" s="2">
        <f t="shared" ref="F26:F89" si="26">((1740000/(1740000+(I26)))*D26*COS(E26))</f>
        <v>3.3324343676702166</v>
      </c>
      <c r="G26" s="2">
        <f t="shared" ref="G26:G89" si="27">(F26 + G25)</f>
        <v>8.5645623177107577</v>
      </c>
      <c r="H26" s="2">
        <f t="shared" ref="H26:H89" si="28">D26*SIN(E26)</f>
        <v>21.340241198233546</v>
      </c>
      <c r="I26" s="2">
        <f t="shared" ref="I26:I89" si="29">(H26+I25)</f>
        <v>149.75754358765349</v>
      </c>
      <c r="J26" s="5">
        <f t="shared" ref="J26:J89" si="30">((1.619368477)/(1+(I26/1740000))^2)</f>
        <v>1.6190897628159013</v>
      </c>
      <c r="K26" s="6">
        <f t="shared" si="1"/>
        <v>4713.6331965694972</v>
      </c>
      <c r="M26">
        <f t="shared" si="2"/>
        <v>8.5645623177107583E-3</v>
      </c>
      <c r="N26">
        <f t="shared" si="3"/>
        <v>81.123774141438531</v>
      </c>
      <c r="O26">
        <f t="shared" si="4"/>
        <v>14.975754358765348</v>
      </c>
    </row>
    <row r="27" spans="1:15" x14ac:dyDescent="0.2">
      <c r="A27" s="2">
        <v>14</v>
      </c>
      <c r="B27" s="4">
        <f t="shared" si="22"/>
        <v>1.7101046352044684</v>
      </c>
      <c r="C27" s="2">
        <f t="shared" si="23"/>
        <v>-1.1511708327417915E-2</v>
      </c>
      <c r="D27" s="7">
        <f t="shared" si="24"/>
        <v>23.302395241868762</v>
      </c>
      <c r="E27" s="5">
        <f t="shared" si="25"/>
        <v>1.4043122619897663</v>
      </c>
      <c r="F27" s="2">
        <f t="shared" si="26"/>
        <v>3.8611977705947695</v>
      </c>
      <c r="G27" s="2">
        <f t="shared" si="27"/>
        <v>12.425760088305527</v>
      </c>
      <c r="H27" s="2">
        <f t="shared" si="28"/>
        <v>22.980204861983996</v>
      </c>
      <c r="I27" s="2">
        <f t="shared" si="29"/>
        <v>172.73774844963748</v>
      </c>
      <c r="J27" s="5">
        <f t="shared" si="30"/>
        <v>1.619047000660214</v>
      </c>
      <c r="K27" s="6">
        <f t="shared" si="1"/>
        <v>4708.5280578440743</v>
      </c>
      <c r="M27">
        <f t="shared" si="2"/>
        <v>1.2425760088305527E-2</v>
      </c>
      <c r="N27">
        <f t="shared" si="3"/>
        <v>80.461165730483557</v>
      </c>
      <c r="O27">
        <f t="shared" si="4"/>
        <v>17.273774844963746</v>
      </c>
    </row>
    <row r="28" spans="1:15" x14ac:dyDescent="0.2">
      <c r="A28" s="2">
        <v>15</v>
      </c>
      <c r="B28" s="4">
        <f t="shared" si="22"/>
        <v>1.7169332527219587</v>
      </c>
      <c r="C28" s="2">
        <f t="shared" si="23"/>
        <v>-1.1457968574892546E-2</v>
      </c>
      <c r="D28" s="7">
        <f t="shared" si="24"/>
        <v>25.012499877073232</v>
      </c>
      <c r="E28" s="5">
        <f t="shared" si="25"/>
        <v>1.3928005536623485</v>
      </c>
      <c r="F28" s="2">
        <f t="shared" si="26"/>
        <v>4.4281451745073852</v>
      </c>
      <c r="G28" s="2">
        <f t="shared" si="27"/>
        <v>16.853905262812912</v>
      </c>
      <c r="H28" s="2">
        <f t="shared" si="28"/>
        <v>24.617315696079626</v>
      </c>
      <c r="I28" s="2">
        <f t="shared" si="29"/>
        <v>197.35506414571711</v>
      </c>
      <c r="J28" s="5">
        <f t="shared" si="30"/>
        <v>1.6190011940060265</v>
      </c>
      <c r="K28" s="6">
        <f t="shared" si="1"/>
        <v>4703.4229191186514</v>
      </c>
      <c r="M28">
        <f t="shared" si="2"/>
        <v>1.6853905262812913E-2</v>
      </c>
      <c r="N28">
        <f t="shared" si="3"/>
        <v>79.801593428336901</v>
      </c>
      <c r="O28">
        <f t="shared" si="4"/>
        <v>19.735506414571709</v>
      </c>
    </row>
    <row r="29" spans="1:15" x14ac:dyDescent="0.2">
      <c r="A29" s="2">
        <v>16</v>
      </c>
      <c r="B29" s="4">
        <f t="shared" si="22"/>
        <v>1.7239672374080857</v>
      </c>
      <c r="C29" s="2">
        <f t="shared" si="23"/>
        <v>-1.1403449376665854E-2</v>
      </c>
      <c r="D29" s="7">
        <f t="shared" si="24"/>
        <v>26.72943312979519</v>
      </c>
      <c r="E29" s="5">
        <f t="shared" si="25"/>
        <v>1.3813425850874559</v>
      </c>
      <c r="F29" s="2">
        <f t="shared" si="26"/>
        <v>5.0331052356028163</v>
      </c>
      <c r="G29" s="2">
        <f t="shared" si="27"/>
        <v>21.887010498415727</v>
      </c>
      <c r="H29" s="2">
        <f t="shared" si="28"/>
        <v>26.251170181048515</v>
      </c>
      <c r="I29" s="2">
        <f t="shared" si="29"/>
        <v>223.60623432676562</v>
      </c>
      <c r="J29" s="5">
        <f t="shared" si="30"/>
        <v>1.6189523492999152</v>
      </c>
      <c r="K29" s="6">
        <f t="shared" si="1"/>
        <v>4698.3177803932276</v>
      </c>
      <c r="M29">
        <f t="shared" si="2"/>
        <v>2.1887010498415727E-2</v>
      </c>
      <c r="N29">
        <f t="shared" si="3"/>
        <v>79.145100187202033</v>
      </c>
      <c r="O29">
        <f t="shared" si="4"/>
        <v>22.360623432676562</v>
      </c>
    </row>
    <row r="30" spans="1:15" x14ac:dyDescent="0.2">
      <c r="A30" s="2">
        <v>17</v>
      </c>
      <c r="B30" s="4">
        <f t="shared" si="22"/>
        <v>1.7312029342528046</v>
      </c>
      <c r="C30" s="2">
        <f t="shared" si="23"/>
        <v>-1.1348133482867421E-2</v>
      </c>
      <c r="D30" s="7">
        <f t="shared" si="24"/>
        <v>28.453400367203276</v>
      </c>
      <c r="E30" s="5">
        <f t="shared" si="25"/>
        <v>1.36993913571079</v>
      </c>
      <c r="F30" s="2">
        <f t="shared" si="26"/>
        <v>5.6758993996364548</v>
      </c>
      <c r="G30" s="2">
        <f t="shared" si="27"/>
        <v>27.562909898052183</v>
      </c>
      <c r="H30" s="2">
        <f t="shared" si="28"/>
        <v>27.881370936154795</v>
      </c>
      <c r="I30" s="2">
        <f t="shared" si="29"/>
        <v>251.4876052629204</v>
      </c>
      <c r="J30" s="5">
        <f t="shared" si="30"/>
        <v>1.6189004737523789</v>
      </c>
      <c r="K30" s="6">
        <f t="shared" si="1"/>
        <v>4693.2126416678047</v>
      </c>
      <c r="M30">
        <f t="shared" si="2"/>
        <v>2.7562909898052185E-2</v>
      </c>
      <c r="N30">
        <f t="shared" si="3"/>
        <v>78.491730666027976</v>
      </c>
      <c r="O30">
        <f t="shared" si="4"/>
        <v>25.14876052629204</v>
      </c>
    </row>
    <row r="31" spans="1:15" x14ac:dyDescent="0.2">
      <c r="A31" s="2">
        <v>18</v>
      </c>
      <c r="B31" s="4">
        <f t="shared" si="22"/>
        <v>1.7386366235118191</v>
      </c>
      <c r="C31" s="2">
        <f t="shared" si="23"/>
        <v>-1.1292013404935427E-2</v>
      </c>
      <c r="D31" s="7">
        <f t="shared" si="24"/>
        <v>30.184603301456079</v>
      </c>
      <c r="E31" s="5">
        <f t="shared" si="25"/>
        <v>1.3585910022279226</v>
      </c>
      <c r="F31" s="2">
        <f t="shared" si="26"/>
        <v>6.3563419667844938</v>
      </c>
      <c r="G31" s="2">
        <f t="shared" si="27"/>
        <v>33.919251864836674</v>
      </c>
      <c r="H31" s="2">
        <f t="shared" si="28"/>
        <v>29.507526882279894</v>
      </c>
      <c r="I31" s="2">
        <f t="shared" si="29"/>
        <v>280.99513214520027</v>
      </c>
      <c r="J31" s="5">
        <f t="shared" si="30"/>
        <v>1.6188455753257451</v>
      </c>
      <c r="K31" s="6">
        <f t="shared" si="1"/>
        <v>4688.107502942381</v>
      </c>
      <c r="M31">
        <f t="shared" si="2"/>
        <v>3.3919251864836672E-2</v>
      </c>
      <c r="N31">
        <f t="shared" si="3"/>
        <v>77.841530512108591</v>
      </c>
      <c r="O31">
        <f t="shared" si="4"/>
        <v>28.099513214520027</v>
      </c>
    </row>
    <row r="32" spans="1:15" x14ac:dyDescent="0.2">
      <c r="A32" s="2">
        <v>19</v>
      </c>
      <c r="B32" s="4">
        <f t="shared" si="22"/>
        <v>1.7462645249681557</v>
      </c>
      <c r="C32" s="2">
        <f t="shared" si="23"/>
        <v>-1.1235089356173998E-2</v>
      </c>
      <c r="D32" s="7">
        <f t="shared" si="24"/>
        <v>31.923239924967898</v>
      </c>
      <c r="E32" s="5">
        <f t="shared" si="25"/>
        <v>1.3472989888229872</v>
      </c>
      <c r="F32" s="2">
        <f t="shared" si="26"/>
        <v>7.074240195745868</v>
      </c>
      <c r="G32" s="2">
        <f t="shared" si="27"/>
        <v>40.99349206058254</v>
      </c>
      <c r="H32" s="2">
        <f t="shared" si="28"/>
        <v>31.12925339720276</v>
      </c>
      <c r="I32" s="2">
        <f t="shared" si="29"/>
        <v>312.12438554240305</v>
      </c>
      <c r="J32" s="5">
        <f t="shared" si="30"/>
        <v>1.6187876627217685</v>
      </c>
      <c r="K32" s="6">
        <f t="shared" si="1"/>
        <v>4683.0023642169581</v>
      </c>
      <c r="M32">
        <f t="shared" si="2"/>
        <v>4.0993492060582538E-2</v>
      </c>
      <c r="N32">
        <f t="shared" si="3"/>
        <v>77.194545801800629</v>
      </c>
      <c r="O32">
        <f t="shared" si="4"/>
        <v>31.212438554240304</v>
      </c>
    </row>
    <row r="33" spans="1:15" x14ac:dyDescent="0.2">
      <c r="A33" s="2">
        <v>20</v>
      </c>
      <c r="B33" s="4">
        <f t="shared" si="22"/>
        <v>1.7540828025006243</v>
      </c>
      <c r="C33" s="2">
        <f t="shared" si="23"/>
        <v>-1.1177367694320033E-2</v>
      </c>
      <c r="D33" s="7">
        <f t="shared" si="24"/>
        <v>33.669504449936056</v>
      </c>
      <c r="E33" s="5">
        <f t="shared" si="25"/>
        <v>1.3360638994668133</v>
      </c>
      <c r="F33" s="2">
        <f t="shared" si="26"/>
        <v>7.8293944389313168</v>
      </c>
      <c r="G33" s="2">
        <f t="shared" si="27"/>
        <v>48.822886499513857</v>
      </c>
      <c r="H33" s="2">
        <f t="shared" si="28"/>
        <v>32.746172462542475</v>
      </c>
      <c r="I33" s="2">
        <f t="shared" si="29"/>
        <v>344.87055800494551</v>
      </c>
      <c r="J33" s="5">
        <f t="shared" si="30"/>
        <v>1.6187267453689229</v>
      </c>
      <c r="K33" s="6">
        <f t="shared" si="1"/>
        <v>4677.8972254915352</v>
      </c>
      <c r="M33">
        <f t="shared" si="2"/>
        <v>4.8822886499513857E-2</v>
      </c>
      <c r="N33">
        <f t="shared" si="3"/>
        <v>76.550822599239524</v>
      </c>
      <c r="O33">
        <f t="shared" si="4"/>
        <v>34.487055800494552</v>
      </c>
    </row>
    <row r="34" spans="1:15" x14ac:dyDescent="0.2">
      <c r="A34" s="2">
        <v>21</v>
      </c>
      <c r="B34" s="4">
        <f t="shared" si="22"/>
        <v>1.7620875688746824</v>
      </c>
      <c r="C34" s="2">
        <f t="shared" si="23"/>
        <v>-1.1118859722603586E-2</v>
      </c>
      <c r="D34" s="7">
        <f t="shared" si="24"/>
        <v>35.423587252436683</v>
      </c>
      <c r="E34" s="5">
        <f t="shared" si="25"/>
        <v>1.3248865317724932</v>
      </c>
      <c r="F34" s="2">
        <f t="shared" si="26"/>
        <v>8.621598302547385</v>
      </c>
      <c r="G34" s="2">
        <f t="shared" si="27"/>
        <v>57.44448480206124</v>
      </c>
      <c r="H34" s="2">
        <f t="shared" si="28"/>
        <v>34.357912801805149</v>
      </c>
      <c r="I34" s="2">
        <f t="shared" si="29"/>
        <v>379.22847080675064</v>
      </c>
      <c r="J34" s="5">
        <f t="shared" si="30"/>
        <v>1.6186628334094124</v>
      </c>
      <c r="K34" s="6">
        <f t="shared" si="1"/>
        <v>4672.7920867661114</v>
      </c>
      <c r="M34">
        <f t="shared" si="2"/>
        <v>5.7444484802061241E-2</v>
      </c>
      <c r="N34">
        <f t="shared" si="3"/>
        <v>75.910406604289108</v>
      </c>
      <c r="O34">
        <f t="shared" si="4"/>
        <v>37.922847080675062</v>
      </c>
    </row>
    <row r="35" spans="1:15" x14ac:dyDescent="0.2">
      <c r="A35" s="2">
        <v>22</v>
      </c>
      <c r="B35" s="4">
        <f t="shared" si="22"/>
        <v>1.7702748906887344</v>
      </c>
      <c r="C35" s="2">
        <f t="shared" si="23"/>
        <v>-1.105958075164238E-2</v>
      </c>
      <c r="D35" s="7">
        <f t="shared" si="24"/>
        <v>37.185674821311366</v>
      </c>
      <c r="E35" s="5">
        <f t="shared" si="25"/>
        <v>1.3137676720498896</v>
      </c>
      <c r="F35" s="2">
        <f t="shared" si="26"/>
        <v>9.4506388267684169</v>
      </c>
      <c r="G35" s="2">
        <f t="shared" si="27"/>
        <v>66.895123628829651</v>
      </c>
      <c r="H35" s="2">
        <f t="shared" si="28"/>
        <v>35.964110009118379</v>
      </c>
      <c r="I35" s="2">
        <f t="shared" si="29"/>
        <v>415.19258081586901</v>
      </c>
      <c r="J35" s="5">
        <f t="shared" si="30"/>
        <v>1.6185959376859222</v>
      </c>
      <c r="K35" s="6">
        <f t="shared" si="1"/>
        <v>4667.6869480406885</v>
      </c>
      <c r="M35">
        <f t="shared" si="2"/>
        <v>6.6895123628829656E-2</v>
      </c>
      <c r="N35">
        <f t="shared" si="3"/>
        <v>75.273342869185925</v>
      </c>
      <c r="O35">
        <f t="shared" si="4"/>
        <v>41.519258081586898</v>
      </c>
    </row>
    <row r="36" spans="1:15" x14ac:dyDescent="0.2">
      <c r="A36" s="2">
        <v>23</v>
      </c>
      <c r="B36" s="4">
        <f t="shared" si="22"/>
        <v>1.7786407934217852</v>
      </c>
      <c r="C36" s="2">
        <f t="shared" si="23"/>
        <v>-1.09995493543693E-2</v>
      </c>
      <c r="D36" s="7">
        <f t="shared" si="24"/>
        <v>38.955949712000098</v>
      </c>
      <c r="E36" s="5">
        <f t="shared" si="25"/>
        <v>1.3027080912982472</v>
      </c>
      <c r="F36" s="2">
        <f t="shared" si="26"/>
        <v>10.31629668218873</v>
      </c>
      <c r="G36" s="2">
        <f t="shared" si="27"/>
        <v>77.211420311018387</v>
      </c>
      <c r="H36" s="2">
        <f t="shared" si="28"/>
        <v>37.564406668350387</v>
      </c>
      <c r="I36" s="2">
        <f t="shared" si="29"/>
        <v>452.75698748421939</v>
      </c>
      <c r="J36" s="5">
        <f t="shared" si="30"/>
        <v>1.6185260697281203</v>
      </c>
      <c r="K36" s="6">
        <f t="shared" si="1"/>
        <v>4662.5818093152648</v>
      </c>
      <c r="M36">
        <f t="shared" si="2"/>
        <v>7.7211420311018381E-2</v>
      </c>
      <c r="N36">
        <f t="shared" si="3"/>
        <v>74.639675568932688</v>
      </c>
      <c r="O36">
        <f t="shared" si="4"/>
        <v>45.275698748421938</v>
      </c>
    </row>
    <row r="37" spans="1:15" x14ac:dyDescent="0.2">
      <c r="A37" s="2">
        <v>24</v>
      </c>
      <c r="B37" s="4">
        <f t="shared" si="22"/>
        <v>1.7871812665378917</v>
      </c>
      <c r="C37" s="2">
        <f t="shared" si="23"/>
        <v>-1.0938786766064388E-2</v>
      </c>
      <c r="D37" s="7">
        <f t="shared" si="24"/>
        <v>40.734590505421885</v>
      </c>
      <c r="E37" s="5">
        <f t="shared" si="25"/>
        <v>1.2917085419438779</v>
      </c>
      <c r="F37" s="2">
        <f t="shared" si="26"/>
        <v>11.218346379481085</v>
      </c>
      <c r="G37" s="2">
        <f t="shared" si="27"/>
        <v>88.429766690499477</v>
      </c>
      <c r="H37" s="2">
        <f t="shared" si="28"/>
        <v>39.158452462405307</v>
      </c>
      <c r="I37" s="2">
        <f t="shared" si="29"/>
        <v>491.9154399466247</v>
      </c>
      <c r="J37" s="5">
        <f t="shared" si="30"/>
        <v>1.6184532417389377</v>
      </c>
      <c r="K37" s="6">
        <f t="shared" si="1"/>
        <v>4657.4766705898419</v>
      </c>
      <c r="M37">
        <f t="shared" si="2"/>
        <v>8.8429766690499484E-2</v>
      </c>
      <c r="N37">
        <f t="shared" si="3"/>
        <v>74.009447814381474</v>
      </c>
      <c r="O37">
        <f t="shared" si="4"/>
        <v>49.191543994662467</v>
      </c>
    </row>
    <row r="38" spans="1:15" x14ac:dyDescent="0.2">
      <c r="A38" s="2">
        <v>25</v>
      </c>
      <c r="B38" s="4">
        <f t="shared" si="22"/>
        <v>1.7958922686103043</v>
      </c>
      <c r="C38" s="2">
        <f t="shared" si="23"/>
        <v>-1.0877316395054874E-2</v>
      </c>
      <c r="D38" s="7">
        <f t="shared" si="24"/>
        <v>42.521771771959777</v>
      </c>
      <c r="E38" s="5">
        <f t="shared" si="25"/>
        <v>1.2807697551778134</v>
      </c>
      <c r="F38" s="2">
        <f t="shared" si="26"/>
        <v>12.156556489737522</v>
      </c>
      <c r="G38" s="2">
        <f t="shared" si="27"/>
        <v>100.586323180237</v>
      </c>
      <c r="H38" s="2">
        <f t="shared" si="28"/>
        <v>40.74590427256441</v>
      </c>
      <c r="I38" s="2">
        <f t="shared" si="29"/>
        <v>532.66134421918912</v>
      </c>
      <c r="J38" s="5">
        <f t="shared" si="30"/>
        <v>1.6183774665806414</v>
      </c>
      <c r="K38" s="6">
        <f t="shared" si="1"/>
        <v>4652.3715318644181</v>
      </c>
      <c r="M38">
        <f t="shared" si="2"/>
        <v>0.100586323180237</v>
      </c>
      <c r="N38">
        <f t="shared" si="3"/>
        <v>73.382701499692431</v>
      </c>
      <c r="O38">
        <f t="shared" si="4"/>
        <v>53.266134421918913</v>
      </c>
    </row>
    <row r="39" spans="1:15" x14ac:dyDescent="0.2">
      <c r="A39" s="2">
        <v>26</v>
      </c>
      <c r="B39" s="4">
        <f t="shared" si="22"/>
        <v>1.8047697324339165</v>
      </c>
      <c r="C39" s="2">
        <f t="shared" si="23"/>
        <v>-1.08151634189708E-2</v>
      </c>
      <c r="D39" s="7">
        <f t="shared" si="24"/>
        <v>44.317664040570079</v>
      </c>
      <c r="E39" s="5">
        <f t="shared" si="25"/>
        <v>1.2698924387827586</v>
      </c>
      <c r="F39" s="2">
        <f t="shared" si="26"/>
        <v>13.130689873386943</v>
      </c>
      <c r="G39" s="2">
        <f t="shared" si="27"/>
        <v>113.71701305362394</v>
      </c>
      <c r="H39" s="2">
        <f t="shared" si="28"/>
        <v>42.326426267810248</v>
      </c>
      <c r="I39" s="2">
        <f t="shared" si="29"/>
        <v>574.98777048699935</v>
      </c>
      <c r="J39" s="5">
        <f t="shared" si="30"/>
        <v>1.6182987577607191</v>
      </c>
      <c r="K39" s="6">
        <f t="shared" si="1"/>
        <v>4647.2663931389952</v>
      </c>
      <c r="M39">
        <f t="shared" si="2"/>
        <v>0.11371701305362394</v>
      </c>
      <c r="N39">
        <f t="shared" si="3"/>
        <v>72.759477177827321</v>
      </c>
      <c r="O39">
        <f t="shared" si="4"/>
        <v>57.498777048699935</v>
      </c>
    </row>
    <row r="40" spans="1:15" x14ac:dyDescent="0.2">
      <c r="A40" s="2">
        <v>27</v>
      </c>
      <c r="B40" s="4">
        <f t="shared" si="22"/>
        <v>1.813809570099304</v>
      </c>
      <c r="C40" s="2">
        <f t="shared" si="23"/>
        <v>-1.0752354447994076E-2</v>
      </c>
      <c r="D40" s="7">
        <f t="shared" si="24"/>
        <v>46.122433773003998</v>
      </c>
      <c r="E40" s="5">
        <f t="shared" si="25"/>
        <v>1.2590772753637878</v>
      </c>
      <c r="F40" s="2">
        <f t="shared" si="26"/>
        <v>14.140503915908244</v>
      </c>
      <c r="G40" s="2">
        <f t="shared" si="27"/>
        <v>127.85751696953218</v>
      </c>
      <c r="H40" s="2">
        <f t="shared" si="28"/>
        <v>43.899689984127725</v>
      </c>
      <c r="I40" s="2">
        <f t="shared" si="29"/>
        <v>618.88746047112704</v>
      </c>
      <c r="J40" s="5">
        <f t="shared" si="30"/>
        <v>1.6182171294176013</v>
      </c>
      <c r="K40" s="6">
        <f t="shared" si="1"/>
        <v>4642.1612544135724</v>
      </c>
      <c r="M40">
        <f t="shared" si="2"/>
        <v>0.12785751696953218</v>
      </c>
      <c r="N40">
        <f t="shared" si="3"/>
        <v>72.139813959176024</v>
      </c>
      <c r="O40">
        <f t="shared" si="4"/>
        <v>61.888746047112704</v>
      </c>
    </row>
    <row r="41" spans="1:15" x14ac:dyDescent="0.2">
      <c r="A41" s="2">
        <v>28</v>
      </c>
      <c r="B41" s="4">
        <f t="shared" si="22"/>
        <v>1.8230076780053985</v>
      </c>
      <c r="C41" s="2">
        <f t="shared" si="23"/>
        <v>-1.0688917241207884E-2</v>
      </c>
      <c r="D41" s="7">
        <f t="shared" si="24"/>
        <v>47.9362433431033</v>
      </c>
      <c r="E41" s="5">
        <f t="shared" si="25"/>
        <v>1.2483249209157936</v>
      </c>
      <c r="F41" s="2">
        <f t="shared" si="26"/>
        <v>15.185750768812762</v>
      </c>
      <c r="G41" s="2">
        <f t="shared" si="27"/>
        <v>143.04326773834495</v>
      </c>
      <c r="H41" s="2">
        <f t="shared" si="28"/>
        <v>45.465374393825947</v>
      </c>
      <c r="I41" s="2">
        <f t="shared" si="29"/>
        <v>664.35283486495302</v>
      </c>
      <c r="J41" s="5">
        <f t="shared" si="30"/>
        <v>1.6181325963062352</v>
      </c>
      <c r="K41" s="6">
        <f t="shared" si="1"/>
        <v>4637.0561156881486</v>
      </c>
      <c r="M41">
        <f t="shared" si="2"/>
        <v>0.14304326773834494</v>
      </c>
      <c r="N41">
        <f t="shared" si="3"/>
        <v>71.523749429477235</v>
      </c>
      <c r="O41">
        <f t="shared" si="4"/>
        <v>66.435283486495308</v>
      </c>
    </row>
    <row r="42" spans="1:15" x14ac:dyDescent="0.2">
      <c r="A42" s="2">
        <v>29</v>
      </c>
      <c r="B42" s="4">
        <f t="shared" si="22"/>
        <v>1.8323599417910277</v>
      </c>
      <c r="C42" s="2">
        <f t="shared" si="23"/>
        <v>-1.0624880465527517E-2</v>
      </c>
      <c r="D42" s="7">
        <f t="shared" si="24"/>
        <v>49.759251021108696</v>
      </c>
      <c r="E42" s="5">
        <f t="shared" si="25"/>
        <v>1.2376360036745857</v>
      </c>
      <c r="F42" s="2">
        <f t="shared" si="26"/>
        <v>16.266177594574163</v>
      </c>
      <c r="G42" s="2">
        <f t="shared" si="27"/>
        <v>159.30944533291913</v>
      </c>
      <c r="H42" s="2">
        <f t="shared" si="28"/>
        <v>47.023165964967809</v>
      </c>
      <c r="I42" s="2">
        <f t="shared" si="29"/>
        <v>711.37600082992083</v>
      </c>
      <c r="J42" s="5">
        <f t="shared" si="30"/>
        <v>1.6180451737835313</v>
      </c>
      <c r="K42" s="6">
        <f t="shared" si="1"/>
        <v>4631.9509769627257</v>
      </c>
      <c r="M42">
        <f t="shared" si="2"/>
        <v>0.15930944533291913</v>
      </c>
      <c r="N42">
        <f t="shared" si="3"/>
        <v>70.9113195839914</v>
      </c>
      <c r="O42">
        <f t="shared" si="4"/>
        <v>71.13760008299208</v>
      </c>
    </row>
    <row r="43" spans="1:15" x14ac:dyDescent="0.2">
      <c r="A43" s="2">
        <v>30</v>
      </c>
      <c r="B43" s="4">
        <f t="shared" si="22"/>
        <v>1.8418622411682213</v>
      </c>
      <c r="C43" s="2">
        <f t="shared" si="23"/>
        <v>-1.0560273489162332E-2</v>
      </c>
      <c r="D43" s="7">
        <f t="shared" si="24"/>
        <v>51.591610962899722</v>
      </c>
      <c r="E43" s="5">
        <f t="shared" si="25"/>
        <v>1.2270111232090581</v>
      </c>
      <c r="F43" s="2">
        <f t="shared" si="26"/>
        <v>17.381526814349474</v>
      </c>
      <c r="G43" s="2">
        <f t="shared" si="27"/>
        <v>176.69097214726861</v>
      </c>
      <c r="H43" s="2">
        <f t="shared" si="28"/>
        <v>48.572758711032321</v>
      </c>
      <c r="I43" s="2">
        <f t="shared" si="29"/>
        <v>759.94875954095312</v>
      </c>
      <c r="J43" s="5">
        <f t="shared" si="30"/>
        <v>1.6179548777937041</v>
      </c>
      <c r="K43" s="6">
        <f t="shared" si="1"/>
        <v>4626.8458382373019</v>
      </c>
      <c r="M43">
        <f t="shared" si="2"/>
        <v>0.17669097214726862</v>
      </c>
      <c r="N43">
        <f t="shared" si="3"/>
        <v>70.302558775485693</v>
      </c>
      <c r="O43">
        <f t="shared" si="4"/>
        <v>75.994875954095306</v>
      </c>
    </row>
    <row r="44" spans="1:15" x14ac:dyDescent="0.2">
      <c r="A44" s="2">
        <v>31</v>
      </c>
      <c r="B44" s="4">
        <f t="shared" si="22"/>
        <v>1.8515104546424974</v>
      </c>
      <c r="C44" s="2">
        <f t="shared" si="23"/>
        <v>-1.0495126203384754E-2</v>
      </c>
      <c r="D44" s="7">
        <f t="shared" si="24"/>
        <v>53.433473204067944</v>
      </c>
      <c r="E44" s="5">
        <f t="shared" si="25"/>
        <v>1.2164508497198958</v>
      </c>
      <c r="F44" s="2">
        <f t="shared" si="26"/>
        <v>18.531536357471925</v>
      </c>
      <c r="G44" s="2">
        <f t="shared" si="27"/>
        <v>195.22250850474055</v>
      </c>
      <c r="H44" s="2">
        <f t="shared" si="28"/>
        <v>50.113854230967675</v>
      </c>
      <c r="I44" s="2">
        <f t="shared" si="29"/>
        <v>810.06261377192084</v>
      </c>
      <c r="J44" s="5">
        <f t="shared" si="30"/>
        <v>1.617861724853519</v>
      </c>
      <c r="K44" s="6">
        <f t="shared" si="1"/>
        <v>4621.740699511879</v>
      </c>
      <c r="M44">
        <f t="shared" si="2"/>
        <v>0.19522250850474054</v>
      </c>
      <c r="N44">
        <f t="shared" si="3"/>
        <v>69.697499674052793</v>
      </c>
      <c r="O44">
        <f t="shared" si="4"/>
        <v>81.006261377192089</v>
      </c>
    </row>
    <row r="45" spans="1:15" x14ac:dyDescent="0.2">
      <c r="A45" s="2">
        <v>32</v>
      </c>
      <c r="B45" s="4">
        <f t="shared" si="22"/>
        <v>1.8613004641073938</v>
      </c>
      <c r="C45" s="2">
        <f t="shared" si="23"/>
        <v>-1.0429468867748455E-2</v>
      </c>
      <c r="D45" s="7">
        <f t="shared" si="24"/>
        <v>55.284983658710445</v>
      </c>
      <c r="E45" s="5">
        <f t="shared" si="25"/>
        <v>1.205955723516511</v>
      </c>
      <c r="F45" s="2">
        <f t="shared" si="26"/>
        <v>19.715939911810768</v>
      </c>
      <c r="G45" s="2">
        <f t="shared" si="27"/>
        <v>214.93844841655132</v>
      </c>
      <c r="H45" s="2">
        <f t="shared" si="28"/>
        <v>51.646161739822517</v>
      </c>
      <c r="I45" s="2">
        <f t="shared" si="29"/>
        <v>861.7087755117434</v>
      </c>
      <c r="J45" s="5">
        <f t="shared" si="30"/>
        <v>1.6177657320374783</v>
      </c>
      <c r="K45" s="6">
        <f t="shared" si="1"/>
        <v>4616.6355607864552</v>
      </c>
      <c r="M45">
        <f t="shared" si="2"/>
        <v>0.21493844841655133</v>
      </c>
      <c r="N45">
        <f t="shared" si="3"/>
        <v>69.096173237141684</v>
      </c>
      <c r="O45">
        <f t="shared" si="4"/>
        <v>86.170877551174343</v>
      </c>
    </row>
    <row r="46" spans="1:15" x14ac:dyDescent="0.2">
      <c r="A46" s="2">
        <v>33</v>
      </c>
      <c r="B46" s="4">
        <f t="shared" si="22"/>
        <v>1.8712281593022764</v>
      </c>
      <c r="C46" s="2">
        <f t="shared" si="23"/>
        <v>-1.0363331974928711E-2</v>
      </c>
      <c r="D46" s="7">
        <f t="shared" si="24"/>
        <v>57.146284122817839</v>
      </c>
      <c r="E46" s="5">
        <f t="shared" si="25"/>
        <v>1.1955262546487626</v>
      </c>
      <c r="F46" s="2">
        <f t="shared" si="26"/>
        <v>20.93446717419063</v>
      </c>
      <c r="G46" s="2">
        <f t="shared" si="27"/>
        <v>235.87291559074197</v>
      </c>
      <c r="H46" s="2">
        <f t="shared" si="28"/>
        <v>53.169398090168151</v>
      </c>
      <c r="I46" s="2">
        <f t="shared" si="29"/>
        <v>914.8781736019115</v>
      </c>
      <c r="J46" s="5">
        <f t="shared" si="30"/>
        <v>1.6176669169629485</v>
      </c>
      <c r="K46" s="6">
        <f t="shared" si="1"/>
        <v>4611.5304220610324</v>
      </c>
      <c r="M46">
        <f t="shared" si="2"/>
        <v>0.23587291559074197</v>
      </c>
      <c r="N46">
        <f t="shared" si="3"/>
        <v>68.498608688456613</v>
      </c>
      <c r="O46">
        <f t="shared" si="4"/>
        <v>91.487817360191144</v>
      </c>
    </row>
    <row r="47" spans="1:15" x14ac:dyDescent="0.2">
      <c r="A47" s="2">
        <v>34</v>
      </c>
      <c r="B47" s="4">
        <f t="shared" si="22"/>
        <v>1.881289442124126</v>
      </c>
      <c r="C47" s="2">
        <f t="shared" si="23"/>
        <v>-1.0296746132143778E-2</v>
      </c>
      <c r="D47" s="7">
        <f t="shared" si="24"/>
        <v>59.017512282120116</v>
      </c>
      <c r="E47" s="5">
        <f t="shared" si="25"/>
        <v>1.1851629226738338</v>
      </c>
      <c r="F47" s="2">
        <f t="shared" si="26"/>
        <v>22.18684410014674</v>
      </c>
      <c r="G47" s="2">
        <f t="shared" si="27"/>
        <v>258.05975969088871</v>
      </c>
      <c r="H47" s="2">
        <f t="shared" si="28"/>
        <v>54.683287784546927</v>
      </c>
      <c r="I47" s="2">
        <f t="shared" si="29"/>
        <v>969.5614613864584</v>
      </c>
      <c r="J47" s="5">
        <f t="shared" si="30"/>
        <v>1.6175652977752513</v>
      </c>
      <c r="K47" s="6">
        <f t="shared" si="1"/>
        <v>4606.4252833356095</v>
      </c>
      <c r="M47">
        <f t="shared" si="2"/>
        <v>0.25805975969088873</v>
      </c>
      <c r="N47">
        <f t="shared" si="3"/>
        <v>67.904833504600219</v>
      </c>
      <c r="O47">
        <f t="shared" si="4"/>
        <v>96.956146138645835</v>
      </c>
    </row>
    <row r="48" spans="1:15" x14ac:dyDescent="0.2">
      <c r="A48" s="2">
        <v>35</v>
      </c>
      <c r="B48" s="4">
        <f t="shared" si="22"/>
        <v>1.8914802307853809</v>
      </c>
      <c r="C48" s="2">
        <f t="shared" si="23"/>
        <v>-1.0229741956719595E-2</v>
      </c>
      <c r="D48" s="7">
        <f t="shared" si="24"/>
        <v>60.898801724244244</v>
      </c>
      <c r="E48" s="5">
        <f t="shared" si="25"/>
        <v>1.1748661765416901</v>
      </c>
      <c r="F48" s="2">
        <f t="shared" si="26"/>
        <v>23.472793152365629</v>
      </c>
      <c r="G48" s="2">
        <f t="shared" si="27"/>
        <v>281.53255284325434</v>
      </c>
      <c r="H48" s="2">
        <f t="shared" si="28"/>
        <v>56.187562979201445</v>
      </c>
      <c r="I48" s="2">
        <f t="shared" si="29"/>
        <v>1025.7490243656598</v>
      </c>
      <c r="J48" s="5">
        <f t="shared" si="30"/>
        <v>1.6174608931327492</v>
      </c>
      <c r="K48" s="6">
        <f t="shared" si="1"/>
        <v>4601.3201446101857</v>
      </c>
      <c r="M48">
        <f t="shared" si="2"/>
        <v>0.28153255284325435</v>
      </c>
      <c r="N48">
        <f t="shared" si="3"/>
        <v>67.314873408510735</v>
      </c>
      <c r="O48">
        <f t="shared" si="4"/>
        <v>102.57490243656598</v>
      </c>
    </row>
    <row r="49" spans="1:15" x14ac:dyDescent="0.2">
      <c r="A49" s="2">
        <v>36</v>
      </c>
      <c r="B49" s="4">
        <f t="shared" si="22"/>
        <v>1.9017964638113314</v>
      </c>
      <c r="C49" s="2">
        <f t="shared" si="23"/>
        <v>-1.0162349983827082E-2</v>
      </c>
      <c r="D49" s="7">
        <f t="shared" si="24"/>
        <v>62.790281955029627</v>
      </c>
      <c r="E49" s="5">
        <f t="shared" si="25"/>
        <v>1.1646364345849705</v>
      </c>
      <c r="F49" s="2">
        <f t="shared" si="26"/>
        <v>24.792033547225525</v>
      </c>
      <c r="G49" s="2">
        <f t="shared" si="27"/>
        <v>306.32458639047985</v>
      </c>
      <c r="H49" s="2">
        <f t="shared" si="28"/>
        <v>57.681963479355836</v>
      </c>
      <c r="I49" s="2">
        <f t="shared" si="29"/>
        <v>1083.4309878450156</v>
      </c>
      <c r="J49" s="5">
        <f t="shared" si="30"/>
        <v>1.6173537221919156</v>
      </c>
      <c r="K49" s="6">
        <f t="shared" si="1"/>
        <v>4596.2150058847628</v>
      </c>
      <c r="M49">
        <f t="shared" si="2"/>
        <v>0.30632458639047982</v>
      </c>
      <c r="N49">
        <f t="shared" si="3"/>
        <v>66.728752368882795</v>
      </c>
      <c r="O49">
        <f t="shared" si="4"/>
        <v>108.34309878450156</v>
      </c>
    </row>
    <row r="50" spans="1:15" x14ac:dyDescent="0.2">
      <c r="A50" s="2">
        <v>37</v>
      </c>
      <c r="B50" s="4">
        <f t="shared" si="22"/>
        <v>1.912234103871705</v>
      </c>
      <c r="C50" s="2">
        <f t="shared" si="23"/>
        <v>-1.0094600584785869E-2</v>
      </c>
      <c r="D50" s="7">
        <f t="shared" si="24"/>
        <v>64.692078418840964</v>
      </c>
      <c r="E50" s="5">
        <f t="shared" si="25"/>
        <v>1.1544740846011434</v>
      </c>
      <c r="F50" s="2">
        <f t="shared" si="26"/>
        <v>26.144281498908271</v>
      </c>
      <c r="G50" s="2">
        <f t="shared" si="27"/>
        <v>332.46886788938809</v>
      </c>
      <c r="H50" s="2">
        <f t="shared" si="28"/>
        <v>59.166236726334773</v>
      </c>
      <c r="I50" s="2">
        <f t="shared" si="29"/>
        <v>1142.5972245713504</v>
      </c>
      <c r="J50" s="5">
        <f t="shared" si="30"/>
        <v>1.6172438045924391</v>
      </c>
      <c r="K50" s="6">
        <f t="shared" si="1"/>
        <v>4591.109867159339</v>
      </c>
      <c r="M50">
        <f t="shared" si="2"/>
        <v>0.33246886788938812</v>
      </c>
      <c r="N50">
        <f t="shared" si="3"/>
        <v>66.146492604874666</v>
      </c>
      <c r="O50">
        <f t="shared" si="4"/>
        <v>114.25972245713504</v>
      </c>
    </row>
    <row r="51" spans="1:15" x14ac:dyDescent="0.2">
      <c r="A51" s="2">
        <v>38</v>
      </c>
      <c r="B51" s="4">
        <f t="shared" si="22"/>
        <v>1.9227891414422327</v>
      </c>
      <c r="C51" s="2">
        <f t="shared" si="23"/>
        <v>-1.0026523894614007E-2</v>
      </c>
      <c r="D51" s="7">
        <f t="shared" si="24"/>
        <v>66.604312522712675</v>
      </c>
      <c r="E51" s="5">
        <f t="shared" si="25"/>
        <v>1.1443794840163575</v>
      </c>
      <c r="F51" s="2">
        <f t="shared" si="26"/>
        <v>27.529250460606836</v>
      </c>
      <c r="G51" s="2">
        <f t="shared" si="27"/>
        <v>359.99811834999491</v>
      </c>
      <c r="H51" s="2">
        <f t="shared" si="28"/>
        <v>60.640137776817774</v>
      </c>
      <c r="I51" s="2">
        <f t="shared" si="29"/>
        <v>1203.2373623481681</v>
      </c>
      <c r="J51" s="5">
        <f t="shared" si="30"/>
        <v>1.6171311604423411</v>
      </c>
      <c r="K51" s="6">
        <f t="shared" si="1"/>
        <v>4586.0047284339162</v>
      </c>
      <c r="M51">
        <f t="shared" si="2"/>
        <v>0.3599981183499949</v>
      </c>
      <c r="N51">
        <f t="shared" si="3"/>
        <v>65.568114595496141</v>
      </c>
      <c r="O51">
        <f t="shared" si="4"/>
        <v>120.32373623481681</v>
      </c>
    </row>
    <row r="52" spans="1:15" x14ac:dyDescent="0.2">
      <c r="A52" s="2">
        <v>39</v>
      </c>
      <c r="B52" s="4">
        <f t="shared" si="22"/>
        <v>1.933457598293002</v>
      </c>
      <c r="C52" s="2">
        <f t="shared" si="23"/>
        <v>-9.9581497477293692E-3</v>
      </c>
      <c r="D52" s="7">
        <f t="shared" si="24"/>
        <v>68.527101664154912</v>
      </c>
      <c r="E52" s="5">
        <f t="shared" si="25"/>
        <v>1.1343529601217435</v>
      </c>
      <c r="F52" s="2">
        <f t="shared" si="26"/>
        <v>28.946651362399447</v>
      </c>
      <c r="G52" s="2">
        <f t="shared" si="27"/>
        <v>388.94476971239436</v>
      </c>
      <c r="H52" s="2">
        <f t="shared" si="28"/>
        <v>62.103429274536317</v>
      </c>
      <c r="I52" s="2">
        <f t="shared" si="29"/>
        <v>1265.3407916227043</v>
      </c>
      <c r="J52" s="5">
        <f t="shared" si="30"/>
        <v>1.6170158103031571</v>
      </c>
      <c r="K52" s="6">
        <f t="shared" si="1"/>
        <v>4580.8995897084924</v>
      </c>
      <c r="M52">
        <f t="shared" si="2"/>
        <v>0.38894476971239433</v>
      </c>
      <c r="N52">
        <f t="shared" si="3"/>
        <v>64.993637093147669</v>
      </c>
      <c r="O52">
        <f t="shared" si="4"/>
        <v>126.53407916227043</v>
      </c>
    </row>
    <row r="53" spans="1:15" x14ac:dyDescent="0.2">
      <c r="A53" s="2">
        <v>40</v>
      </c>
      <c r="B53" s="4">
        <f t="shared" si="22"/>
        <v>1.9442355308013375</v>
      </c>
      <c r="C53" s="2">
        <f t="shared" si="23"/>
        <v>-9.8895076208879284E-3</v>
      </c>
      <c r="D53" s="7">
        <f t="shared" si="24"/>
        <v>70.460559262447916</v>
      </c>
      <c r="E53" s="5">
        <f t="shared" si="25"/>
        <v>1.124394810374014</v>
      </c>
      <c r="F53" s="2">
        <f t="shared" si="26"/>
        <v>30.396192845405185</v>
      </c>
      <c r="G53" s="2">
        <f t="shared" si="27"/>
        <v>419.34096255779957</v>
      </c>
      <c r="H53" s="2">
        <f t="shared" si="28"/>
        <v>63.555881414729207</v>
      </c>
      <c r="I53" s="2">
        <f t="shared" si="29"/>
        <v>1328.8966730374334</v>
      </c>
      <c r="J53" s="5">
        <f t="shared" si="30"/>
        <v>1.6168977751751683</v>
      </c>
      <c r="K53" s="6">
        <f t="shared" si="1"/>
        <v>4575.7944509830695</v>
      </c>
      <c r="M53">
        <f t="shared" si="2"/>
        <v>0.41934096255779957</v>
      </c>
      <c r="N53">
        <f t="shared" si="3"/>
        <v>64.423077140843517</v>
      </c>
      <c r="O53">
        <f t="shared" si="4"/>
        <v>132.88966730374335</v>
      </c>
    </row>
    <row r="54" spans="1:15" x14ac:dyDescent="0.2">
      <c r="A54" s="2">
        <v>41</v>
      </c>
      <c r="B54" s="4">
        <f t="shared" si="22"/>
        <v>1.9551190330878385</v>
      </c>
      <c r="C54" s="2">
        <f t="shared" si="23"/>
        <v>-9.8206265825878866E-3</v>
      </c>
      <c r="D54" s="7">
        <f t="shared" si="24"/>
        <v>72.404794793249252</v>
      </c>
      <c r="E54" s="5">
        <f t="shared" si="25"/>
        <v>1.114505302753126</v>
      </c>
      <c r="F54" s="2">
        <f t="shared" si="26"/>
        <v>31.877581491875258</v>
      </c>
      <c r="G54" s="2">
        <f t="shared" si="27"/>
        <v>451.21854404967485</v>
      </c>
      <c r="H54" s="2">
        <f t="shared" si="28"/>
        <v>64.997271901677649</v>
      </c>
      <c r="I54" s="2">
        <f t="shared" si="29"/>
        <v>1393.893944939111</v>
      </c>
      <c r="J54" s="5">
        <f t="shared" si="30"/>
        <v>1.6167770764827152</v>
      </c>
      <c r="K54" s="6">
        <f t="shared" si="1"/>
        <v>4570.6893122576466</v>
      </c>
      <c r="M54">
        <f t="shared" si="2"/>
        <v>0.45121854404967487</v>
      </c>
      <c r="N54">
        <f t="shared" si="3"/>
        <v>63.856450092704172</v>
      </c>
      <c r="O54">
        <f t="shared" si="4"/>
        <v>139.38939449391108</v>
      </c>
    </row>
    <row r="55" spans="1:15" x14ac:dyDescent="0.2">
      <c r="A55" s="2">
        <v>42</v>
      </c>
      <c r="B55" s="4">
        <f t="shared" si="22"/>
        <v>1.9661042399749871</v>
      </c>
      <c r="C55" s="2">
        <f t="shared" si="23"/>
        <v>-9.7515352482840118E-3</v>
      </c>
      <c r="D55" s="7">
        <f t="shared" si="24"/>
        <v>74.359913826337092</v>
      </c>
      <c r="E55" s="5">
        <f t="shared" si="25"/>
        <v>1.104684676170538</v>
      </c>
      <c r="F55" s="2">
        <f t="shared" si="26"/>
        <v>33.390522050911656</v>
      </c>
      <c r="G55" s="2">
        <f t="shared" si="27"/>
        <v>484.60906610058652</v>
      </c>
      <c r="H55" s="2">
        <f t="shared" si="28"/>
        <v>66.427385899646154</v>
      </c>
      <c r="I55" s="2">
        <f t="shared" si="29"/>
        <v>1460.3213308387571</v>
      </c>
      <c r="J55" s="5">
        <f t="shared" si="30"/>
        <v>1.6166537360595969</v>
      </c>
      <c r="K55" s="6">
        <f t="shared" si="1"/>
        <v>4565.5841735322228</v>
      </c>
      <c r="M55">
        <f t="shared" si="2"/>
        <v>0.48460906610058652</v>
      </c>
      <c r="N55">
        <f t="shared" si="3"/>
        <v>63.293769637347893</v>
      </c>
      <c r="O55">
        <f t="shared" si="4"/>
        <v>146.03213308387572</v>
      </c>
    </row>
    <row r="56" spans="1:15" x14ac:dyDescent="0.2">
      <c r="A56" s="2">
        <v>43</v>
      </c>
      <c r="B56" s="4">
        <f t="shared" si="22"/>
        <v>1.9771873297684714</v>
      </c>
      <c r="C56" s="2">
        <f t="shared" si="23"/>
        <v>-9.6822617408501305E-3</v>
      </c>
      <c r="D56" s="7">
        <f t="shared" si="24"/>
        <v>76.326018066312074</v>
      </c>
      <c r="E56" s="5">
        <f t="shared" si="25"/>
        <v>1.094933140922254</v>
      </c>
      <c r="F56" s="2">
        <f t="shared" si="26"/>
        <v>34.934717659538954</v>
      </c>
      <c r="G56" s="2">
        <f t="shared" si="27"/>
        <v>519.54378376012551</v>
      </c>
      <c r="H56" s="2">
        <f t="shared" si="28"/>
        <v>67.846015977558054</v>
      </c>
      <c r="I56" s="2">
        <f t="shared" si="29"/>
        <v>1528.1673468163151</v>
      </c>
      <c r="J56" s="5">
        <f t="shared" si="30"/>
        <v>1.6165277761345702</v>
      </c>
      <c r="K56" s="6">
        <f t="shared" si="1"/>
        <v>4560.4790348068</v>
      </c>
      <c r="M56">
        <f t="shared" si="2"/>
        <v>0.51954378376012555</v>
      </c>
      <c r="N56">
        <f t="shared" si="3"/>
        <v>62.735047823848163</v>
      </c>
      <c r="O56">
        <f t="shared" si="4"/>
        <v>152.81673468163152</v>
      </c>
    </row>
    <row r="57" spans="1:15" x14ac:dyDescent="0.2">
      <c r="A57" s="2">
        <v>44</v>
      </c>
      <c r="B57" s="4">
        <f t="shared" si="22"/>
        <v>1.988364526862072</v>
      </c>
      <c r="C57" s="2">
        <f t="shared" si="23"/>
        <v>-9.6128336558036192E-3</v>
      </c>
      <c r="D57" s="7">
        <f t="shared" si="24"/>
        <v>78.303205396080543</v>
      </c>
      <c r="E57" s="5">
        <f t="shared" si="25"/>
        <v>1.0852508791814039</v>
      </c>
      <c r="F57" s="2">
        <f t="shared" si="26"/>
        <v>36.509870058887323</v>
      </c>
      <c r="G57" s="2">
        <f t="shared" si="27"/>
        <v>556.05365381901288</v>
      </c>
      <c r="H57" s="2">
        <f t="shared" si="28"/>
        <v>69.252962047736077</v>
      </c>
      <c r="I57" s="2">
        <f t="shared" si="29"/>
        <v>1597.4203088640511</v>
      </c>
      <c r="J57" s="5">
        <f t="shared" si="30"/>
        <v>1.6163992193169672</v>
      </c>
      <c r="K57" s="6">
        <f t="shared" si="1"/>
        <v>4555.3738960813762</v>
      </c>
      <c r="M57">
        <f t="shared" si="2"/>
        <v>0.55605365381901284</v>
      </c>
      <c r="N57">
        <f t="shared" si="3"/>
        <v>62.180295089956466</v>
      </c>
      <c r="O57">
        <f t="shared" si="4"/>
        <v>159.7420308864051</v>
      </c>
    </row>
    <row r="58" spans="1:15" x14ac:dyDescent="0.2">
      <c r="A58" s="2">
        <v>45</v>
      </c>
      <c r="B58" s="4">
        <f t="shared" si="22"/>
        <v>1.9996321041675291</v>
      </c>
      <c r="C58" s="2">
        <f t="shared" si="23"/>
        <v>-9.5432780308679632E-3</v>
      </c>
      <c r="D58" s="7">
        <f t="shared" si="24"/>
        <v>80.291569922942614</v>
      </c>
      <c r="E58" s="5">
        <f t="shared" si="25"/>
        <v>1.0756380455256003</v>
      </c>
      <c r="F58" s="2">
        <f t="shared" si="26"/>
        <v>38.115679805274709</v>
      </c>
      <c r="G58" s="2">
        <f t="shared" si="27"/>
        <v>594.16933362428756</v>
      </c>
      <c r="H58" s="2">
        <f t="shared" si="28"/>
        <v>70.648031299038067</v>
      </c>
      <c r="I58" s="2">
        <f t="shared" si="29"/>
        <v>1668.0683401630893</v>
      </c>
      <c r="J58" s="5">
        <f t="shared" si="30"/>
        <v>1.6162680885824312</v>
      </c>
      <c r="K58" s="6">
        <f t="shared" si="1"/>
        <v>4550.2687573559533</v>
      </c>
      <c r="M58">
        <f t="shared" si="2"/>
        <v>0.59416933362428759</v>
      </c>
      <c r="N58">
        <f t="shared" si="3"/>
        <v>61.629520292317601</v>
      </c>
      <c r="O58">
        <f t="shared" si="4"/>
        <v>166.80683401630893</v>
      </c>
    </row>
    <row r="59" spans="1:15" x14ac:dyDescent="0.2">
      <c r="A59" s="2">
        <v>46</v>
      </c>
      <c r="B59" s="4">
        <f t="shared" si="22"/>
        <v>2.0109863853714178</v>
      </c>
      <c r="C59" s="2">
        <f t="shared" si="23"/>
        <v>-9.4736213195006202E-3</v>
      </c>
      <c r="D59" s="7">
        <f t="shared" si="24"/>
        <v>82.291202027110145</v>
      </c>
      <c r="E59" s="5">
        <f t="shared" si="25"/>
        <v>1.0660947674947323</v>
      </c>
      <c r="F59" s="2">
        <f t="shared" si="26"/>
        <v>39.751846476004282</v>
      </c>
      <c r="G59" s="2">
        <f t="shared" si="27"/>
        <v>633.92118010029185</v>
      </c>
      <c r="H59" s="2">
        <f t="shared" si="28"/>
        <v>72.031038124717568</v>
      </c>
      <c r="I59" s="2">
        <f t="shared" si="29"/>
        <v>1740.0993782878068</v>
      </c>
      <c r="J59" s="5">
        <f t="shared" si="30"/>
        <v>1.6161344072587951</v>
      </c>
      <c r="K59" s="6">
        <f t="shared" si="1"/>
        <v>4545.1636186305295</v>
      </c>
      <c r="M59">
        <f t="shared" si="2"/>
        <v>0.63392118010029186</v>
      </c>
      <c r="N59">
        <f t="shared" si="3"/>
        <v>61.082730738428943</v>
      </c>
      <c r="O59">
        <f t="shared" si="4"/>
        <v>174.00993782878066</v>
      </c>
    </row>
    <row r="60" spans="1:15" x14ac:dyDescent="0.2">
      <c r="A60" s="2">
        <v>47</v>
      </c>
      <c r="B60" s="4">
        <f t="shared" si="22"/>
        <v>2.0224237470215254</v>
      </c>
      <c r="C60" s="2">
        <f t="shared" si="23"/>
        <v>-9.4038893680557286E-3</v>
      </c>
      <c r="D60" s="7">
        <f t="shared" si="24"/>
        <v>84.30218841248157</v>
      </c>
      <c r="E60" s="5">
        <f t="shared" si="25"/>
        <v>1.0566211461752317</v>
      </c>
      <c r="F60" s="2">
        <f t="shared" si="26"/>
        <v>41.418068869719846</v>
      </c>
      <c r="G60" s="2">
        <f t="shared" si="27"/>
        <v>675.33924897001168</v>
      </c>
      <c r="H60" s="2">
        <f t="shared" si="28"/>
        <v>73.401804045335808</v>
      </c>
      <c r="I60" s="2">
        <f t="shared" si="29"/>
        <v>1813.5011823331427</v>
      </c>
      <c r="J60" s="5">
        <f t="shared" si="30"/>
        <v>1.6159981990120957</v>
      </c>
      <c r="K60" s="6">
        <f t="shared" si="1"/>
        <v>4540.0584799051067</v>
      </c>
      <c r="M60">
        <f t="shared" si="2"/>
        <v>0.67533924897001163</v>
      </c>
      <c r="N60">
        <f t="shared" si="3"/>
        <v>60.539932220116405</v>
      </c>
      <c r="O60">
        <f t="shared" si="4"/>
        <v>181.35011823331428</v>
      </c>
    </row>
    <row r="61" spans="1:15" x14ac:dyDescent="0.2">
      <c r="A61" s="2">
        <v>48</v>
      </c>
      <c r="B61" s="4">
        <f t="shared" si="22"/>
        <v>2.033940620445712</v>
      </c>
      <c r="C61" s="2">
        <f t="shared" si="23"/>
        <v>-9.3341073962865916E-3</v>
      </c>
      <c r="D61" s="7">
        <f t="shared" si="24"/>
        <v>86.32461215950309</v>
      </c>
      <c r="E61" s="5">
        <f t="shared" si="25"/>
        <v>1.047217256807176</v>
      </c>
      <c r="F61" s="2">
        <f t="shared" si="26"/>
        <v>43.114045201186229</v>
      </c>
      <c r="G61" s="2">
        <f t="shared" si="27"/>
        <v>718.45329417119797</v>
      </c>
      <c r="H61" s="2">
        <f t="shared" si="28"/>
        <v>74.760157627049011</v>
      </c>
      <c r="I61" s="2">
        <f t="shared" si="29"/>
        <v>1888.2613399601917</v>
      </c>
      <c r="J61" s="5">
        <f t="shared" si="30"/>
        <v>1.6158594878327488</v>
      </c>
      <c r="K61" s="6">
        <f t="shared" si="1"/>
        <v>4534.9533411796838</v>
      </c>
      <c r="M61">
        <f t="shared" si="2"/>
        <v>0.71845329417119796</v>
      </c>
      <c r="N61">
        <f t="shared" si="3"/>
        <v>60.001129048318866</v>
      </c>
      <c r="O61">
        <f t="shared" si="4"/>
        <v>188.82613399601917</v>
      </c>
    </row>
    <row r="62" spans="1:15" x14ac:dyDescent="0.2">
      <c r="A62" s="2">
        <v>49</v>
      </c>
      <c r="B62" s="4">
        <f t="shared" si="22"/>
        <v>2.0455334935066163</v>
      </c>
      <c r="C62" s="2">
        <f t="shared" si="23"/>
        <v>-9.2642999809223435E-3</v>
      </c>
      <c r="D62" s="7">
        <f t="shared" si="24"/>
        <v>88.358552779948809</v>
      </c>
      <c r="E62" s="5">
        <f t="shared" si="25"/>
        <v>1.0378831494108895</v>
      </c>
      <c r="F62" s="2">
        <f t="shared" si="26"/>
        <v>44.839473290385236</v>
      </c>
      <c r="G62" s="2">
        <f t="shared" si="27"/>
        <v>763.29276746158325</v>
      </c>
      <c r="H62" s="2">
        <f t="shared" si="28"/>
        <v>76.105934395590438</v>
      </c>
      <c r="I62" s="2">
        <f t="shared" si="29"/>
        <v>1964.367274355782</v>
      </c>
      <c r="J62" s="5">
        <f t="shared" si="30"/>
        <v>1.6157182980218905</v>
      </c>
      <c r="K62" s="6">
        <f t="shared" si="1"/>
        <v>4529.84820245426</v>
      </c>
      <c r="M62">
        <f t="shared" si="2"/>
        <v>0.76329276746158325</v>
      </c>
      <c r="N62">
        <f t="shared" si="3"/>
        <v>59.466324088989808</v>
      </c>
      <c r="O62">
        <f t="shared" si="4"/>
        <v>196.43672743557821</v>
      </c>
    </row>
    <row r="63" spans="1:15" x14ac:dyDescent="0.2">
      <c r="A63" s="2">
        <v>50</v>
      </c>
      <c r="B63" s="4">
        <f t="shared" si="22"/>
        <v>2.0571989121959735</v>
      </c>
      <c r="C63" s="2">
        <f t="shared" si="23"/>
        <v>-9.1944910420782913E-3</v>
      </c>
      <c r="D63" s="7">
        <f t="shared" si="24"/>
        <v>90.40408627345542</v>
      </c>
      <c r="E63" s="5">
        <f t="shared" si="25"/>
        <v>1.0286188494299673</v>
      </c>
      <c r="F63" s="2">
        <f t="shared" si="26"/>
        <v>46.594050745839432</v>
      </c>
      <c r="G63" s="2">
        <f t="shared" si="27"/>
        <v>809.88681820742272</v>
      </c>
      <c r="H63" s="2">
        <f t="shared" si="28"/>
        <v>77.438976746261304</v>
      </c>
      <c r="I63" s="2">
        <f t="shared" si="29"/>
        <v>2041.8062511020432</v>
      </c>
      <c r="J63" s="5">
        <f t="shared" si="30"/>
        <v>1.615574654177879</v>
      </c>
      <c r="K63" s="6">
        <f t="shared" si="1"/>
        <v>4524.7430637288371</v>
      </c>
      <c r="M63">
        <f t="shared" si="2"/>
        <v>0.8098868182074227</v>
      </c>
      <c r="N63">
        <f t="shared" si="3"/>
        <v>58.935518799939835</v>
      </c>
      <c r="O63">
        <f t="shared" si="4"/>
        <v>204.18062511020432</v>
      </c>
    </row>
    <row r="64" spans="1:15" x14ac:dyDescent="0.2">
      <c r="A64" s="2">
        <v>51</v>
      </c>
      <c r="B64" s="4">
        <f t="shared" si="22"/>
        <v>2.0689334820725822</v>
      </c>
      <c r="C64" s="2">
        <f t="shared" si="23"/>
        <v>-9.1247038322806919E-3</v>
      </c>
      <c r="D64" s="7">
        <f t="shared" si="24"/>
        <v>92.461285185651391</v>
      </c>
      <c r="E64" s="5">
        <f t="shared" si="25"/>
        <v>1.019424358387889</v>
      </c>
      <c r="F64" s="2">
        <f t="shared" si="26"/>
        <v>48.377475142096323</v>
      </c>
      <c r="G64" s="2">
        <f t="shared" si="27"/>
        <v>858.26429334951899</v>
      </c>
      <c r="H64" s="2">
        <f t="shared" si="28"/>
        <v>78.759133850239209</v>
      </c>
      <c r="I64" s="2">
        <f t="shared" si="29"/>
        <v>2120.5653849522823</v>
      </c>
      <c r="J64" s="5">
        <f t="shared" si="30"/>
        <v>1.6154285811829883</v>
      </c>
      <c r="K64" s="6">
        <f t="shared" si="1"/>
        <v>4519.6379250034133</v>
      </c>
      <c r="M64">
        <f t="shared" si="2"/>
        <v>0.85826429334951904</v>
      </c>
      <c r="N64">
        <f t="shared" si="3"/>
        <v>58.408713268457902</v>
      </c>
      <c r="O64">
        <f t="shared" si="4"/>
        <v>212.05653849522824</v>
      </c>
    </row>
    <row r="65" spans="1:15" x14ac:dyDescent="0.2">
      <c r="A65" s="2">
        <v>52</v>
      </c>
      <c r="B65" s="4">
        <f t="shared" si="22"/>
        <v>2.0807338695482751</v>
      </c>
      <c r="C65" s="2">
        <f t="shared" si="23"/>
        <v>-9.054960927904955E-3</v>
      </c>
      <c r="D65" s="7">
        <f t="shared" si="24"/>
        <v>94.530218667723972</v>
      </c>
      <c r="E65" s="5">
        <f t="shared" si="25"/>
        <v>1.0102996545556084</v>
      </c>
      <c r="F65" s="2">
        <f t="shared" si="26"/>
        <v>50.189444191324611</v>
      </c>
      <c r="G65" s="2">
        <f t="shared" si="27"/>
        <v>908.45373754084358</v>
      </c>
      <c r="H65" s="2">
        <f t="shared" si="28"/>
        <v>80.066261557505811</v>
      </c>
      <c r="I65" s="2">
        <f t="shared" si="29"/>
        <v>2200.631646509788</v>
      </c>
      <c r="J65" s="5">
        <f t="shared" si="30"/>
        <v>1.6152801041902807</v>
      </c>
      <c r="K65" s="6">
        <f t="shared" si="1"/>
        <v>4514.5327862779905</v>
      </c>
      <c r="M65">
        <f t="shared" si="2"/>
        <v>0.90845373754084358</v>
      </c>
      <c r="N65">
        <f t="shared" si="3"/>
        <v>57.88590624956138</v>
      </c>
      <c r="O65">
        <f t="shared" si="4"/>
        <v>220.06316465097879</v>
      </c>
    </row>
    <row r="66" spans="1:15" x14ac:dyDescent="0.2">
      <c r="A66" s="2">
        <v>53</v>
      </c>
      <c r="B66" s="4">
        <f t="shared" si="22"/>
        <v>2.0925968030264839</v>
      </c>
      <c r="C66" s="2">
        <f t="shared" si="23"/>
        <v>-8.9852842228420621E-3</v>
      </c>
      <c r="D66" s="7">
        <f t="shared" si="24"/>
        <v>96.61095253727224</v>
      </c>
      <c r="E66" s="5">
        <f t="shared" si="25"/>
        <v>1.0012446936277035</v>
      </c>
      <c r="F66" s="2">
        <f t="shared" si="26"/>
        <v>52.029655908992176</v>
      </c>
      <c r="G66" s="2">
        <f t="shared" si="27"/>
        <v>960.48339344983572</v>
      </c>
      <c r="H66" s="2">
        <f t="shared" si="28"/>
        <v>81.360222296688477</v>
      </c>
      <c r="I66" s="2">
        <f t="shared" si="29"/>
        <v>2281.9918688064763</v>
      </c>
      <c r="J66" s="5">
        <f t="shared" si="30"/>
        <v>1.6151292486106676</v>
      </c>
      <c r="K66" s="6">
        <f t="shared" si="1"/>
        <v>4509.4276475525676</v>
      </c>
      <c r="M66">
        <f t="shared" si="2"/>
        <v>0.96048339344983569</v>
      </c>
      <c r="N66">
        <f t="shared" si="3"/>
        <v>57.367095204736557</v>
      </c>
      <c r="O66">
        <f t="shared" si="4"/>
        <v>228.19918688064763</v>
      </c>
    </row>
    <row r="67" spans="1:15" x14ac:dyDescent="0.2">
      <c r="A67" s="2">
        <v>54</v>
      </c>
      <c r="B67" s="4">
        <f t="shared" si="22"/>
        <v>2.104519073898155</v>
      </c>
      <c r="C67" s="2">
        <f t="shared" si="23"/>
        <v>-8.9156949242218259E-3</v>
      </c>
      <c r="D67" s="7">
        <f t="shared" si="24"/>
        <v>98.703549340298721</v>
      </c>
      <c r="E67" s="5">
        <f t="shared" si="25"/>
        <v>0.99225940940486146</v>
      </c>
      <c r="F67" s="2">
        <f t="shared" si="26"/>
        <v>53.89780877361185</v>
      </c>
      <c r="G67" s="2">
        <f t="shared" si="27"/>
        <v>1014.3812022234475</v>
      </c>
      <c r="H67" s="2">
        <f t="shared" si="28"/>
        <v>82.640884972102967</v>
      </c>
      <c r="I67" s="2">
        <f t="shared" si="29"/>
        <v>2364.6327537785792</v>
      </c>
      <c r="J67" s="5">
        <f t="shared" si="30"/>
        <v>1.6149760401001831</v>
      </c>
      <c r="K67" s="6">
        <f t="shared" si="1"/>
        <v>4504.3225088271438</v>
      </c>
      <c r="M67">
        <f t="shared" si="2"/>
        <v>1.0143812022234475</v>
      </c>
      <c r="N67">
        <f t="shared" si="3"/>
        <v>56.852276341042227</v>
      </c>
      <c r="O67">
        <f t="shared" si="4"/>
        <v>236.46327537785791</v>
      </c>
    </row>
    <row r="68" spans="1:15" x14ac:dyDescent="0.2">
      <c r="A68" s="2">
        <v>55</v>
      </c>
      <c r="B68" s="4">
        <f t="shared" si="22"/>
        <v>2.1164975373999999</v>
      </c>
      <c r="C68" s="2">
        <f t="shared" si="23"/>
        <v>-8.8462135500335989E-3</v>
      </c>
      <c r="D68" s="7">
        <f t="shared" si="24"/>
        <v>100.80806841419688</v>
      </c>
      <c r="E68" s="5">
        <f t="shared" si="25"/>
        <v>0.98334371448063962</v>
      </c>
      <c r="F68" s="2">
        <f t="shared" si="26"/>
        <v>55.793601880556622</v>
      </c>
      <c r="G68" s="2">
        <f t="shared" si="27"/>
        <v>1070.1748041040041</v>
      </c>
      <c r="H68" s="2">
        <f t="shared" si="28"/>
        <v>83.908124858275841</v>
      </c>
      <c r="I68" s="2">
        <f t="shared" si="29"/>
        <v>2448.5408786368548</v>
      </c>
      <c r="J68" s="5">
        <f t="shared" si="30"/>
        <v>1.6148205045474431</v>
      </c>
      <c r="K68" s="6">
        <f t="shared" si="1"/>
        <v>4499.2173701017209</v>
      </c>
      <c r="M68">
        <f t="shared" si="2"/>
        <v>1.0701748041040042</v>
      </c>
      <c r="N68">
        <f t="shared" si="3"/>
        <v>56.341444650458108</v>
      </c>
      <c r="O68">
        <f t="shared" si="4"/>
        <v>244.85408786368549</v>
      </c>
    </row>
    <row r="69" spans="1:15" x14ac:dyDescent="0.2">
      <c r="A69" s="2">
        <v>56</v>
      </c>
      <c r="B69" s="4">
        <f t="shared" si="22"/>
        <v>2.12852911334015</v>
      </c>
      <c r="C69" s="2">
        <f t="shared" si="23"/>
        <v>-8.7768599284960142E-3</v>
      </c>
      <c r="D69" s="7">
        <f t="shared" si="24"/>
        <v>102.92456595159688</v>
      </c>
      <c r="E69" s="5">
        <f t="shared" si="25"/>
        <v>0.97449750093060605</v>
      </c>
      <c r="F69" s="2">
        <f t="shared" si="26"/>
        <v>57.716735089960288</v>
      </c>
      <c r="G69" s="2">
        <f t="shared" si="27"/>
        <v>1127.8915391939645</v>
      </c>
      <c r="H69" s="2">
        <f t="shared" si="28"/>
        <v>85.161823492217025</v>
      </c>
      <c r="I69" s="2">
        <f t="shared" si="29"/>
        <v>2533.7027021290719</v>
      </c>
      <c r="J69" s="5">
        <f t="shared" si="30"/>
        <v>1.6146626680613265</v>
      </c>
      <c r="K69" s="6">
        <f t="shared" si="1"/>
        <v>4494.1122313762971</v>
      </c>
      <c r="M69">
        <f t="shared" si="2"/>
        <v>1.1278915391939646</v>
      </c>
      <c r="N69">
        <f t="shared" si="3"/>
        <v>55.83459394936974</v>
      </c>
      <c r="O69">
        <f t="shared" si="4"/>
        <v>253.3702702129072</v>
      </c>
    </row>
    <row r="70" spans="1:15" x14ac:dyDescent="0.2">
      <c r="A70" s="2">
        <v>57</v>
      </c>
      <c r="B70" s="4">
        <f t="shared" si="22"/>
        <v>2.1406107866964033</v>
      </c>
      <c r="C70" s="2">
        <f t="shared" si="23"/>
        <v>-8.7076531990367811E-3</v>
      </c>
      <c r="D70" s="7">
        <f t="shared" si="24"/>
        <v>105.05309506493703</v>
      </c>
      <c r="E70" s="5">
        <f t="shared" si="25"/>
        <v>0.96572064100211008</v>
      </c>
      <c r="F70" s="2">
        <f t="shared" si="26"/>
        <v>59.666909168732893</v>
      </c>
      <c r="G70" s="2">
        <f t="shared" si="27"/>
        <v>1187.5584483626974</v>
      </c>
      <c r="H70" s="2">
        <f t="shared" si="28"/>
        <v>86.401868563703843</v>
      </c>
      <c r="I70" s="2">
        <f t="shared" si="29"/>
        <v>2620.1045706927757</v>
      </c>
      <c r="J70" s="5">
        <f t="shared" si="30"/>
        <v>1.6145025569588622</v>
      </c>
      <c r="K70" s="6">
        <f t="shared" si="1"/>
        <v>4489.0070926508743</v>
      </c>
      <c r="M70">
        <f t="shared" si="2"/>
        <v>1.1875584483626973</v>
      </c>
      <c r="N70">
        <f t="shared" si="3"/>
        <v>55.331716918089427</v>
      </c>
      <c r="O70">
        <f t="shared" si="4"/>
        <v>262.01045706927755</v>
      </c>
    </row>
    <row r="71" spans="1:15" x14ac:dyDescent="0.2">
      <c r="A71" s="2">
        <v>58</v>
      </c>
      <c r="B71" s="4">
        <f t="shared" si="22"/>
        <v>2.1527396080923569</v>
      </c>
      <c r="C71" s="2">
        <f t="shared" si="23"/>
        <v>-8.6386118147523845E-3</v>
      </c>
      <c r="D71" s="7">
        <f t="shared" si="24"/>
        <v>107.19370585163342</v>
      </c>
      <c r="E71" s="5">
        <f t="shared" si="25"/>
        <v>0.95701298780307331</v>
      </c>
      <c r="F71" s="2">
        <f t="shared" si="26"/>
        <v>61.643825926732291</v>
      </c>
      <c r="G71" s="2">
        <f t="shared" si="27"/>
        <v>1249.2022742894296</v>
      </c>
      <c r="H71" s="2">
        <f t="shared" si="28"/>
        <v>87.628153803828823</v>
      </c>
      <c r="I71" s="2">
        <f t="shared" si="29"/>
        <v>2707.7327244966045</v>
      </c>
      <c r="J71" s="5">
        <f t="shared" si="30"/>
        <v>1.6143401977533303</v>
      </c>
      <c r="K71" s="6">
        <f t="shared" si="1"/>
        <v>4483.9019539254505</v>
      </c>
      <c r="M71">
        <f t="shared" si="2"/>
        <v>1.2492022742894295</v>
      </c>
      <c r="N71">
        <f t="shared" si="3"/>
        <v>54.832805140321028</v>
      </c>
      <c r="O71">
        <f t="shared" si="4"/>
        <v>270.77327244966045</v>
      </c>
    </row>
    <row r="72" spans="1:15" x14ac:dyDescent="0.2">
      <c r="A72" s="2">
        <v>59</v>
      </c>
      <c r="B72" s="4">
        <f t="shared" si="22"/>
        <v>2.1649126941566985</v>
      </c>
      <c r="C72" s="2">
        <f t="shared" si="23"/>
        <v>-8.5697535462255035E-3</v>
      </c>
      <c r="D72" s="7">
        <f t="shared" si="24"/>
        <v>109.34644545972579</v>
      </c>
      <c r="E72" s="5">
        <f t="shared" si="25"/>
        <v>0.94837437598832097</v>
      </c>
      <c r="F72" s="2">
        <f t="shared" si="26"/>
        <v>63.647188347144883</v>
      </c>
      <c r="G72" s="2">
        <f t="shared" si="27"/>
        <v>1312.8494626365746</v>
      </c>
      <c r="H72" s="2">
        <f t="shared" si="28"/>
        <v>88.840578872053868</v>
      </c>
      <c r="I72" s="2">
        <f t="shared" si="29"/>
        <v>2796.5733033686583</v>
      </c>
      <c r="J72" s="5">
        <f t="shared" si="30"/>
        <v>1.6141756171425934</v>
      </c>
      <c r="K72" s="6">
        <f t="shared" si="1"/>
        <v>4478.7968152000276</v>
      </c>
      <c r="M72">
        <f t="shared" si="2"/>
        <v>1.3128494626365745</v>
      </c>
      <c r="N72">
        <f t="shared" si="3"/>
        <v>54.337849142483869</v>
      </c>
      <c r="O72">
        <f t="shared" si="4"/>
        <v>279.65733033686581</v>
      </c>
    </row>
    <row r="73" spans="1:15" x14ac:dyDescent="0.2">
      <c r="A73" s="2">
        <v>60</v>
      </c>
      <c r="B73" s="4">
        <f t="shared" si="22"/>
        <v>2.1771272277710523</v>
      </c>
      <c r="C73" s="2">
        <f t="shared" si="23"/>
        <v>-8.5010954865851127E-3</v>
      </c>
      <c r="D73" s="7">
        <f t="shared" si="24"/>
        <v>111.51135815388248</v>
      </c>
      <c r="E73" s="5">
        <f t="shared" si="25"/>
        <v>0.93980462244209551</v>
      </c>
      <c r="F73" s="2">
        <f t="shared" si="26"/>
        <v>65.676700711138608</v>
      </c>
      <c r="G73" s="2">
        <f t="shared" si="27"/>
        <v>1378.5261633477132</v>
      </c>
      <c r="H73" s="2">
        <f t="shared" si="28"/>
        <v>90.039049242004637</v>
      </c>
      <c r="I73" s="2">
        <f t="shared" si="29"/>
        <v>2886.612352610663</v>
      </c>
      <c r="J73" s="5">
        <f t="shared" si="30"/>
        <v>1.6140088419976346</v>
      </c>
      <c r="K73" s="6">
        <f t="shared" si="1"/>
        <v>4473.6916764746038</v>
      </c>
      <c r="M73">
        <f t="shared" si="2"/>
        <v>1.3785261633477133</v>
      </c>
      <c r="N73">
        <f t="shared" si="3"/>
        <v>53.846838432817883</v>
      </c>
      <c r="O73">
        <f t="shared" si="4"/>
        <v>288.66123526106628</v>
      </c>
    </row>
    <row r="74" spans="1:15" x14ac:dyDescent="0.2">
      <c r="A74" s="2">
        <v>61</v>
      </c>
      <c r="B74" s="4">
        <f t="shared" si="22"/>
        <v>2.1893804582116649</v>
      </c>
      <c r="C74" s="2">
        <f t="shared" si="23"/>
        <v>-8.4326540577011264E-3</v>
      </c>
      <c r="D74" s="7">
        <f t="shared" si="24"/>
        <v>113.68848538165354</v>
      </c>
      <c r="E74" s="5">
        <f t="shared" si="25"/>
        <v>0.93130352695551044</v>
      </c>
      <c r="F74" s="2">
        <f t="shared" si="26"/>
        <v>67.732068716860596</v>
      </c>
      <c r="G74" s="2">
        <f t="shared" si="27"/>
        <v>1446.2582320645738</v>
      </c>
      <c r="H74" s="2">
        <f t="shared" si="28"/>
        <v>91.223476086228288</v>
      </c>
      <c r="I74" s="2">
        <f t="shared" si="29"/>
        <v>2977.8358286968914</v>
      </c>
      <c r="J74" s="5">
        <f t="shared" si="30"/>
        <v>1.6138398993513312</v>
      </c>
      <c r="K74" s="6">
        <f t="shared" si="1"/>
        <v>4468.5865377491809</v>
      </c>
      <c r="M74">
        <f t="shared" si="2"/>
        <v>1.4462582320645738</v>
      </c>
      <c r="N74">
        <f t="shared" si="3"/>
        <v>53.359761540198846</v>
      </c>
      <c r="O74">
        <f t="shared" si="4"/>
        <v>297.78358286968916</v>
      </c>
    </row>
    <row r="75" spans="1:15" x14ac:dyDescent="0.2">
      <c r="A75" s="2">
        <v>62</v>
      </c>
      <c r="B75" s="4">
        <f t="shared" si="22"/>
        <v>2.2016697011903021</v>
      </c>
      <c r="C75" s="2">
        <f t="shared" si="23"/>
        <v>-8.3644450174116119E-3</v>
      </c>
      <c r="D75" s="7">
        <f t="shared" si="24"/>
        <v>115.87786583986519</v>
      </c>
      <c r="E75" s="5">
        <f t="shared" si="25"/>
        <v>0.92287087289780934</v>
      </c>
      <c r="F75" s="2">
        <f t="shared" si="26"/>
        <v>69.812999592861033</v>
      </c>
      <c r="G75" s="2">
        <f t="shared" si="27"/>
        <v>1516.0712316574347</v>
      </c>
      <c r="H75" s="2">
        <f t="shared" si="28"/>
        <v>92.393776160128937</v>
      </c>
      <c r="I75" s="2">
        <f t="shared" si="29"/>
        <v>3070.2296048570206</v>
      </c>
      <c r="J75" s="5">
        <f t="shared" si="30"/>
        <v>1.6136688163874537</v>
      </c>
      <c r="K75" s="6">
        <f t="shared" si="1"/>
        <v>4463.4813990237581</v>
      </c>
      <c r="M75">
        <f t="shared" si="2"/>
        <v>1.5160712316574347</v>
      </c>
      <c r="N75">
        <f t="shared" si="3"/>
        <v>52.876606052598703</v>
      </c>
      <c r="O75">
        <f t="shared" si="4"/>
        <v>307.02296048570207</v>
      </c>
    </row>
    <row r="76" spans="1:15" x14ac:dyDescent="0.2">
      <c r="A76" s="2">
        <v>63</v>
      </c>
      <c r="B76" s="4">
        <f t="shared" si="22"/>
        <v>2.2139923387996157</v>
      </c>
      <c r="C76" s="2">
        <f t="shared" si="23"/>
        <v>-8.2964834676864697E-3</v>
      </c>
      <c r="D76" s="7">
        <f t="shared" si="24"/>
        <v>118.07953554105549</v>
      </c>
      <c r="E76" s="5">
        <f t="shared" si="25"/>
        <v>0.91450642788039771</v>
      </c>
      <c r="F76" s="2">
        <f t="shared" si="26"/>
        <v>71.919202206031471</v>
      </c>
      <c r="G76" s="2">
        <f t="shared" si="27"/>
        <v>1587.9904338634663</v>
      </c>
      <c r="H76" s="2">
        <f t="shared" si="28"/>
        <v>93.549871685285055</v>
      </c>
      <c r="I76" s="2">
        <f t="shared" si="29"/>
        <v>3163.7794765423055</v>
      </c>
      <c r="J76" s="5">
        <f t="shared" si="30"/>
        <v>1.6134956204298854</v>
      </c>
      <c r="K76" s="6">
        <f t="shared" si="1"/>
        <v>4458.3762602983343</v>
      </c>
      <c r="M76">
        <f t="shared" si="2"/>
        <v>1.5879904338634663</v>
      </c>
      <c r="N76">
        <f t="shared" si="3"/>
        <v>52.397358655131789</v>
      </c>
      <c r="O76">
        <f t="shared" si="4"/>
        <v>316.37794765423052</v>
      </c>
    </row>
    <row r="77" spans="1:15" x14ac:dyDescent="0.2">
      <c r="A77" s="2">
        <v>64</v>
      </c>
      <c r="B77" s="4">
        <f t="shared" si="22"/>
        <v>2.2263458193682029</v>
      </c>
      <c r="C77" s="2">
        <f t="shared" si="23"/>
        <v>-8.2287838636370611E-3</v>
      </c>
      <c r="D77" s="7">
        <f t="shared" si="24"/>
        <v>120.29352787985511</v>
      </c>
      <c r="E77" s="5">
        <f t="shared" si="25"/>
        <v>0.90620994441271119</v>
      </c>
      <c r="F77" s="2">
        <f t="shared" si="26"/>
        <v>74.050387164154003</v>
      </c>
      <c r="G77" s="2">
        <f t="shared" si="27"/>
        <v>1662.0408210276203</v>
      </c>
      <c r="H77" s="2">
        <f t="shared" si="28"/>
        <v>94.691690232343106</v>
      </c>
      <c r="I77" s="2">
        <f t="shared" si="29"/>
        <v>3258.4711667746487</v>
      </c>
      <c r="J77" s="5">
        <f t="shared" si="30"/>
        <v>1.6133203389320814</v>
      </c>
      <c r="K77" s="6">
        <f t="shared" si="1"/>
        <v>4453.2711215729114</v>
      </c>
      <c r="M77">
        <f t="shared" si="2"/>
        <v>1.6620408210276203</v>
      </c>
      <c r="N77">
        <f t="shared" si="3"/>
        <v>51.922005167633287</v>
      </c>
      <c r="O77">
        <f t="shared" si="4"/>
        <v>325.8471166774649</v>
      </c>
    </row>
    <row r="78" spans="1:15" x14ac:dyDescent="0.2">
      <c r="A78" s="2">
        <v>65</v>
      </c>
      <c r="B78" s="4">
        <f t="shared" si="22"/>
        <v>2.2387276572305481</v>
      </c>
      <c r="C78" s="2">
        <f t="shared" si="23"/>
        <v>-8.1613600232863775E-3</v>
      </c>
      <c r="D78" s="7">
        <f t="shared" si="24"/>
        <v>122.51987369922331</v>
      </c>
      <c r="E78" s="5">
        <f t="shared" si="25"/>
        <v>0.89798116054907418</v>
      </c>
      <c r="F78" s="2">
        <f t="shared" si="26"/>
        <v>76.206266913162949</v>
      </c>
      <c r="G78" s="2">
        <f t="shared" si="27"/>
        <v>1738.2470879407833</v>
      </c>
      <c r="H78" s="2">
        <f t="shared" si="28"/>
        <v>95.819164603672746</v>
      </c>
      <c r="I78" s="2">
        <f t="shared" si="29"/>
        <v>3354.2903313783213</v>
      </c>
      <c r="J78" s="5">
        <f t="shared" si="30"/>
        <v>1.613142999466747</v>
      </c>
      <c r="K78" s="6">
        <f t="shared" ref="K78:K141" si="31">$B$1-($B$7*A78)</f>
        <v>4448.1659828474876</v>
      </c>
      <c r="M78">
        <f t="shared" ref="M78:M141" si="32">G78/1000</f>
        <v>1.7382470879407834</v>
      </c>
      <c r="N78">
        <f t="shared" ref="N78:N141" si="33">E78*180/PI()</f>
        <v>51.45053058172153</v>
      </c>
      <c r="O78">
        <f t="shared" ref="O78:O141" si="34">I78/10</f>
        <v>335.42903313783211</v>
      </c>
    </row>
    <row r="79" spans="1:15" x14ac:dyDescent="0.2">
      <c r="A79" s="2">
        <v>66</v>
      </c>
      <c r="B79" s="4">
        <f t="shared" si="22"/>
        <v>2.2511354324168797</v>
      </c>
      <c r="C79" s="2">
        <f t="shared" si="23"/>
        <v>-8.0942251380193772E-3</v>
      </c>
      <c r="D79" s="7">
        <f t="shared" si="24"/>
        <v>124.75860135645385</v>
      </c>
      <c r="E79" s="5">
        <f t="shared" si="25"/>
        <v>0.8898198005257878</v>
      </c>
      <c r="F79" s="2">
        <f t="shared" si="26"/>
        <v>78.386555829226324</v>
      </c>
      <c r="G79" s="2">
        <f t="shared" si="27"/>
        <v>1816.6336437700097</v>
      </c>
      <c r="H79" s="2">
        <f t="shared" si="28"/>
        <v>96.932232715958534</v>
      </c>
      <c r="I79" s="2">
        <f t="shared" si="29"/>
        <v>3451.2225640942797</v>
      </c>
      <c r="J79" s="5">
        <f t="shared" si="30"/>
        <v>1.6129636297157537</v>
      </c>
      <c r="K79" s="6">
        <f t="shared" si="31"/>
        <v>4443.0608441220647</v>
      </c>
      <c r="M79">
        <f t="shared" si="32"/>
        <v>1.8166336437700097</v>
      </c>
      <c r="N79">
        <f t="shared" si="33"/>
        <v>50.982919097300424</v>
      </c>
      <c r="O79">
        <f t="shared" si="34"/>
        <v>345.12225640942796</v>
      </c>
    </row>
    <row r="80" spans="1:15" x14ac:dyDescent="0.2">
      <c r="A80" s="2">
        <v>67</v>
      </c>
      <c r="B80" s="4">
        <f t="shared" si="22"/>
        <v>2.2635667902679453</v>
      </c>
      <c r="C80" s="2">
        <f t="shared" si="23"/>
        <v>-8.0273917836377433E-3</v>
      </c>
      <c r="D80" s="7">
        <f t="shared" si="24"/>
        <v>127.00973678887073</v>
      </c>
      <c r="E80" s="5">
        <f t="shared" si="25"/>
        <v>0.88172557538776841</v>
      </c>
      <c r="F80" s="2">
        <f t="shared" si="26"/>
        <v>80.590970305759754</v>
      </c>
      <c r="G80" s="2">
        <f t="shared" si="27"/>
        <v>1897.2246140757695</v>
      </c>
      <c r="H80" s="2">
        <f t="shared" si="28"/>
        <v>98.030837482894299</v>
      </c>
      <c r="I80" s="2">
        <f t="shared" si="29"/>
        <v>3549.2534015771739</v>
      </c>
      <c r="J80" s="5">
        <f t="shared" si="30"/>
        <v>1.612782257460283</v>
      </c>
      <c r="K80" s="6">
        <f t="shared" si="31"/>
        <v>4437.9557053966419</v>
      </c>
      <c r="M80">
        <f t="shared" si="32"/>
        <v>1.8972246140757696</v>
      </c>
      <c r="N80">
        <f t="shared" si="33"/>
        <v>50.519154158463223</v>
      </c>
      <c r="O80">
        <f t="shared" si="34"/>
        <v>354.92534015771741</v>
      </c>
    </row>
    <row r="81" spans="1:15" x14ac:dyDescent="0.2">
      <c r="A81" s="2">
        <v>68</v>
      </c>
      <c r="B81" s="4">
        <f t="shared" si="22"/>
        <v>2.2760194409795567</v>
      </c>
      <c r="C81" s="2">
        <f t="shared" si="23"/>
        <v>-7.9608719319478206E-3</v>
      </c>
      <c r="D81" s="7">
        <f t="shared" si="24"/>
        <v>129.27330357913868</v>
      </c>
      <c r="E81" s="5">
        <f t="shared" si="25"/>
        <v>0.87369818360413065</v>
      </c>
      <c r="F81" s="2">
        <f t="shared" si="26"/>
        <v>82.819228835488843</v>
      </c>
      <c r="G81" s="2">
        <f t="shared" si="27"/>
        <v>1980.0438429112583</v>
      </c>
      <c r="H81" s="2">
        <f t="shared" si="28"/>
        <v>99.114926698136642</v>
      </c>
      <c r="I81" s="2">
        <f t="shared" si="29"/>
        <v>3648.3683282753104</v>
      </c>
      <c r="J81" s="5">
        <f t="shared" si="30"/>
        <v>1.612598910571198</v>
      </c>
      <c r="K81" s="6">
        <f t="shared" si="31"/>
        <v>4432.8505666712181</v>
      </c>
      <c r="M81">
        <f t="shared" si="32"/>
        <v>1.9800438429112583</v>
      </c>
      <c r="N81">
        <f t="shared" si="33"/>
        <v>50.059218488762781</v>
      </c>
      <c r="O81">
        <f t="shared" si="34"/>
        <v>364.83683282753105</v>
      </c>
    </row>
    <row r="82" spans="1:15" x14ac:dyDescent="0.2">
      <c r="A82" s="2">
        <v>69</v>
      </c>
      <c r="B82" s="4">
        <f t="shared" si="22"/>
        <v>2.288491159081647</v>
      </c>
      <c r="C82" s="2">
        <f t="shared" si="23"/>
        <v>-7.8946769628147583E-3</v>
      </c>
      <c r="D82" s="7">
        <f t="shared" si="24"/>
        <v>131.54932302011824</v>
      </c>
      <c r="E82" s="5">
        <f t="shared" si="25"/>
        <v>0.86573731167218282</v>
      </c>
      <c r="F82" s="2">
        <f t="shared" si="26"/>
        <v>85.071052087679817</v>
      </c>
      <c r="G82" s="2">
        <f t="shared" si="27"/>
        <v>2065.1148949989379</v>
      </c>
      <c r="H82" s="2">
        <f t="shared" si="28"/>
        <v>100.18445291866473</v>
      </c>
      <c r="I82" s="2">
        <f t="shared" si="29"/>
        <v>3748.5527811939751</v>
      </c>
      <c r="J82" s="5">
        <f t="shared" si="30"/>
        <v>1.6124136169996468</v>
      </c>
      <c r="K82" s="6">
        <f t="shared" si="31"/>
        <v>4427.7454279457952</v>
      </c>
      <c r="M82">
        <f t="shared" si="32"/>
        <v>2.065114894998938</v>
      </c>
      <c r="N82">
        <f t="shared" si="33"/>
        <v>49.603094125818018</v>
      </c>
      <c r="O82">
        <f t="shared" si="34"/>
        <v>374.8552781193975</v>
      </c>
    </row>
    <row r="83" spans="1:15" x14ac:dyDescent="0.2">
      <c r="A83" s="2">
        <v>70</v>
      </c>
      <c r="B83" s="4">
        <f t="shared" si="22"/>
        <v>2.3009797828564782</v>
      </c>
      <c r="C83" s="2">
        <f t="shared" si="23"/>
        <v>-7.8288176766199754E-3</v>
      </c>
      <c r="D83" s="7">
        <f t="shared" si="24"/>
        <v>133.83781417919988</v>
      </c>
      <c r="E83" s="5">
        <f t="shared" si="25"/>
        <v>0.85784263470936806</v>
      </c>
      <c r="F83" s="2">
        <f t="shared" si="26"/>
        <v>87.346162980661674</v>
      </c>
      <c r="G83" s="2">
        <f t="shared" si="27"/>
        <v>2152.4610579795994</v>
      </c>
      <c r="H83" s="2">
        <f t="shared" si="28"/>
        <v>101.2393733486856</v>
      </c>
      <c r="I83" s="2">
        <f t="shared" si="29"/>
        <v>3849.7921545426607</v>
      </c>
      <c r="J83" s="5">
        <f t="shared" si="30"/>
        <v>1.612226404767896</v>
      </c>
      <c r="K83" s="6">
        <f t="shared" si="31"/>
        <v>4422.6402892203714</v>
      </c>
      <c r="M83">
        <f t="shared" si="32"/>
        <v>2.1524610579795995</v>
      </c>
      <c r="N83">
        <f t="shared" si="33"/>
        <v>49.150762455229575</v>
      </c>
      <c r="O83">
        <f t="shared" si="34"/>
        <v>384.97921545426607</v>
      </c>
    </row>
    <row r="84" spans="1:15" x14ac:dyDescent="0.2">
      <c r="A84" s="2">
        <v>71</v>
      </c>
      <c r="B84" s="4">
        <f t="shared" si="22"/>
        <v>2.3134832137004659</v>
      </c>
      <c r="C84" s="2">
        <f t="shared" si="23"/>
        <v>-7.7633043070629102E-3</v>
      </c>
      <c r="D84" s="7">
        <f t="shared" si="24"/>
        <v>136.13879396205635</v>
      </c>
      <c r="E84" s="5">
        <f t="shared" si="25"/>
        <v>0.85001381703274803</v>
      </c>
      <c r="F84" s="2">
        <f t="shared" si="26"/>
        <v>89.644286749764476</v>
      </c>
      <c r="G84" s="2">
        <f t="shared" si="27"/>
        <v>2242.1053447293639</v>
      </c>
      <c r="H84" s="2">
        <f t="shared" si="28"/>
        <v>102.27964972421346</v>
      </c>
      <c r="I84" s="2">
        <f t="shared" si="29"/>
        <v>3952.0718042668741</v>
      </c>
      <c r="J84" s="5">
        <f t="shared" si="30"/>
        <v>1.612037301960384</v>
      </c>
      <c r="K84" s="6">
        <f t="shared" si="31"/>
        <v>4417.5351504949485</v>
      </c>
      <c r="M84">
        <f t="shared" si="32"/>
        <v>2.2421053447293637</v>
      </c>
      <c r="N84">
        <f t="shared" si="33"/>
        <v>48.702204243781836</v>
      </c>
      <c r="O84">
        <f t="shared" si="34"/>
        <v>395.20718042668739</v>
      </c>
    </row>
    <row r="85" spans="1:15" x14ac:dyDescent="0.2">
      <c r="A85" s="2">
        <v>72</v>
      </c>
      <c r="B85" s="4">
        <f t="shared" si="22"/>
        <v>2.32599941543398</v>
      </c>
      <c r="C85" s="2">
        <f t="shared" si="23"/>
        <v>-7.6981465342519173E-3</v>
      </c>
      <c r="D85" s="7">
        <f t="shared" si="24"/>
        <v>138.45227717575682</v>
      </c>
      <c r="E85" s="5">
        <f t="shared" si="25"/>
        <v>0.84225051272568507</v>
      </c>
      <c r="F85" s="2">
        <f t="shared" si="26"/>
        <v>91.96515101080179</v>
      </c>
      <c r="G85" s="2">
        <f t="shared" si="27"/>
        <v>2334.0704957401658</v>
      </c>
      <c r="H85" s="2">
        <f t="shared" si="28"/>
        <v>103.3052481984454</v>
      </c>
      <c r="I85" s="2">
        <f t="shared" si="29"/>
        <v>4055.3770524653196</v>
      </c>
      <c r="J85" s="5">
        <f t="shared" si="30"/>
        <v>1.6118463367150124</v>
      </c>
      <c r="K85" s="6">
        <f t="shared" si="31"/>
        <v>4412.4300117695248</v>
      </c>
      <c r="M85">
        <f t="shared" si="32"/>
        <v>2.3340704957401659</v>
      </c>
      <c r="N85">
        <f t="shared" si="33"/>
        <v>48.257399671911386</v>
      </c>
      <c r="O85">
        <f t="shared" si="34"/>
        <v>405.53770524653197</v>
      </c>
    </row>
    <row r="86" spans="1:15" x14ac:dyDescent="0.2">
      <c r="A86" s="2">
        <v>73</v>
      </c>
      <c r="B86" s="4">
        <f t="shared" si="22"/>
        <v>2.3385264135633155</v>
      </c>
      <c r="C86" s="2">
        <f t="shared" si="23"/>
        <v>-7.6333534980324988E-3</v>
      </c>
      <c r="D86" s="7">
        <f t="shared" si="24"/>
        <v>140.7782765911908</v>
      </c>
      <c r="E86" s="5">
        <f t="shared" si="25"/>
        <v>0.83455236619143314</v>
      </c>
      <c r="F86" s="2">
        <f t="shared" si="26"/>
        <v>94.3084858192247</v>
      </c>
      <c r="G86" s="2">
        <f t="shared" si="27"/>
        <v>2428.3789815593905</v>
      </c>
      <c r="H86" s="2">
        <f t="shared" si="28"/>
        <v>104.31613922804542</v>
      </c>
      <c r="I86" s="2">
        <f t="shared" si="29"/>
        <v>4159.6931916933654</v>
      </c>
      <c r="J86" s="5">
        <f t="shared" si="30"/>
        <v>1.6116535372146505</v>
      </c>
      <c r="K86" s="6">
        <f t="shared" si="31"/>
        <v>4407.3248730441019</v>
      </c>
      <c r="M86">
        <f t="shared" si="32"/>
        <v>2.4283789815593906</v>
      </c>
      <c r="N86">
        <f t="shared" si="33"/>
        <v>47.816328365425491</v>
      </c>
      <c r="O86">
        <f t="shared" si="34"/>
        <v>415.96931916933653</v>
      </c>
    </row>
    <row r="87" spans="1:15" x14ac:dyDescent="0.2">
      <c r="A87" s="2">
        <v>74</v>
      </c>
      <c r="B87" s="4">
        <f t="shared" si="22"/>
        <v>2.3510622944988984</v>
      </c>
      <c r="C87" s="2">
        <f t="shared" si="23"/>
        <v>-7.5689338115047348E-3</v>
      </c>
      <c r="D87" s="7">
        <f t="shared" si="24"/>
        <v>143.11680300475413</v>
      </c>
      <c r="E87" s="5">
        <f t="shared" si="25"/>
        <v>0.82691901269340062</v>
      </c>
      <c r="F87" s="2">
        <f t="shared" si="26"/>
        <v>96.674023725078342</v>
      </c>
      <c r="G87" s="2">
        <f t="shared" si="27"/>
        <v>2525.0530052844688</v>
      </c>
      <c r="H87" s="2">
        <f t="shared" si="28"/>
        <v>105.31229746044188</v>
      </c>
      <c r="I87" s="2">
        <f t="shared" si="29"/>
        <v>4265.0054891538075</v>
      </c>
      <c r="J87" s="5">
        <f t="shared" si="30"/>
        <v>1.611458931678867</v>
      </c>
      <c r="K87" s="6">
        <f t="shared" si="31"/>
        <v>4402.219734318679</v>
      </c>
      <c r="M87">
        <f t="shared" si="32"/>
        <v>2.5250530052844686</v>
      </c>
      <c r="N87">
        <f t="shared" si="33"/>
        <v>47.378969426456806</v>
      </c>
      <c r="O87">
        <f t="shared" si="34"/>
        <v>426.50054891538076</v>
      </c>
    </row>
    <row r="88" spans="1:15" x14ac:dyDescent="0.2">
      <c r="A88" s="2">
        <v>75</v>
      </c>
      <c r="B88" s="4">
        <f t="shared" si="22"/>
        <v>2.3636052047336178</v>
      </c>
      <c r="C88" s="2">
        <f t="shared" si="23"/>
        <v>-7.5048955746849482E-3</v>
      </c>
      <c r="D88" s="7">
        <f t="shared" si="24"/>
        <v>145.46786529925302</v>
      </c>
      <c r="E88" s="5">
        <f t="shared" si="25"/>
        <v>0.81935007888189593</v>
      </c>
      <c r="F88" s="2">
        <f t="shared" si="26"/>
        <v>99.061499823889704</v>
      </c>
      <c r="G88" s="2">
        <f t="shared" si="27"/>
        <v>2624.1145051083586</v>
      </c>
      <c r="H88" s="2">
        <f t="shared" si="28"/>
        <v>106.29370162223559</v>
      </c>
      <c r="I88" s="2">
        <f t="shared" si="29"/>
        <v>4371.2991907760434</v>
      </c>
      <c r="J88" s="5">
        <f t="shared" si="30"/>
        <v>1.6112625483558864</v>
      </c>
      <c r="K88" s="6">
        <f t="shared" si="31"/>
        <v>4397.1145955932552</v>
      </c>
      <c r="M88">
        <f t="shared" si="32"/>
        <v>2.6241145051083588</v>
      </c>
      <c r="N88">
        <f t="shared" si="33"/>
        <v>46.945301463643723</v>
      </c>
      <c r="O88">
        <f t="shared" si="34"/>
        <v>437.12991907760431</v>
      </c>
    </row>
    <row r="89" spans="1:15" x14ac:dyDescent="0.2">
      <c r="A89" s="2">
        <v>76</v>
      </c>
      <c r="B89" s="4">
        <f t="shared" si="22"/>
        <v>2.3761533499850458</v>
      </c>
      <c r="C89" s="2">
        <f t="shared" si="23"/>
        <v>-7.4412463882696962E-3</v>
      </c>
      <c r="D89" s="7">
        <f t="shared" si="24"/>
        <v>147.83147050398665</v>
      </c>
      <c r="E89" s="5">
        <f t="shared" si="25"/>
        <v>0.811845183307211</v>
      </c>
      <c r="F89" s="2">
        <f t="shared" si="26"/>
        <v>101.47065180361867</v>
      </c>
      <c r="G89" s="2">
        <f t="shared" si="27"/>
        <v>2725.5851569119773</v>
      </c>
      <c r="H89" s="2">
        <f t="shared" si="28"/>
        <v>107.26033440880742</v>
      </c>
      <c r="I89" s="2">
        <f t="shared" si="29"/>
        <v>4478.5595251848508</v>
      </c>
      <c r="J89" s="5">
        <f t="shared" si="30"/>
        <v>1.6110644155147555</v>
      </c>
      <c r="K89" s="6">
        <f t="shared" si="31"/>
        <v>4392.0094568678323</v>
      </c>
      <c r="M89">
        <f t="shared" si="32"/>
        <v>2.7255851569119773</v>
      </c>
      <c r="N89">
        <f t="shared" si="33"/>
        <v>46.515302621527866</v>
      </c>
      <c r="O89">
        <f t="shared" si="34"/>
        <v>447.85595251848508</v>
      </c>
    </row>
    <row r="90" spans="1:15" x14ac:dyDescent="0.2">
      <c r="A90" s="2">
        <v>77</v>
      </c>
      <c r="B90" s="4">
        <f t="shared" ref="B90:B153" si="35">(($B$5/K90)-(J90*SIN(E90)))</f>
        <v>2.3887049943051371</v>
      </c>
      <c r="C90" s="2">
        <f t="shared" ref="C90:C153" si="36">-((J90/D90)-(D90/(1740000+(I90))))*COS(E90)</f>
        <v>-7.3779933674633959E-3</v>
      </c>
      <c r="D90" s="7">
        <f t="shared" ref="D90:D153" si="37">D89+B89</f>
        <v>150.20762385397171</v>
      </c>
      <c r="E90" s="5">
        <f t="shared" ref="E90:E153" si="38">E89+C89</f>
        <v>0.8044039369189413</v>
      </c>
      <c r="F90" s="2">
        <f t="shared" ref="F90:F153" si="39">((1740000/(1740000+(I90)))*D90*COS(E90))</f>
        <v>103.90121998780081</v>
      </c>
      <c r="G90" s="2">
        <f t="shared" ref="G90:G153" si="40">(F90 + G89)</f>
        <v>2829.486376899778</v>
      </c>
      <c r="H90" s="2">
        <f t="shared" ref="H90:H153" si="41">D90*SIN(E90)</f>
        <v>108.21218237520795</v>
      </c>
      <c r="I90" s="2">
        <f t="shared" ref="I90:I153" si="42">(H90+I89)</f>
        <v>4586.7717075600585</v>
      </c>
      <c r="J90" s="5">
        <f t="shared" ref="J90:J153" si="43">((1.619368477)/(1+(I90/1740000))^2)</f>
        <v>1.6108645614377355</v>
      </c>
      <c r="K90" s="6">
        <f t="shared" si="31"/>
        <v>4386.9043181424086</v>
      </c>
      <c r="M90">
        <f t="shared" si="32"/>
        <v>2.8294863768997778</v>
      </c>
      <c r="N90">
        <f t="shared" si="33"/>
        <v>46.088950609163049</v>
      </c>
      <c r="O90">
        <f t="shared" si="34"/>
        <v>458.67717075600586</v>
      </c>
    </row>
    <row r="91" spans="1:15" x14ac:dyDescent="0.2">
      <c r="A91" s="2">
        <v>78</v>
      </c>
      <c r="B91" s="4">
        <f t="shared" si="35"/>
        <v>2.4012584591608501</v>
      </c>
      <c r="C91" s="2">
        <f t="shared" si="36"/>
        <v>-7.3151431558334864E-3</v>
      </c>
      <c r="D91" s="7">
        <f t="shared" si="37"/>
        <v>152.59632884827684</v>
      </c>
      <c r="E91" s="5">
        <f t="shared" si="38"/>
        <v>0.79702594355147793</v>
      </c>
      <c r="F91" s="2">
        <f t="shared" si="39"/>
        <v>106.35294737501329</v>
      </c>
      <c r="G91" s="2">
        <f t="shared" si="40"/>
        <v>2935.8393242747911</v>
      </c>
      <c r="H91" s="2">
        <f t="shared" si="41"/>
        <v>109.14923582840427</v>
      </c>
      <c r="I91" s="2">
        <f t="shared" si="42"/>
        <v>4695.9209433884625</v>
      </c>
      <c r="J91" s="5">
        <f t="shared" si="43"/>
        <v>1.6106630144128979</v>
      </c>
      <c r="K91" s="6">
        <f t="shared" si="31"/>
        <v>4381.7991794169857</v>
      </c>
      <c r="M91">
        <f t="shared" si="32"/>
        <v>2.9358393242747911</v>
      </c>
      <c r="N91">
        <f t="shared" si="33"/>
        <v>45.666222727931881</v>
      </c>
      <c r="O91">
        <f t="shared" si="34"/>
        <v>469.59209433884627</v>
      </c>
    </row>
    <row r="92" spans="1:15" x14ac:dyDescent="0.2">
      <c r="A92" s="2">
        <v>79</v>
      </c>
      <c r="B92" s="4">
        <f t="shared" si="35"/>
        <v>2.4138121224889906</v>
      </c>
      <c r="C92" s="2">
        <f t="shared" si="36"/>
        <v>-7.2527019391600382E-3</v>
      </c>
      <c r="D92" s="7">
        <f t="shared" si="37"/>
        <v>154.9975873074377</v>
      </c>
      <c r="E92" s="5">
        <f t="shared" si="38"/>
        <v>0.78971080039564445</v>
      </c>
      <c r="F92" s="2">
        <f t="shared" si="39"/>
        <v>108.82557967479173</v>
      </c>
      <c r="G92" s="2">
        <f t="shared" si="40"/>
        <v>3044.6649039495828</v>
      </c>
      <c r="H92" s="2">
        <f t="shared" si="41"/>
        <v>110.07148872095206</v>
      </c>
      <c r="I92" s="2">
        <f t="shared" si="42"/>
        <v>4805.9924321094149</v>
      </c>
      <c r="J92" s="5">
        <f t="shared" si="43"/>
        <v>1.6104598027269417</v>
      </c>
      <c r="K92" s="6">
        <f t="shared" si="31"/>
        <v>4376.6940406915619</v>
      </c>
      <c r="M92">
        <f t="shared" si="32"/>
        <v>3.0446649039495828</v>
      </c>
      <c r="N92">
        <f t="shared" si="33"/>
        <v>45.247095898568602</v>
      </c>
      <c r="O92">
        <f t="shared" si="34"/>
        <v>480.59924321094149</v>
      </c>
    </row>
    <row r="93" spans="1:15" x14ac:dyDescent="0.2">
      <c r="A93" s="2">
        <v>80</v>
      </c>
      <c r="B93" s="4">
        <f t="shared" si="35"/>
        <v>2.4263644177283936</v>
      </c>
      <c r="C93" s="2">
        <f t="shared" si="36"/>
        <v>-7.1906754592490785E-3</v>
      </c>
      <c r="D93" s="7">
        <f t="shared" si="37"/>
        <v>157.41139942992669</v>
      </c>
      <c r="E93" s="5">
        <f t="shared" si="38"/>
        <v>0.7824580984564844</v>
      </c>
      <c r="F93" s="2">
        <f t="shared" si="39"/>
        <v>111.31886534012649</v>
      </c>
      <c r="G93" s="2">
        <f t="shared" si="40"/>
        <v>3155.9837692897095</v>
      </c>
      <c r="H93" s="2">
        <f t="shared" si="41"/>
        <v>110.97893854615513</v>
      </c>
      <c r="I93" s="2">
        <f t="shared" si="42"/>
        <v>4916.9713706555704</v>
      </c>
      <c r="J93" s="5">
        <f t="shared" si="43"/>
        <v>1.6102549546582088</v>
      </c>
      <c r="K93" s="6">
        <f t="shared" si="31"/>
        <v>4371.588901966139</v>
      </c>
      <c r="M93">
        <f t="shared" si="32"/>
        <v>3.1559837692897093</v>
      </c>
      <c r="N93">
        <f t="shared" si="33"/>
        <v>44.831546687388389</v>
      </c>
      <c r="O93">
        <f t="shared" si="34"/>
        <v>491.69713706555706</v>
      </c>
    </row>
    <row r="94" spans="1:15" x14ac:dyDescent="0.2">
      <c r="A94" s="2">
        <v>81</v>
      </c>
      <c r="B94" s="4">
        <f t="shared" si="35"/>
        <v>2.4389138328324491</v>
      </c>
      <c r="C94" s="2">
        <f t="shared" si="36"/>
        <v>-7.1290690276816088E-3</v>
      </c>
      <c r="D94" s="7">
        <f t="shared" si="37"/>
        <v>159.83776384765508</v>
      </c>
      <c r="E94" s="5">
        <f t="shared" si="38"/>
        <v>0.77526742299723528</v>
      </c>
      <c r="F94" s="2">
        <f t="shared" si="39"/>
        <v>113.83255559666539</v>
      </c>
      <c r="G94" s="2">
        <f t="shared" si="40"/>
        <v>3269.8163248863748</v>
      </c>
      <c r="H94" s="2">
        <f t="shared" si="41"/>
        <v>111.87158623476812</v>
      </c>
      <c r="I94" s="2">
        <f t="shared" si="42"/>
        <v>5028.8429568903384</v>
      </c>
      <c r="J94" s="5">
        <f t="shared" si="43"/>
        <v>1.6100484984699159</v>
      </c>
      <c r="K94" s="6">
        <f t="shared" si="31"/>
        <v>4366.4837632407161</v>
      </c>
      <c r="M94">
        <f t="shared" si="32"/>
        <v>3.2698163248863747</v>
      </c>
      <c r="N94">
        <f t="shared" si="33"/>
        <v>44.419551331725124</v>
      </c>
      <c r="O94">
        <f t="shared" si="34"/>
        <v>502.88429568903382</v>
      </c>
    </row>
    <row r="95" spans="1:15" x14ac:dyDescent="0.2">
      <c r="A95" s="2">
        <v>82</v>
      </c>
      <c r="B95" s="4">
        <f t="shared" si="35"/>
        <v>2.4514589092647978</v>
      </c>
      <c r="C95" s="2">
        <f t="shared" si="36"/>
        <v>-7.0678875394724018E-3</v>
      </c>
      <c r="D95" s="7">
        <f t="shared" si="37"/>
        <v>162.27667768048752</v>
      </c>
      <c r="E95" s="5">
        <f t="shared" si="38"/>
        <v>0.76813835396955366</v>
      </c>
      <c r="F95" s="2">
        <f t="shared" si="39"/>
        <v>116.36640446874709</v>
      </c>
      <c r="G95" s="2">
        <f t="shared" si="40"/>
        <v>3386.1827293551219</v>
      </c>
      <c r="H95" s="2">
        <f t="shared" si="41"/>
        <v>112.74943605329203</v>
      </c>
      <c r="I95" s="2">
        <f t="shared" si="42"/>
        <v>5141.5923929436303</v>
      </c>
      <c r="J95" s="5">
        <f t="shared" si="43"/>
        <v>1.6098404624035751</v>
      </c>
      <c r="K95" s="6">
        <f t="shared" si="31"/>
        <v>4361.3786245152924</v>
      </c>
      <c r="M95">
        <f t="shared" si="32"/>
        <v>3.3861827293551219</v>
      </c>
      <c r="N95">
        <f t="shared" si="33"/>
        <v>44.01108576458153</v>
      </c>
      <c r="O95">
        <f t="shared" si="34"/>
        <v>514.15923929436303</v>
      </c>
    </row>
    <row r="96" spans="1:15" x14ac:dyDescent="0.2">
      <c r="A96" s="2">
        <v>83</v>
      </c>
      <c r="B96" s="4">
        <f t="shared" si="35"/>
        <v>2.4639982409808789</v>
      </c>
      <c r="C96" s="2">
        <f t="shared" si="36"/>
        <v>-7.0071354866152163E-3</v>
      </c>
      <c r="D96" s="7">
        <f t="shared" si="37"/>
        <v>164.72813658975232</v>
      </c>
      <c r="E96" s="5">
        <f t="shared" si="38"/>
        <v>0.76107046643008125</v>
      </c>
      <c r="F96" s="2">
        <f t="shared" si="39"/>
        <v>118.92016880238968</v>
      </c>
      <c r="G96" s="2">
        <f t="shared" si="40"/>
        <v>3505.1028981575114</v>
      </c>
      <c r="H96" s="2">
        <f t="shared" si="41"/>
        <v>113.61249550390706</v>
      </c>
      <c r="I96" s="2">
        <f t="shared" si="42"/>
        <v>5255.2048884475371</v>
      </c>
      <c r="J96" s="5">
        <f t="shared" si="43"/>
        <v>1.6096308746726296</v>
      </c>
      <c r="K96" s="6">
        <f t="shared" si="31"/>
        <v>4356.2734857898695</v>
      </c>
      <c r="M96">
        <f t="shared" si="32"/>
        <v>3.5051028981575114</v>
      </c>
      <c r="N96">
        <f t="shared" si="33"/>
        <v>43.606125638496657</v>
      </c>
      <c r="O96">
        <f t="shared" si="34"/>
        <v>525.52048884475369</v>
      </c>
    </row>
    <row r="97" spans="1:15" x14ac:dyDescent="0.2">
      <c r="A97" s="2">
        <v>84</v>
      </c>
      <c r="B97" s="4">
        <f t="shared" si="35"/>
        <v>2.4765304733978946</v>
      </c>
      <c r="C97" s="2">
        <f t="shared" si="36"/>
        <v>-6.9468169714928599E-3</v>
      </c>
      <c r="D97" s="7">
        <f t="shared" si="37"/>
        <v>167.19213483073321</v>
      </c>
      <c r="E97" s="5">
        <f t="shared" si="38"/>
        <v>0.754063330943466</v>
      </c>
      <c r="F97" s="2">
        <f t="shared" si="39"/>
        <v>121.49360828535531</v>
      </c>
      <c r="G97" s="2">
        <f t="shared" si="40"/>
        <v>3626.5965064428665</v>
      </c>
      <c r="H97" s="2">
        <f t="shared" si="41"/>
        <v>114.46077522608122</v>
      </c>
      <c r="I97" s="2">
        <f t="shared" si="42"/>
        <v>5369.6656636736179</v>
      </c>
      <c r="J97" s="5">
        <f t="shared" si="43"/>
        <v>1.6094197634562712</v>
      </c>
      <c r="K97" s="6">
        <f t="shared" si="31"/>
        <v>4351.1683470644457</v>
      </c>
      <c r="M97">
        <f t="shared" si="32"/>
        <v>3.6265965064428665</v>
      </c>
      <c r="N97">
        <f t="shared" si="33"/>
        <v>43.204646348637255</v>
      </c>
      <c r="O97">
        <f t="shared" si="34"/>
        <v>536.96656636736179</v>
      </c>
    </row>
    <row r="98" spans="1:15" x14ac:dyDescent="0.2">
      <c r="A98" s="2">
        <v>85</v>
      </c>
      <c r="B98" s="4">
        <f t="shared" si="35"/>
        <v>2.4890543023555636</v>
      </c>
      <c r="C98" s="2">
        <f t="shared" si="36"/>
        <v>-6.8869357201328174E-3</v>
      </c>
      <c r="D98" s="7">
        <f t="shared" si="37"/>
        <v>169.66866530413111</v>
      </c>
      <c r="E98" s="5">
        <f t="shared" si="38"/>
        <v>0.7471165139719731</v>
      </c>
      <c r="F98" s="2">
        <f t="shared" si="39"/>
        <v>124.0864854644106</v>
      </c>
      <c r="G98" s="2">
        <f t="shared" si="40"/>
        <v>3750.682991907277</v>
      </c>
      <c r="H98" s="2">
        <f t="shared" si="41"/>
        <v>115.29428889988897</v>
      </c>
      <c r="I98" s="2">
        <f t="shared" si="42"/>
        <v>5484.9599525735066</v>
      </c>
      <c r="J98" s="5">
        <f t="shared" si="43"/>
        <v>1.6092071568934614</v>
      </c>
      <c r="K98" s="6">
        <f t="shared" si="31"/>
        <v>4346.0632083390228</v>
      </c>
      <c r="M98">
        <f t="shared" si="32"/>
        <v>3.7506829919072771</v>
      </c>
      <c r="N98">
        <f t="shared" si="33"/>
        <v>42.806623055120866</v>
      </c>
      <c r="O98">
        <f t="shared" si="34"/>
        <v>548.49599525735061</v>
      </c>
    </row>
    <row r="99" spans="1:15" x14ac:dyDescent="0.2">
      <c r="A99" s="2">
        <v>86</v>
      </c>
      <c r="B99" s="4">
        <f t="shared" si="35"/>
        <v>2.5015684730699621</v>
      </c>
      <c r="C99" s="2">
        <f t="shared" si="36"/>
        <v>-6.8274950952908926E-3</v>
      </c>
      <c r="D99" s="7">
        <f t="shared" si="37"/>
        <v>172.15771960648667</v>
      </c>
      <c r="E99" s="5">
        <f t="shared" si="38"/>
        <v>0.74022957825184033</v>
      </c>
      <c r="F99" s="2">
        <f t="shared" si="39"/>
        <v>126.69856575990042</v>
      </c>
      <c r="G99" s="2">
        <f t="shared" si="40"/>
        <v>3877.3815576671773</v>
      </c>
      <c r="H99" s="2">
        <f t="shared" si="41"/>
        <v>116.11305315106817</v>
      </c>
      <c r="I99" s="2">
        <f t="shared" si="42"/>
        <v>5601.0730057245746</v>
      </c>
      <c r="J99" s="5">
        <f t="shared" si="43"/>
        <v>1.6089930830771342</v>
      </c>
      <c r="K99" s="6">
        <f t="shared" si="31"/>
        <v>4340.958069613599</v>
      </c>
      <c r="M99">
        <f t="shared" si="32"/>
        <v>3.8773815576671771</v>
      </c>
      <c r="N99">
        <f t="shared" si="33"/>
        <v>42.412030704579358</v>
      </c>
      <c r="O99">
        <f t="shared" si="34"/>
        <v>560.10730057245746</v>
      </c>
    </row>
    <row r="100" spans="1:15" x14ac:dyDescent="0.2">
      <c r="A100" s="2">
        <v>87</v>
      </c>
      <c r="B100" s="4">
        <f t="shared" si="35"/>
        <v>2.51407177908255</v>
      </c>
      <c r="C100" s="2">
        <f t="shared" si="36"/>
        <v>-6.7684981093472296E-3</v>
      </c>
      <c r="D100" s="7">
        <f t="shared" si="37"/>
        <v>174.65928807955663</v>
      </c>
      <c r="E100" s="5">
        <f t="shared" si="38"/>
        <v>0.73340208315654942</v>
      </c>
      <c r="F100" s="2">
        <f t="shared" si="39"/>
        <v>129.32961747774968</v>
      </c>
      <c r="G100" s="2">
        <f t="shared" si="40"/>
        <v>4006.711175144927</v>
      </c>
      <c r="H100" s="2">
        <f t="shared" si="41"/>
        <v>116.91708745784015</v>
      </c>
      <c r="I100" s="2">
        <f t="shared" si="42"/>
        <v>5717.990093182415</v>
      </c>
      <c r="J100" s="5">
        <f t="shared" si="43"/>
        <v>1.6087775700485913</v>
      </c>
      <c r="K100" s="6">
        <f t="shared" si="31"/>
        <v>4335.8529308881762</v>
      </c>
      <c r="M100">
        <f t="shared" si="32"/>
        <v>4.0067111751449271</v>
      </c>
      <c r="N100">
        <f t="shared" si="33"/>
        <v>42.020844050972926</v>
      </c>
      <c r="O100">
        <f t="shared" si="34"/>
        <v>571.79900931824147</v>
      </c>
    </row>
    <row r="101" spans="1:15" x14ac:dyDescent="0.2">
      <c r="A101" s="2">
        <v>88</v>
      </c>
      <c r="B101" s="4">
        <f t="shared" si="35"/>
        <v>2.5265630612064083</v>
      </c>
      <c r="C101" s="2">
        <f t="shared" si="36"/>
        <v>-6.7099474370006613E-3</v>
      </c>
      <c r="D101" s="7">
        <f t="shared" si="37"/>
        <v>177.17335985863917</v>
      </c>
      <c r="E101" s="5">
        <f t="shared" si="38"/>
        <v>0.72663358504720221</v>
      </c>
      <c r="F101" s="2">
        <f t="shared" si="39"/>
        <v>131.97941181900586</v>
      </c>
      <c r="G101" s="2">
        <f t="shared" si="40"/>
        <v>4138.6905869639331</v>
      </c>
      <c r="H101" s="2">
        <f t="shared" si="41"/>
        <v>117.70641405951264</v>
      </c>
      <c r="I101" s="2">
        <f t="shared" si="42"/>
        <v>5835.696507241928</v>
      </c>
      <c r="J101" s="5">
        <f t="shared" si="43"/>
        <v>1.6085606457920767</v>
      </c>
      <c r="K101" s="6">
        <f t="shared" si="31"/>
        <v>4330.7477921627533</v>
      </c>
      <c r="M101">
        <f t="shared" si="32"/>
        <v>4.138690586963933</v>
      </c>
      <c r="N101">
        <f t="shared" si="33"/>
        <v>41.633037675665051</v>
      </c>
      <c r="O101">
        <f t="shared" si="34"/>
        <v>583.5696507241928</v>
      </c>
    </row>
    <row r="102" spans="1:15" x14ac:dyDescent="0.2">
      <c r="A102" s="2">
        <v>89</v>
      </c>
      <c r="B102" s="4">
        <f t="shared" si="35"/>
        <v>2.5390412064715422</v>
      </c>
      <c r="C102" s="2">
        <f t="shared" si="36"/>
        <v>-6.6518454277490393E-3</v>
      </c>
      <c r="D102" s="7">
        <f t="shared" si="37"/>
        <v>179.69992291984559</v>
      </c>
      <c r="E102" s="5">
        <f t="shared" si="38"/>
        <v>0.71992363761020151</v>
      </c>
      <c r="F102" s="2">
        <f t="shared" si="39"/>
        <v>134.64772288703264</v>
      </c>
      <c r="G102" s="2">
        <f t="shared" si="40"/>
        <v>4273.3383098509657</v>
      </c>
      <c r="H102" s="2">
        <f t="shared" si="41"/>
        <v>118.48105786688144</v>
      </c>
      <c r="I102" s="2">
        <f t="shared" si="42"/>
        <v>5954.1775651088092</v>
      </c>
      <c r="J102" s="5">
        <f t="shared" si="43"/>
        <v>1.6083423382295325</v>
      </c>
      <c r="K102" s="6">
        <f t="shared" si="31"/>
        <v>4325.6426534373295</v>
      </c>
      <c r="M102">
        <f t="shared" si="32"/>
        <v>4.2733383098509661</v>
      </c>
      <c r="N102">
        <f t="shared" si="33"/>
        <v>41.248586006770289</v>
      </c>
      <c r="O102">
        <f t="shared" si="34"/>
        <v>595.41775651088096</v>
      </c>
    </row>
    <row r="103" spans="1:15" x14ac:dyDescent="0.2">
      <c r="A103" s="2">
        <v>90</v>
      </c>
      <c r="B103" s="4">
        <f t="shared" si="35"/>
        <v>2.5515051470710133</v>
      </c>
      <c r="C103" s="2">
        <f t="shared" si="36"/>
        <v>-6.5941941181445977E-3</v>
      </c>
      <c r="D103" s="7">
        <f t="shared" si="37"/>
        <v>182.23896412631714</v>
      </c>
      <c r="E103" s="5">
        <f t="shared" si="38"/>
        <v>0.71327179218245251</v>
      </c>
      <c r="F103" s="2">
        <f t="shared" si="39"/>
        <v>137.33432769246156</v>
      </c>
      <c r="G103" s="2">
        <f t="shared" si="40"/>
        <v>4410.6726375434273</v>
      </c>
      <c r="H103" s="2">
        <f t="shared" si="41"/>
        <v>119.24104637444313</v>
      </c>
      <c r="I103" s="2">
        <f t="shared" si="42"/>
        <v>6073.4186114832519</v>
      </c>
      <c r="J103" s="5">
        <f t="shared" si="43"/>
        <v>1.6081226752155275</v>
      </c>
      <c r="K103" s="6">
        <f t="shared" si="31"/>
        <v>4320.5375147119066</v>
      </c>
      <c r="M103">
        <f t="shared" si="32"/>
        <v>4.4106726375434269</v>
      </c>
      <c r="N103">
        <f t="shared" si="33"/>
        <v>40.867463337786873</v>
      </c>
      <c r="O103">
        <f t="shared" si="34"/>
        <v>607.34186114832517</v>
      </c>
    </row>
    <row r="104" spans="1:15" x14ac:dyDescent="0.2">
      <c r="A104" s="2">
        <v>91</v>
      </c>
      <c r="B104" s="4">
        <f t="shared" si="35"/>
        <v>2.5639538593095228</v>
      </c>
      <c r="C104" s="2">
        <f t="shared" si="36"/>
        <v>-6.5369952438149295E-3</v>
      </c>
      <c r="D104" s="7">
        <f t="shared" si="37"/>
        <v>184.79046927338817</v>
      </c>
      <c r="E104" s="5">
        <f t="shared" si="38"/>
        <v>0.70667759806430797</v>
      </c>
      <c r="F104" s="2">
        <f t="shared" si="39"/>
        <v>140.03900615600702</v>
      </c>
      <c r="G104" s="2">
        <f t="shared" si="40"/>
        <v>4550.7116436994347</v>
      </c>
      <c r="H104" s="2">
        <f t="shared" si="41"/>
        <v>119.98640957442672</v>
      </c>
      <c r="I104" s="2">
        <f t="shared" si="42"/>
        <v>6193.4050210576788</v>
      </c>
      <c r="J104" s="5">
        <f t="shared" si="43"/>
        <v>1.6079016845323626</v>
      </c>
      <c r="K104" s="6">
        <f t="shared" si="31"/>
        <v>4315.4323759864828</v>
      </c>
      <c r="M104">
        <f t="shared" si="32"/>
        <v>4.5507116436994348</v>
      </c>
      <c r="N104">
        <f t="shared" si="33"/>
        <v>40.489643845527198</v>
      </c>
      <c r="O104">
        <f t="shared" si="34"/>
        <v>619.34050210576788</v>
      </c>
    </row>
    <row r="105" spans="1:15" x14ac:dyDescent="0.2">
      <c r="A105" s="2">
        <v>92</v>
      </c>
      <c r="B105" s="4">
        <f t="shared" si="35"/>
        <v>2.5763863625559678</v>
      </c>
      <c r="C105" s="2">
        <f t="shared" si="36"/>
        <v>-6.4802502512413349E-3</v>
      </c>
      <c r="D105" s="7">
        <f t="shared" si="37"/>
        <v>187.35442313269769</v>
      </c>
      <c r="E105" s="5">
        <f t="shared" si="38"/>
        <v>0.70014060282049306</v>
      </c>
      <c r="F105" s="2">
        <f t="shared" si="39"/>
        <v>142.76154110924648</v>
      </c>
      <c r="G105" s="2">
        <f t="shared" si="40"/>
        <v>4693.4731848086813</v>
      </c>
      <c r="H105" s="2">
        <f t="shared" si="41"/>
        <v>120.71717987264994</v>
      </c>
      <c r="I105" s="2">
        <f t="shared" si="42"/>
        <v>6314.1222009303292</v>
      </c>
      <c r="J105" s="5">
        <f t="shared" si="43"/>
        <v>1.6076793938853418</v>
      </c>
      <c r="K105" s="6">
        <f t="shared" si="31"/>
        <v>4310.32723726106</v>
      </c>
      <c r="M105">
        <f t="shared" si="32"/>
        <v>4.6934731848086813</v>
      </c>
      <c r="N105">
        <f t="shared" si="33"/>
        <v>40.115101607359513</v>
      </c>
      <c r="O105">
        <f t="shared" si="34"/>
        <v>631.41222009303294</v>
      </c>
    </row>
    <row r="106" spans="1:15" x14ac:dyDescent="0.2">
      <c r="A106" s="2">
        <v>93</v>
      </c>
      <c r="B106" s="4">
        <f t="shared" si="35"/>
        <v>2.5888017182013847</v>
      </c>
      <c r="C106" s="2">
        <f t="shared" si="36"/>
        <v>-6.4239603092876574E-3</v>
      </c>
      <c r="D106" s="7">
        <f t="shared" si="37"/>
        <v>189.93080949525367</v>
      </c>
      <c r="E106" s="5">
        <f t="shared" si="38"/>
        <v>0.69366035256925174</v>
      </c>
      <c r="F106" s="2">
        <f t="shared" si="39"/>
        <v>145.50171829346547</v>
      </c>
      <c r="G106" s="2">
        <f t="shared" si="40"/>
        <v>4838.9749031021465</v>
      </c>
      <c r="H106" s="2">
        <f t="shared" si="41"/>
        <v>121.43339200620161</v>
      </c>
      <c r="I106" s="2">
        <f t="shared" si="42"/>
        <v>6435.555592936531</v>
      </c>
      <c r="J106" s="5">
        <f t="shared" si="43"/>
        <v>1.6074558308982121</v>
      </c>
      <c r="K106" s="6">
        <f t="shared" si="31"/>
        <v>4305.2220985356362</v>
      </c>
      <c r="M106">
        <f t="shared" si="32"/>
        <v>4.8389749031021463</v>
      </c>
      <c r="N106">
        <f t="shared" si="33"/>
        <v>39.743810617774791</v>
      </c>
      <c r="O106">
        <f t="shared" si="34"/>
        <v>643.55555929365312</v>
      </c>
    </row>
    <row r="107" spans="1:15" x14ac:dyDescent="0.2">
      <c r="A107" s="2">
        <v>94</v>
      </c>
      <c r="B107" s="4">
        <f t="shared" si="35"/>
        <v>2.6011990286235709</v>
      </c>
      <c r="C107" s="2">
        <f t="shared" si="36"/>
        <v>-6.3681263204737777E-3</v>
      </c>
      <c r="D107" s="7">
        <f t="shared" si="37"/>
        <v>192.51961121345505</v>
      </c>
      <c r="E107" s="5">
        <f t="shared" si="38"/>
        <v>0.68723639225996402</v>
      </c>
      <c r="F107" s="2">
        <f t="shared" si="39"/>
        <v>148.25932635666348</v>
      </c>
      <c r="G107" s="2">
        <f t="shared" si="40"/>
        <v>4987.2342294588098</v>
      </c>
      <c r="H107" s="2">
        <f t="shared" si="41"/>
        <v>122.13508296294891</v>
      </c>
      <c r="I107" s="2">
        <f t="shared" si="42"/>
        <v>6557.6906758994801</v>
      </c>
      <c r="J107" s="5">
        <f t="shared" si="43"/>
        <v>1.607231023108759</v>
      </c>
      <c r="K107" s="6">
        <f t="shared" si="31"/>
        <v>4300.1169598102133</v>
      </c>
      <c r="M107">
        <f t="shared" si="32"/>
        <v>4.9872342294588101</v>
      </c>
      <c r="N107">
        <f t="shared" si="33"/>
        <v>39.375744804293056</v>
      </c>
      <c r="O107">
        <f t="shared" si="34"/>
        <v>655.76906758994801</v>
      </c>
    </row>
    <row r="108" spans="1:15" x14ac:dyDescent="0.2">
      <c r="A108" s="2">
        <v>95</v>
      </c>
      <c r="B108" s="4">
        <f t="shared" si="35"/>
        <v>2.6135774361595954</v>
      </c>
      <c r="C108" s="2">
        <f t="shared" si="36"/>
        <v>-6.3127489319891057E-3</v>
      </c>
      <c r="D108" s="7">
        <f t="shared" si="37"/>
        <v>195.12081024207862</v>
      </c>
      <c r="E108" s="5">
        <f t="shared" si="38"/>
        <v>0.68086826593949024</v>
      </c>
      <c r="F108" s="2">
        <f t="shared" si="39"/>
        <v>151.03415684881526</v>
      </c>
      <c r="G108" s="2">
        <f t="shared" si="40"/>
        <v>5138.2683863076254</v>
      </c>
      <c r="H108" s="2">
        <f t="shared" si="41"/>
        <v>122.82229190286606</v>
      </c>
      <c r="I108" s="2">
        <f t="shared" si="42"/>
        <v>6680.5129678023459</v>
      </c>
      <c r="J108" s="5">
        <f t="shared" si="43"/>
        <v>1.6070049979645675</v>
      </c>
      <c r="K108" s="6">
        <f t="shared" si="31"/>
        <v>4295.0118210847904</v>
      </c>
      <c r="M108">
        <f t="shared" si="32"/>
        <v>5.1382683863076251</v>
      </c>
      <c r="N108">
        <f t="shared" si="33"/>
        <v>39.010878042723732</v>
      </c>
      <c r="O108">
        <f t="shared" si="34"/>
        <v>668.05129678023457</v>
      </c>
    </row>
    <row r="109" spans="1:15" x14ac:dyDescent="0.2">
      <c r="A109" s="2">
        <v>96</v>
      </c>
      <c r="B109" s="4">
        <f t="shared" si="35"/>
        <v>2.6259361220873041</v>
      </c>
      <c r="C109" s="2">
        <f t="shared" si="36"/>
        <v>-6.2578285464422855E-3</v>
      </c>
      <c r="D109" s="7">
        <f t="shared" si="37"/>
        <v>197.73438767823822</v>
      </c>
      <c r="E109" s="5">
        <f t="shared" si="38"/>
        <v>0.67455551700750116</v>
      </c>
      <c r="F109" s="2">
        <f t="shared" si="39"/>
        <v>153.82600421547767</v>
      </c>
      <c r="G109" s="2">
        <f t="shared" si="40"/>
        <v>5292.0943905231034</v>
      </c>
      <c r="H109" s="2">
        <f t="shared" si="41"/>
        <v>123.49506008117754</v>
      </c>
      <c r="I109" s="2">
        <f t="shared" si="42"/>
        <v>6804.008027883523</v>
      </c>
      <c r="J109" s="5">
        <f t="shared" si="43"/>
        <v>1.6067777828189331</v>
      </c>
      <c r="K109" s="6">
        <f t="shared" si="31"/>
        <v>4289.9066823593666</v>
      </c>
      <c r="M109">
        <f t="shared" si="32"/>
        <v>5.2920943905231033</v>
      </c>
      <c r="N109">
        <f t="shared" si="33"/>
        <v>38.649184171795042</v>
      </c>
      <c r="O109">
        <f t="shared" si="34"/>
        <v>680.40080278835228</v>
      </c>
    </row>
    <row r="110" spans="1:15" x14ac:dyDescent="0.2">
      <c r="A110" s="2">
        <v>97</v>
      </c>
      <c r="B110" s="4">
        <f t="shared" si="35"/>
        <v>2.6382743056168216</v>
      </c>
      <c r="C110" s="2">
        <f t="shared" si="36"/>
        <v>-6.2033653323443766E-3</v>
      </c>
      <c r="D110" s="7">
        <f t="shared" si="37"/>
        <v>200.36032380032552</v>
      </c>
      <c r="E110" s="5">
        <f t="shared" si="38"/>
        <v>0.66829768846105886</v>
      </c>
      <c r="F110" s="2">
        <f t="shared" si="39"/>
        <v>156.63466578983139</v>
      </c>
      <c r="G110" s="2">
        <f t="shared" si="40"/>
        <v>5448.7290563129345</v>
      </c>
      <c r="H110" s="2">
        <f t="shared" si="41"/>
        <v>124.15343077330739</v>
      </c>
      <c r="I110" s="2">
        <f t="shared" si="42"/>
        <v>6928.1614586568303</v>
      </c>
      <c r="J110" s="5">
        <f t="shared" si="43"/>
        <v>1.6065494049269267</v>
      </c>
      <c r="K110" s="6">
        <f t="shared" si="31"/>
        <v>4284.8015436339438</v>
      </c>
      <c r="M110">
        <f t="shared" si="32"/>
        <v>5.4487290563129349</v>
      </c>
      <c r="N110">
        <f t="shared" si="33"/>
        <v>38.290637007167412</v>
      </c>
      <c r="O110">
        <f t="shared" si="34"/>
        <v>692.81614586568298</v>
      </c>
    </row>
    <row r="111" spans="1:15" x14ac:dyDescent="0.2">
      <c r="A111" s="2">
        <v>98</v>
      </c>
      <c r="B111" s="4">
        <f t="shared" si="35"/>
        <v>2.6505912428929936</v>
      </c>
      <c r="C111" s="2">
        <f t="shared" si="36"/>
        <v>-6.1493592343235103E-3</v>
      </c>
      <c r="D111" s="7">
        <f t="shared" si="37"/>
        <v>202.99859810594234</v>
      </c>
      <c r="E111" s="5">
        <f t="shared" si="38"/>
        <v>0.66209432312871452</v>
      </c>
      <c r="F111" s="2">
        <f t="shared" si="39"/>
        <v>159.45994178324122</v>
      </c>
      <c r="G111" s="2">
        <f t="shared" si="40"/>
        <v>5608.188998096176</v>
      </c>
      <c r="H111" s="2">
        <f t="shared" si="41"/>
        <v>124.79744920162327</v>
      </c>
      <c r="I111" s="2">
        <f t="shared" si="42"/>
        <v>7052.9589078584531</v>
      </c>
      <c r="J111" s="5">
        <f t="shared" si="43"/>
        <v>1.6063198914416035</v>
      </c>
      <c r="K111" s="6">
        <f t="shared" si="31"/>
        <v>4279.69640490852</v>
      </c>
      <c r="M111">
        <f t="shared" si="32"/>
        <v>5.6081889980961757</v>
      </c>
      <c r="N111">
        <f t="shared" si="33"/>
        <v>37.935210354846312</v>
      </c>
      <c r="O111">
        <f t="shared" si="34"/>
        <v>705.29589078584536</v>
      </c>
    </row>
    <row r="112" spans="1:15" x14ac:dyDescent="0.2">
      <c r="A112" s="2">
        <v>99</v>
      </c>
      <c r="B112" s="4">
        <f t="shared" si="35"/>
        <v>2.662886226009586</v>
      </c>
      <c r="C112" s="2">
        <f t="shared" si="36"/>
        <v>-6.0958099830699447E-3</v>
      </c>
      <c r="D112" s="7">
        <f t="shared" si="37"/>
        <v>205.64918934883534</v>
      </c>
      <c r="E112" s="5">
        <f t="shared" si="38"/>
        <v>0.65594496389439105</v>
      </c>
      <c r="F112" s="2">
        <f t="shared" si="39"/>
        <v>162.30163527441943</v>
      </c>
      <c r="G112" s="2">
        <f t="shared" si="40"/>
        <v>5770.4906333705958</v>
      </c>
      <c r="H112" s="2">
        <f t="shared" si="41"/>
        <v>125.42716246396235</v>
      </c>
      <c r="I112" s="2">
        <f t="shared" si="42"/>
        <v>7178.3860703224154</v>
      </c>
      <c r="J112" s="5">
        <f t="shared" si="43"/>
        <v>1.6060892694103641</v>
      </c>
      <c r="K112" s="6">
        <f t="shared" si="31"/>
        <v>4274.5912661830971</v>
      </c>
      <c r="M112">
        <f t="shared" si="32"/>
        <v>5.7704906333705956</v>
      </c>
      <c r="N112">
        <f t="shared" si="33"/>
        <v>37.58287802400978</v>
      </c>
      <c r="O112">
        <f t="shared" si="34"/>
        <v>717.8386070322415</v>
      </c>
    </row>
    <row r="113" spans="1:15" x14ac:dyDescent="0.2">
      <c r="A113" s="2">
        <v>100</v>
      </c>
      <c r="B113" s="4">
        <f t="shared" si="35"/>
        <v>2.6751585820360297</v>
      </c>
      <c r="C113" s="2">
        <f t="shared" si="36"/>
        <v>-6.0427171050110003E-3</v>
      </c>
      <c r="D113" s="7">
        <f t="shared" si="37"/>
        <v>208.31207557484493</v>
      </c>
      <c r="E113" s="5">
        <f t="shared" si="38"/>
        <v>0.64984915391132114</v>
      </c>
      <c r="F113" s="2">
        <f t="shared" si="39"/>
        <v>165.15955219727053</v>
      </c>
      <c r="G113" s="2">
        <f t="shared" si="40"/>
        <v>5935.6501855678662</v>
      </c>
      <c r="H113" s="2">
        <f t="shared" si="41"/>
        <v>126.0426194639241</v>
      </c>
      <c r="I113" s="2">
        <f t="shared" si="42"/>
        <v>7304.4286897863394</v>
      </c>
      <c r="J113" s="5">
        <f t="shared" si="43"/>
        <v>1.6058575657714458</v>
      </c>
      <c r="K113" s="6">
        <f t="shared" si="31"/>
        <v>4269.4861274576742</v>
      </c>
      <c r="M113">
        <f t="shared" si="32"/>
        <v>5.9356501855678658</v>
      </c>
      <c r="N113">
        <f t="shared" si="33"/>
        <v>37.233613839266155</v>
      </c>
      <c r="O113">
        <f t="shared" si="34"/>
        <v>730.4428689786339</v>
      </c>
    </row>
    <row r="114" spans="1:15" x14ac:dyDescent="0.2">
      <c r="A114" s="2">
        <v>101</v>
      </c>
      <c r="B114" s="4">
        <f t="shared" si="35"/>
        <v>2.687407672057371</v>
      </c>
      <c r="C114" s="2">
        <f t="shared" si="36"/>
        <v>-5.9900799317161909E-3</v>
      </c>
      <c r="D114" s="7">
        <f t="shared" si="37"/>
        <v>210.98723415688096</v>
      </c>
      <c r="E114" s="5">
        <f t="shared" si="38"/>
        <v>0.64380643680631011</v>
      </c>
      <c r="F114" s="2">
        <f t="shared" si="39"/>
        <v>168.03350132749492</v>
      </c>
      <c r="G114" s="2">
        <f t="shared" si="40"/>
        <v>6103.6836868953615</v>
      </c>
      <c r="H114" s="2">
        <f t="shared" si="41"/>
        <v>126.64387084291316</v>
      </c>
      <c r="I114" s="2">
        <f t="shared" si="42"/>
        <v>7431.0725606292526</v>
      </c>
      <c r="J114" s="5">
        <f t="shared" si="43"/>
        <v>1.6056248073505603</v>
      </c>
      <c r="K114" s="6">
        <f t="shared" si="31"/>
        <v>4264.3809887322504</v>
      </c>
      <c r="M114">
        <f t="shared" si="32"/>
        <v>6.1036836868953612</v>
      </c>
      <c r="N114">
        <f t="shared" si="33"/>
        <v>36.887391652357508</v>
      </c>
      <c r="O114">
        <f t="shared" si="34"/>
        <v>743.10725606292522</v>
      </c>
    </row>
    <row r="115" spans="1:15" x14ac:dyDescent="0.2">
      <c r="A115" s="2">
        <v>102</v>
      </c>
      <c r="B115" s="4">
        <f t="shared" si="35"/>
        <v>2.6996328902280546</v>
      </c>
      <c r="C115" s="2">
        <f t="shared" si="36"/>
        <v>-5.9378976090333595E-3</v>
      </c>
      <c r="D115" s="7">
        <f t="shared" si="37"/>
        <v>213.67464182893832</v>
      </c>
      <c r="E115" s="5">
        <f t="shared" si="38"/>
        <v>0.63781635687459393</v>
      </c>
      <c r="F115" s="2">
        <f t="shared" si="39"/>
        <v>170.92329426802678</v>
      </c>
      <c r="G115" s="2">
        <f t="shared" si="40"/>
        <v>6274.6069811633879</v>
      </c>
      <c r="H115" s="2">
        <f t="shared" si="41"/>
        <v>127.23096891391438</v>
      </c>
      <c r="I115" s="2">
        <f t="shared" si="42"/>
        <v>7558.3035295431673</v>
      </c>
      <c r="J115" s="5">
        <f t="shared" si="43"/>
        <v>1.6053910208576603</v>
      </c>
      <c r="K115" s="6">
        <f t="shared" si="31"/>
        <v>4259.2758500068276</v>
      </c>
      <c r="M115">
        <f t="shared" si="32"/>
        <v>6.2746069811633882</v>
      </c>
      <c r="N115">
        <f t="shared" si="33"/>
        <v>36.54418535332416</v>
      </c>
      <c r="O115">
        <f t="shared" si="34"/>
        <v>755.83035295431671</v>
      </c>
    </row>
    <row r="116" spans="1:15" x14ac:dyDescent="0.2">
      <c r="A116" s="2">
        <v>103</v>
      </c>
      <c r="B116" s="4">
        <f t="shared" si="35"/>
        <v>2.7118336628400876</v>
      </c>
      <c r="C116" s="2">
        <f t="shared" si="36"/>
        <v>-5.8861691059572474E-3</v>
      </c>
      <c r="D116" s="7">
        <f t="shared" si="37"/>
        <v>216.37427471916638</v>
      </c>
      <c r="E116" s="5">
        <f t="shared" si="38"/>
        <v>0.63187845926556052</v>
      </c>
      <c r="F116" s="2">
        <f t="shared" si="39"/>
        <v>173.82874543337599</v>
      </c>
      <c r="G116" s="2">
        <f t="shared" si="40"/>
        <v>6448.4357265967637</v>
      </c>
      <c r="H116" s="2">
        <f t="shared" si="41"/>
        <v>127.80396759698003</v>
      </c>
      <c r="I116" s="2">
        <f t="shared" si="42"/>
        <v>7686.1074971401476</v>
      </c>
      <c r="J116" s="5">
        <f t="shared" si="43"/>
        <v>1.6051562328838394</v>
      </c>
      <c r="K116" s="6">
        <f t="shared" si="31"/>
        <v>4254.1707112814038</v>
      </c>
      <c r="M116">
        <f t="shared" si="32"/>
        <v>6.448435726596764</v>
      </c>
      <c r="N116">
        <f t="shared" si="33"/>
        <v>36.203968881145727</v>
      </c>
      <c r="O116">
        <f t="shared" si="34"/>
        <v>768.61074971401479</v>
      </c>
    </row>
    <row r="117" spans="1:15" x14ac:dyDescent="0.2">
      <c r="A117" s="2">
        <v>104</v>
      </c>
      <c r="B117" s="4">
        <f t="shared" si="35"/>
        <v>2.7240094474060514</v>
      </c>
      <c r="C117" s="2">
        <f t="shared" si="36"/>
        <v>-5.8348932232323864E-3</v>
      </c>
      <c r="D117" s="7">
        <f t="shared" si="37"/>
        <v>219.08610838200647</v>
      </c>
      <c r="E117" s="5">
        <f t="shared" si="38"/>
        <v>0.62599229015960323</v>
      </c>
      <c r="F117" s="2">
        <f t="shared" si="39"/>
        <v>176.74967203294486</v>
      </c>
      <c r="G117" s="2">
        <f t="shared" si="40"/>
        <v>6625.1853986297083</v>
      </c>
      <c r="H117" s="2">
        <f t="shared" si="41"/>
        <v>128.36292235640835</v>
      </c>
      <c r="I117" s="2">
        <f t="shared" si="42"/>
        <v>7814.4704194965561</v>
      </c>
      <c r="J117" s="5">
        <f t="shared" si="43"/>
        <v>1.6049204698983572</v>
      </c>
      <c r="K117" s="6">
        <f t="shared" si="31"/>
        <v>4249.0655725559809</v>
      </c>
      <c r="M117">
        <f t="shared" si="32"/>
        <v>6.625185398629708</v>
      </c>
      <c r="N117">
        <f t="shared" si="33"/>
        <v>35.866716233874079</v>
      </c>
      <c r="O117">
        <f t="shared" si="34"/>
        <v>781.44704194965561</v>
      </c>
    </row>
    <row r="118" spans="1:15" x14ac:dyDescent="0.2">
      <c r="A118" s="2">
        <v>105</v>
      </c>
      <c r="B118" s="4">
        <f t="shared" si="35"/>
        <v>2.7361597317574038</v>
      </c>
      <c r="C118" s="2">
        <f t="shared" si="36"/>
        <v>-5.7840686016927311E-3</v>
      </c>
      <c r="D118" s="7">
        <f t="shared" si="37"/>
        <v>221.81011782941252</v>
      </c>
      <c r="E118" s="5">
        <f t="shared" si="38"/>
        <v>0.62015739693637084</v>
      </c>
      <c r="F118" s="2">
        <f t="shared" si="39"/>
        <v>179.68589405338545</v>
      </c>
      <c r="G118" s="2">
        <f t="shared" si="40"/>
        <v>6804.871292683094</v>
      </c>
      <c r="H118" s="2">
        <f t="shared" si="41"/>
        <v>128.90789013959167</v>
      </c>
      <c r="I118" s="2">
        <f t="shared" si="42"/>
        <v>7943.3783096361476</v>
      </c>
      <c r="J118" s="5">
        <f t="shared" si="43"/>
        <v>1.6046837582457922</v>
      </c>
      <c r="K118" s="6">
        <f t="shared" si="31"/>
        <v>4243.9604338305571</v>
      </c>
      <c r="M118">
        <f t="shared" si="32"/>
        <v>6.8048712926830941</v>
      </c>
      <c r="N118">
        <f t="shared" si="33"/>
        <v>35.532401478273378</v>
      </c>
      <c r="O118">
        <f t="shared" si="34"/>
        <v>794.33783096361481</v>
      </c>
    </row>
    <row r="119" spans="1:15" x14ac:dyDescent="0.2">
      <c r="A119" s="2">
        <v>106</v>
      </c>
      <c r="B119" s="4">
        <f t="shared" si="35"/>
        <v>2.7482840331584084</v>
      </c>
      <c r="C119" s="2">
        <f t="shared" si="36"/>
        <v>-5.7336937303407599E-3</v>
      </c>
      <c r="D119" s="7">
        <f t="shared" si="37"/>
        <v>224.54627756116992</v>
      </c>
      <c r="E119" s="5">
        <f t="shared" si="38"/>
        <v>0.61437332833467806</v>
      </c>
      <c r="F119" s="2">
        <f t="shared" si="39"/>
        <v>182.63723424006125</v>
      </c>
      <c r="G119" s="2">
        <f t="shared" si="40"/>
        <v>6987.5085269231549</v>
      </c>
      <c r="H119" s="2">
        <f t="shared" si="41"/>
        <v>129.43892931751014</v>
      </c>
      <c r="I119" s="2">
        <f t="shared" si="42"/>
        <v>8072.8172389536576</v>
      </c>
      <c r="J119" s="5">
        <f t="shared" si="43"/>
        <v>1.6044461241433088</v>
      </c>
      <c r="K119" s="6">
        <f t="shared" si="31"/>
        <v>4238.8552951051342</v>
      </c>
      <c r="M119">
        <f t="shared" si="32"/>
        <v>6.9875085269231549</v>
      </c>
      <c r="N119">
        <f t="shared" si="33"/>
        <v>35.200998758982244</v>
      </c>
      <c r="O119">
        <f t="shared" si="34"/>
        <v>807.28172389536576</v>
      </c>
    </row>
    <row r="120" spans="1:15" x14ac:dyDescent="0.2">
      <c r="A120" s="2">
        <v>107</v>
      </c>
      <c r="B120" s="4">
        <f t="shared" si="35"/>
        <v>2.760381897436031</v>
      </c>
      <c r="C120" s="2">
        <f t="shared" si="36"/>
        <v>-5.6837669541692721E-3</v>
      </c>
      <c r="D120" s="7">
        <f t="shared" si="37"/>
        <v>227.29456159432831</v>
      </c>
      <c r="E120" s="5">
        <f t="shared" si="38"/>
        <v>0.60863963460433734</v>
      </c>
      <c r="F120" s="2">
        <f t="shared" si="39"/>
        <v>185.60351807767483</v>
      </c>
      <c r="G120" s="2">
        <f t="shared" si="40"/>
        <v>7173.1120450008293</v>
      </c>
      <c r="H120" s="2">
        <f t="shared" si="41"/>
        <v>129.95609962684824</v>
      </c>
      <c r="I120" s="2">
        <f t="shared" si="42"/>
        <v>8202.7733385805059</v>
      </c>
      <c r="J120" s="5">
        <f t="shared" si="43"/>
        <v>1.6042075936780509</v>
      </c>
      <c r="K120" s="6">
        <f t="shared" si="31"/>
        <v>4233.7501563797105</v>
      </c>
      <c r="M120">
        <f t="shared" si="32"/>
        <v>7.1731120450008294</v>
      </c>
      <c r="N120">
        <f t="shared" si="33"/>
        <v>34.872482307213097</v>
      </c>
      <c r="O120">
        <f t="shared" si="34"/>
        <v>820.27733385805061</v>
      </c>
    </row>
    <row r="121" spans="1:15" x14ac:dyDescent="0.2">
      <c r="A121" s="2">
        <v>108</v>
      </c>
      <c r="B121" s="4">
        <f t="shared" si="35"/>
        <v>2.7724528981260352</v>
      </c>
      <c r="C121" s="2">
        <f t="shared" si="36"/>
        <v>-5.6342864817293253E-3</v>
      </c>
      <c r="D121" s="7">
        <f t="shared" si="37"/>
        <v>230.05494349176433</v>
      </c>
      <c r="E121" s="5">
        <f t="shared" si="38"/>
        <v>0.60295586765016806</v>
      </c>
      <c r="F121" s="2">
        <f t="shared" si="39"/>
        <v>188.58457377012087</v>
      </c>
      <c r="G121" s="2">
        <f t="shared" si="40"/>
        <v>7361.6966187709504</v>
      </c>
      <c r="H121" s="2">
        <f t="shared" si="41"/>
        <v>130.45946211370753</v>
      </c>
      <c r="I121" s="2">
        <f t="shared" si="42"/>
        <v>8333.2328006942134</v>
      </c>
      <c r="J121" s="5">
        <f t="shared" si="43"/>
        <v>1.6039681928046419</v>
      </c>
      <c r="K121" s="6">
        <f t="shared" si="31"/>
        <v>4228.6450176542876</v>
      </c>
      <c r="M121">
        <f t="shared" si="32"/>
        <v>7.3616966187709503</v>
      </c>
      <c r="N121">
        <f t="shared" si="33"/>
        <v>34.546826449003277</v>
      </c>
      <c r="O121">
        <f t="shared" si="34"/>
        <v>833.32328006942134</v>
      </c>
    </row>
    <row r="122" spans="1:15" x14ac:dyDescent="0.2">
      <c r="A122" s="2">
        <v>109</v>
      </c>
      <c r="B122" s="4">
        <f t="shared" si="35"/>
        <v>2.7844966356355125</v>
      </c>
      <c r="C122" s="2">
        <f t="shared" si="36"/>
        <v>-5.5852503924481278E-3</v>
      </c>
      <c r="D122" s="7">
        <f t="shared" si="37"/>
        <v>232.82739638989037</v>
      </c>
      <c r="E122" s="5">
        <f t="shared" si="38"/>
        <v>0.5973215811684387</v>
      </c>
      <c r="F122" s="2">
        <f t="shared" si="39"/>
        <v>191.58023221962023</v>
      </c>
      <c r="G122" s="2">
        <f t="shared" si="40"/>
        <v>7553.2768509905709</v>
      </c>
      <c r="H122" s="2">
        <f t="shared" si="41"/>
        <v>130.94907907889191</v>
      </c>
      <c r="I122" s="2">
        <f t="shared" si="42"/>
        <v>8464.1818797731048</v>
      </c>
      <c r="J122" s="5">
        <f t="shared" si="43"/>
        <v>1.6037279473428006</v>
      </c>
      <c r="K122" s="6">
        <f t="shared" si="31"/>
        <v>4223.5398789288647</v>
      </c>
      <c r="M122">
        <f t="shared" si="32"/>
        <v>7.5532768509905708</v>
      </c>
      <c r="N122">
        <f t="shared" si="33"/>
        <v>34.224005613032567</v>
      </c>
      <c r="O122">
        <f t="shared" si="34"/>
        <v>846.41818797731048</v>
      </c>
    </row>
    <row r="123" spans="1:15" x14ac:dyDescent="0.2">
      <c r="A123" s="2">
        <v>110</v>
      </c>
      <c r="B123" s="4">
        <f t="shared" si="35"/>
        <v>2.7965127364220002</v>
      </c>
      <c r="C123" s="2">
        <f t="shared" si="36"/>
        <v>-5.536656643700932E-3</v>
      </c>
      <c r="D123" s="7">
        <f t="shared" si="37"/>
        <v>235.61189302552589</v>
      </c>
      <c r="E123" s="5">
        <f t="shared" si="38"/>
        <v>0.59173633077599053</v>
      </c>
      <c r="F123" s="2">
        <f t="shared" si="39"/>
        <v>194.59032700519035</v>
      </c>
      <c r="G123" s="2">
        <f t="shared" si="40"/>
        <v>7747.8671779957613</v>
      </c>
      <c r="H123" s="2">
        <f t="shared" si="41"/>
        <v>131.42501402473741</v>
      </c>
      <c r="I123" s="2">
        <f t="shared" si="42"/>
        <v>8595.6068937978416</v>
      </c>
      <c r="J123" s="5">
        <f t="shared" si="43"/>
        <v>1.6034868829750635</v>
      </c>
      <c r="K123" s="6">
        <f t="shared" si="31"/>
        <v>4218.4347402034409</v>
      </c>
      <c r="M123">
        <f t="shared" si="32"/>
        <v>7.7478671779957615</v>
      </c>
      <c r="N123">
        <f t="shared" si="33"/>
        <v>33.903994338021505</v>
      </c>
      <c r="O123">
        <f t="shared" si="34"/>
        <v>859.56068937978421</v>
      </c>
    </row>
    <row r="124" spans="1:15" x14ac:dyDescent="0.2">
      <c r="A124" s="2">
        <v>111</v>
      </c>
      <c r="B124" s="4">
        <f t="shared" si="35"/>
        <v>2.8085008521893196</v>
      </c>
      <c r="C124" s="2">
        <f t="shared" si="36"/>
        <v>-5.4885030776412264E-3</v>
      </c>
      <c r="D124" s="7">
        <f t="shared" si="37"/>
        <v>238.40840576194788</v>
      </c>
      <c r="E124" s="5">
        <f t="shared" si="38"/>
        <v>0.58619967413228957</v>
      </c>
      <c r="F124" s="2">
        <f t="shared" si="39"/>
        <v>197.61469436050351</v>
      </c>
      <c r="G124" s="2">
        <f t="shared" si="40"/>
        <v>7945.4818723562648</v>
      </c>
      <c r="H124" s="2">
        <f t="shared" si="41"/>
        <v>131.88733160346086</v>
      </c>
      <c r="I124" s="2">
        <f t="shared" si="42"/>
        <v>8727.4942254013022</v>
      </c>
      <c r="J124" s="5">
        <f t="shared" si="43"/>
        <v>1.6032450252446144</v>
      </c>
      <c r="K124" s="6">
        <f t="shared" si="31"/>
        <v>4213.329601478018</v>
      </c>
      <c r="M124">
        <f t="shared" si="32"/>
        <v>7.9454818723562646</v>
      </c>
      <c r="N124">
        <f t="shared" si="33"/>
        <v>33.58676727972437</v>
      </c>
      <c r="O124">
        <f t="shared" si="34"/>
        <v>872.74942254013024</v>
      </c>
    </row>
    <row r="125" spans="1:15" x14ac:dyDescent="0.2">
      <c r="A125" s="2">
        <v>112</v>
      </c>
      <c r="B125" s="4">
        <f t="shared" si="35"/>
        <v>2.8204606591002284</v>
      </c>
      <c r="C125" s="2">
        <f t="shared" si="36"/>
        <v>-5.4407874277936693E-3</v>
      </c>
      <c r="D125" s="7">
        <f t="shared" si="37"/>
        <v>241.2169066141372</v>
      </c>
      <c r="E125" s="5">
        <f t="shared" si="38"/>
        <v>0.58071117105464831</v>
      </c>
      <c r="F125" s="2">
        <f t="shared" si="39"/>
        <v>200.65317315118241</v>
      </c>
      <c r="G125" s="2">
        <f t="shared" si="40"/>
        <v>8146.1350455074471</v>
      </c>
      <c r="H125" s="2">
        <f t="shared" si="41"/>
        <v>132.33609756699985</v>
      </c>
      <c r="I125" s="2">
        <f t="shared" si="42"/>
        <v>8859.8303229683024</v>
      </c>
      <c r="J125" s="5">
        <f t="shared" si="43"/>
        <v>1.6030023995532146</v>
      </c>
      <c r="K125" s="6">
        <f t="shared" si="31"/>
        <v>4208.2244627525943</v>
      </c>
      <c r="M125">
        <f t="shared" si="32"/>
        <v>8.1461350455074477</v>
      </c>
      <c r="N125">
        <f t="shared" si="33"/>
        <v>33.272299217530964</v>
      </c>
      <c r="O125">
        <f t="shared" si="34"/>
        <v>885.98303229683029</v>
      </c>
    </row>
    <row r="126" spans="1:15" x14ac:dyDescent="0.2">
      <c r="A126" s="2">
        <v>113</v>
      </c>
      <c r="B126" s="4">
        <f t="shared" si="35"/>
        <v>2.832391857005931</v>
      </c>
      <c r="C126" s="2">
        <f t="shared" si="36"/>
        <v>-5.393507325414465E-3</v>
      </c>
      <c r="D126" s="7">
        <f t="shared" si="37"/>
        <v>244.03736727323744</v>
      </c>
      <c r="E126" s="5">
        <f t="shared" si="38"/>
        <v>0.57527038362685468</v>
      </c>
      <c r="F126" s="2">
        <f t="shared" si="39"/>
        <v>203.70560485158157</v>
      </c>
      <c r="G126" s="2">
        <f t="shared" si="40"/>
        <v>8349.8406503590286</v>
      </c>
      <c r="H126" s="2">
        <f t="shared" si="41"/>
        <v>132.77137871831624</v>
      </c>
      <c r="I126" s="2">
        <f t="shared" si="42"/>
        <v>8992.601701686619</v>
      </c>
      <c r="J126" s="5">
        <f t="shared" si="43"/>
        <v>1.602759031159233</v>
      </c>
      <c r="K126" s="6">
        <f t="shared" si="31"/>
        <v>4203.1193240271714</v>
      </c>
      <c r="M126">
        <f t="shared" si="32"/>
        <v>8.3498406503590292</v>
      </c>
      <c r="N126">
        <f t="shared" si="33"/>
        <v>32.960565060690548</v>
      </c>
      <c r="O126">
        <f t="shared" si="34"/>
        <v>899.26017016866194</v>
      </c>
    </row>
    <row r="127" spans="1:15" x14ac:dyDescent="0.2">
      <c r="A127" s="2">
        <v>114</v>
      </c>
      <c r="B127" s="4">
        <f t="shared" si="35"/>
        <v>2.8442941686924765</v>
      </c>
      <c r="C127" s="2">
        <f t="shared" si="36"/>
        <v>-5.3466603056239121E-3</v>
      </c>
      <c r="D127" s="7">
        <f t="shared" si="37"/>
        <v>246.86975913024338</v>
      </c>
      <c r="E127" s="5">
        <f t="shared" si="38"/>
        <v>0.56987687630144024</v>
      </c>
      <c r="F127" s="2">
        <f t="shared" si="39"/>
        <v>206.7718335210991</v>
      </c>
      <c r="G127" s="2">
        <f t="shared" si="40"/>
        <v>8556.6124838801279</v>
      </c>
      <c r="H127" s="2">
        <f t="shared" si="41"/>
        <v>133.19324286413561</v>
      </c>
      <c r="I127" s="2">
        <f t="shared" si="42"/>
        <v>9125.7949445507547</v>
      </c>
      <c r="J127" s="5">
        <f t="shared" si="43"/>
        <v>1.6025149451757701</v>
      </c>
      <c r="K127" s="6">
        <f t="shared" si="31"/>
        <v>4198.0141853017485</v>
      </c>
      <c r="M127">
        <f t="shared" si="32"/>
        <v>8.5566124838801283</v>
      </c>
      <c r="N127">
        <f t="shared" si="33"/>
        <v>32.651539854171411</v>
      </c>
      <c r="O127">
        <f t="shared" si="34"/>
        <v>912.57949445507552</v>
      </c>
    </row>
    <row r="128" spans="1:15" x14ac:dyDescent="0.2">
      <c r="A128" s="2">
        <v>115</v>
      </c>
      <c r="B128" s="4">
        <f t="shared" si="35"/>
        <v>2.8561673391440232</v>
      </c>
      <c r="C128" s="2">
        <f t="shared" si="36"/>
        <v>-5.3002438133161345E-3</v>
      </c>
      <c r="D128" s="7">
        <f t="shared" si="37"/>
        <v>249.71405329893585</v>
      </c>
      <c r="E128" s="5">
        <f t="shared" si="38"/>
        <v>0.56453021599581632</v>
      </c>
      <c r="F128" s="2">
        <f t="shared" si="39"/>
        <v>209.85170578006313</v>
      </c>
      <c r="G128" s="2">
        <f t="shared" si="40"/>
        <v>8766.4641896601916</v>
      </c>
      <c r="H128" s="2">
        <f t="shared" si="41"/>
        <v>133.60175876909429</v>
      </c>
      <c r="I128" s="2">
        <f t="shared" si="42"/>
        <v>9259.3967033198496</v>
      </c>
      <c r="J128" s="5">
        <f t="shared" si="43"/>
        <v>1.6022701665688837</v>
      </c>
      <c r="K128" s="6">
        <f t="shared" si="31"/>
        <v>4192.9090465763247</v>
      </c>
      <c r="M128">
        <f t="shared" si="32"/>
        <v>8.7664641896601907</v>
      </c>
      <c r="N128">
        <f t="shared" si="33"/>
        <v>32.345198784169028</v>
      </c>
      <c r="O128">
        <f t="shared" si="34"/>
        <v>925.93967033198498</v>
      </c>
    </row>
    <row r="129" spans="1:15" x14ac:dyDescent="0.2">
      <c r="A129" s="2">
        <v>116</v>
      </c>
      <c r="B129" s="4">
        <f t="shared" si="35"/>
        <v>2.868011134822936</v>
      </c>
      <c r="C129" s="2">
        <f t="shared" si="36"/>
        <v>-5.2542552088509047E-3</v>
      </c>
      <c r="D129" s="7">
        <f t="shared" si="37"/>
        <v>252.57022063807989</v>
      </c>
      <c r="E129" s="5">
        <f t="shared" si="38"/>
        <v>0.55922997218250015</v>
      </c>
      <c r="F129" s="2">
        <f t="shared" si="39"/>
        <v>212.94507078523429</v>
      </c>
      <c r="G129" s="2">
        <f t="shared" si="40"/>
        <v>8979.4092604454254</v>
      </c>
      <c r="H129" s="2">
        <f t="shared" si="41"/>
        <v>133.99699611126596</v>
      </c>
      <c r="I129" s="2">
        <f t="shared" si="42"/>
        <v>9393.3936994311152</v>
      </c>
      <c r="J129" s="5">
        <f t="shared" si="43"/>
        <v>1.6020247201558966</v>
      </c>
      <c r="K129" s="6">
        <f t="shared" si="31"/>
        <v>4187.8039078509019</v>
      </c>
      <c r="M129">
        <f t="shared" si="32"/>
        <v>8.9794092604454256</v>
      </c>
      <c r="N129">
        <f t="shared" si="33"/>
        <v>32.041517183275687</v>
      </c>
      <c r="O129">
        <f t="shared" si="34"/>
        <v>939.33936994311148</v>
      </c>
    </row>
    <row r="130" spans="1:15" x14ac:dyDescent="0.2">
      <c r="A130" s="2">
        <v>117</v>
      </c>
      <c r="B130" s="4">
        <f t="shared" si="35"/>
        <v>2.8798253429666629</v>
      </c>
      <c r="C130" s="2">
        <f t="shared" si="36"/>
        <v>-5.2086917735327141E-3</v>
      </c>
      <c r="D130" s="7">
        <f t="shared" si="37"/>
        <v>255.43823177290284</v>
      </c>
      <c r="E130" s="5">
        <f t="shared" si="38"/>
        <v>0.55397571697364922</v>
      </c>
      <c r="F130" s="2">
        <f t="shared" si="39"/>
        <v>216.05178020496288</v>
      </c>
      <c r="G130" s="2">
        <f t="shared" si="40"/>
        <v>9195.4610406503889</v>
      </c>
      <c r="H130" s="2">
        <f t="shared" si="41"/>
        <v>134.37902543903911</v>
      </c>
      <c r="I130" s="2">
        <f t="shared" si="42"/>
        <v>9527.772724870154</v>
      </c>
      <c r="J130" s="5">
        <f t="shared" si="43"/>
        <v>1.6017786306037973</v>
      </c>
      <c r="K130" s="6">
        <f t="shared" si="31"/>
        <v>4182.6987691254781</v>
      </c>
      <c r="M130">
        <f t="shared" si="32"/>
        <v>9.1954610406503896</v>
      </c>
      <c r="N130">
        <f t="shared" si="33"/>
        <v>31.740470535323901</v>
      </c>
      <c r="O130">
        <f t="shared" si="34"/>
        <v>952.77727248701535</v>
      </c>
    </row>
    <row r="131" spans="1:15" x14ac:dyDescent="0.2">
      <c r="A131" s="2">
        <v>118</v>
      </c>
      <c r="B131" s="4">
        <f t="shared" si="35"/>
        <v>2.8916097709012707</v>
      </c>
      <c r="C131" s="2">
        <f t="shared" si="36"/>
        <v>-5.163550714882224E-3</v>
      </c>
      <c r="D131" s="7">
        <f t="shared" si="37"/>
        <v>258.31805711586952</v>
      </c>
      <c r="E131" s="5">
        <f t="shared" si="38"/>
        <v>0.54876702520011655</v>
      </c>
      <c r="F131" s="2">
        <f t="shared" si="39"/>
        <v>219.17168819404023</v>
      </c>
      <c r="G131" s="2">
        <f t="shared" si="40"/>
        <v>9414.6327288444299</v>
      </c>
      <c r="H131" s="2">
        <f t="shared" si="41"/>
        <v>134.74791812931713</v>
      </c>
      <c r="I131" s="2">
        <f t="shared" si="42"/>
        <v>9662.5206429994705</v>
      </c>
      <c r="J131" s="5">
        <f t="shared" si="43"/>
        <v>1.6015319224277247</v>
      </c>
      <c r="K131" s="6">
        <f t="shared" si="31"/>
        <v>4177.5936304000552</v>
      </c>
      <c r="M131">
        <f t="shared" si="32"/>
        <v>9.4146327288444294</v>
      </c>
      <c r="N131">
        <f t="shared" si="33"/>
        <v>31.442034479915968</v>
      </c>
      <c r="O131">
        <f t="shared" si="34"/>
        <v>966.25206429994705</v>
      </c>
    </row>
    <row r="132" spans="1:15" x14ac:dyDescent="0.2">
      <c r="A132" s="2">
        <v>119</v>
      </c>
      <c r="B132" s="4">
        <f t="shared" si="35"/>
        <v>2.9033642453715629</v>
      </c>
      <c r="C132" s="2">
        <f t="shared" si="36"/>
        <v>-5.1188291717052994E-3</v>
      </c>
      <c r="D132" s="7">
        <f t="shared" si="37"/>
        <v>261.20966688677078</v>
      </c>
      <c r="E132" s="5">
        <f t="shared" si="38"/>
        <v>0.54360347448523438</v>
      </c>
      <c r="F132" s="2">
        <f t="shared" si="39"/>
        <v>222.30465136827891</v>
      </c>
      <c r="G132" s="2">
        <f t="shared" si="40"/>
        <v>9636.9373802127084</v>
      </c>
      <c r="H132" s="2">
        <f t="shared" si="41"/>
        <v>135.10374634701256</v>
      </c>
      <c r="I132" s="2">
        <f t="shared" si="42"/>
        <v>9797.6243893464834</v>
      </c>
      <c r="J132" s="5">
        <f t="shared" si="43"/>
        <v>1.6012846199895403</v>
      </c>
      <c r="K132" s="6">
        <f t="shared" si="31"/>
        <v>4172.4884916746323</v>
      </c>
      <c r="M132">
        <f t="shared" si="32"/>
        <v>9.636937380212709</v>
      </c>
      <c r="N132">
        <f t="shared" si="33"/>
        <v>31.146184816651459</v>
      </c>
      <c r="O132">
        <f t="shared" si="34"/>
        <v>979.76243893464834</v>
      </c>
    </row>
    <row r="133" spans="1:15" x14ac:dyDescent="0.2">
      <c r="A133" s="2">
        <v>120</v>
      </c>
      <c r="B133" s="4">
        <f t="shared" si="35"/>
        <v>2.9150886118876258</v>
      </c>
      <c r="C133" s="2">
        <f t="shared" si="36"/>
        <v>-5.0745242189647677E-3</v>
      </c>
      <c r="D133" s="7">
        <f t="shared" si="37"/>
        <v>264.11303113214234</v>
      </c>
      <c r="E133" s="5">
        <f t="shared" si="38"/>
        <v>0.53848464531352913</v>
      </c>
      <c r="F133" s="2">
        <f t="shared" si="39"/>
        <v>225.45052877885573</v>
      </c>
      <c r="G133" s="2">
        <f t="shared" si="40"/>
        <v>9862.3879089915645</v>
      </c>
      <c r="H133" s="2">
        <f t="shared" si="41"/>
        <v>135.44658300580718</v>
      </c>
      <c r="I133" s="2">
        <f t="shared" si="42"/>
        <v>9933.0709723522905</v>
      </c>
      <c r="J133" s="5">
        <f t="shared" si="43"/>
        <v>1.6010367474964726</v>
      </c>
      <c r="K133" s="6">
        <f t="shared" si="31"/>
        <v>4167.3833529492085</v>
      </c>
      <c r="M133">
        <f t="shared" si="32"/>
        <v>9.8623879089915647</v>
      </c>
      <c r="N133">
        <f t="shared" si="33"/>
        <v>30.852897509064302</v>
      </c>
      <c r="O133">
        <f t="shared" si="34"/>
        <v>993.30709723522909</v>
      </c>
    </row>
    <row r="134" spans="1:15" x14ac:dyDescent="0.2">
      <c r="A134" s="2">
        <v>121</v>
      </c>
      <c r="B134" s="4">
        <f t="shared" si="35"/>
        <v>2.9267827340876567</v>
      </c>
      <c r="C134" s="2">
        <f t="shared" si="36"/>
        <v>-5.0306328724602379E-3</v>
      </c>
      <c r="D134" s="7">
        <f t="shared" si="37"/>
        <v>267.02811974402994</v>
      </c>
      <c r="E134" s="5">
        <f t="shared" si="38"/>
        <v>0.53341012109456432</v>
      </c>
      <c r="F134" s="2">
        <f t="shared" si="39"/>
        <v>228.60918188645186</v>
      </c>
      <c r="G134" s="2">
        <f t="shared" si="40"/>
        <v>10090.997090878016</v>
      </c>
      <c r="H134" s="2">
        <f t="shared" si="41"/>
        <v>135.7765017301495</v>
      </c>
      <c r="I134" s="2">
        <f t="shared" si="42"/>
        <v>10068.84747408244</v>
      </c>
      <c r="J134" s="5">
        <f t="shared" si="43"/>
        <v>1.6007883289998466</v>
      </c>
      <c r="K134" s="6">
        <f t="shared" si="31"/>
        <v>4162.2782142237857</v>
      </c>
      <c r="M134">
        <f t="shared" si="32"/>
        <v>10.090997090878016</v>
      </c>
      <c r="N134">
        <f t="shared" si="33"/>
        <v>30.562148688280701</v>
      </c>
      <c r="O134">
        <f t="shared" si="34"/>
        <v>1006.884747408244</v>
      </c>
    </row>
    <row r="135" spans="1:15" x14ac:dyDescent="0.2">
      <c r="A135" s="2">
        <v>122</v>
      </c>
      <c r="B135" s="4">
        <f t="shared" si="35"/>
        <v>2.9384464931169192</v>
      </c>
      <c r="C135" s="2">
        <f t="shared" si="36"/>
        <v>-4.9871520933210973E-3</v>
      </c>
      <c r="D135" s="7">
        <f t="shared" si="37"/>
        <v>269.95490247811762</v>
      </c>
      <c r="E135" s="5">
        <f t="shared" si="38"/>
        <v>0.52837948822210412</v>
      </c>
      <c r="F135" s="2">
        <f t="shared" si="39"/>
        <v>231.78047453521867</v>
      </c>
      <c r="G135" s="2">
        <f t="shared" si="40"/>
        <v>10322.777565413235</v>
      </c>
      <c r="H135" s="2">
        <f t="shared" si="41"/>
        <v>136.09357681846183</v>
      </c>
      <c r="I135" s="2">
        <f t="shared" si="42"/>
        <v>10204.941050900903</v>
      </c>
      <c r="J135" s="5">
        <f t="shared" si="43"/>
        <v>1.6005393883938872</v>
      </c>
      <c r="K135" s="6">
        <f t="shared" si="31"/>
        <v>4157.1730754983619</v>
      </c>
      <c r="M135">
        <f t="shared" si="32"/>
        <v>10.322777565413235</v>
      </c>
      <c r="N135">
        <f t="shared" si="33"/>
        <v>30.273914656408955</v>
      </c>
      <c r="O135">
        <f t="shared" si="34"/>
        <v>1020.4941050900903</v>
      </c>
    </row>
    <row r="136" spans="1:15" x14ac:dyDescent="0.2">
      <c r="A136" s="2">
        <v>123</v>
      </c>
      <c r="B136" s="4">
        <f t="shared" si="35"/>
        <v>2.9500797870226196</v>
      </c>
      <c r="C136" s="2">
        <f t="shared" si="36"/>
        <v>-4.9440787923179397E-3</v>
      </c>
      <c r="D136" s="7">
        <f t="shared" si="37"/>
        <v>272.89334897123456</v>
      </c>
      <c r="E136" s="5">
        <f t="shared" si="38"/>
        <v>0.523392336128783</v>
      </c>
      <c r="F136" s="2">
        <f t="shared" si="39"/>
        <v>234.96427292660036</v>
      </c>
      <c r="G136" s="2">
        <f t="shared" si="40"/>
        <v>10557.741838339834</v>
      </c>
      <c r="H136" s="2">
        <f t="shared" si="41"/>
        <v>136.3978832075282</v>
      </c>
      <c r="I136" s="2">
        <f t="shared" si="42"/>
        <v>10341.338934108431</v>
      </c>
      <c r="J136" s="5">
        <f t="shared" si="43"/>
        <v>1.6002899494145946</v>
      </c>
      <c r="K136" s="6">
        <f t="shared" si="31"/>
        <v>4152.067936772939</v>
      </c>
      <c r="M136">
        <f t="shared" si="32"/>
        <v>10.557741838339835</v>
      </c>
      <c r="N136">
        <f t="shared" si="33"/>
        <v>29.988171889671818</v>
      </c>
      <c r="O136">
        <f t="shared" si="34"/>
        <v>1034.133893410843</v>
      </c>
    </row>
    <row r="137" spans="1:15" x14ac:dyDescent="0.2">
      <c r="A137" s="2">
        <v>124</v>
      </c>
      <c r="B137" s="4">
        <f t="shared" si="35"/>
        <v>2.9616825301645386</v>
      </c>
      <c r="C137" s="2">
        <f t="shared" si="36"/>
        <v>-4.9014098339975705E-3</v>
      </c>
      <c r="D137" s="7">
        <f t="shared" si="37"/>
        <v>275.84342875825718</v>
      </c>
      <c r="E137" s="5">
        <f t="shared" si="38"/>
        <v>0.51844825733646505</v>
      </c>
      <c r="F137" s="2">
        <f t="shared" si="39"/>
        <v>238.16044559304052</v>
      </c>
      <c r="G137" s="2">
        <f t="shared" si="40"/>
        <v>10795.902283932875</v>
      </c>
      <c r="H137" s="2">
        <f t="shared" si="41"/>
        <v>136.68949643803657</v>
      </c>
      <c r="I137" s="2">
        <f t="shared" si="42"/>
        <v>10478.028430546468</v>
      </c>
      <c r="J137" s="5">
        <f t="shared" si="43"/>
        <v>1.6000400356386923</v>
      </c>
      <c r="K137" s="6">
        <f t="shared" si="31"/>
        <v>4146.9627980475152</v>
      </c>
      <c r="M137">
        <f t="shared" si="32"/>
        <v>10.795902283932875</v>
      </c>
      <c r="N137">
        <f t="shared" si="33"/>
        <v>29.704897041291865</v>
      </c>
      <c r="O137">
        <f t="shared" si="34"/>
        <v>1047.8028430546469</v>
      </c>
    </row>
    <row r="138" spans="1:15" x14ac:dyDescent="0.2">
      <c r="A138" s="2">
        <v>125</v>
      </c>
      <c r="B138" s="4">
        <f t="shared" si="35"/>
        <v>2.9732546526411805</v>
      </c>
      <c r="C138" s="2">
        <f t="shared" si="36"/>
        <v>-4.8591420406467337E-3</v>
      </c>
      <c r="D138" s="7">
        <f t="shared" si="37"/>
        <v>278.8051112884217</v>
      </c>
      <c r="E138" s="5">
        <f t="shared" si="38"/>
        <v>0.51354684750246749</v>
      </c>
      <c r="F138" s="2">
        <f t="shared" si="39"/>
        <v>241.36886337159908</v>
      </c>
      <c r="G138" s="2">
        <f t="shared" si="40"/>
        <v>11037.271147304475</v>
      </c>
      <c r="H138" s="2">
        <f t="shared" si="41"/>
        <v>136.96849262124681</v>
      </c>
      <c r="I138" s="2">
        <f t="shared" si="42"/>
        <v>10614.996923167715</v>
      </c>
      <c r="J138" s="5">
        <f t="shared" si="43"/>
        <v>1.5997896704826409</v>
      </c>
      <c r="K138" s="6">
        <f t="shared" si="31"/>
        <v>4141.8576593220923</v>
      </c>
      <c r="M138">
        <f t="shared" si="32"/>
        <v>11.037271147304475</v>
      </c>
      <c r="N138">
        <f t="shared" si="33"/>
        <v>29.424066944139888</v>
      </c>
      <c r="O138">
        <f t="shared" si="34"/>
        <v>1061.4996923167714</v>
      </c>
    </row>
    <row r="139" spans="1:15" x14ac:dyDescent="0.2">
      <c r="A139" s="2">
        <v>126</v>
      </c>
      <c r="B139" s="4">
        <f t="shared" si="35"/>
        <v>2.9847960997312502</v>
      </c>
      <c r="C139" s="2">
        <f t="shared" si="36"/>
        <v>-4.8172721960896593E-3</v>
      </c>
      <c r="D139" s="7">
        <f t="shared" si="37"/>
        <v>281.77836594106287</v>
      </c>
      <c r="E139" s="5">
        <f t="shared" si="38"/>
        <v>0.50868770546182074</v>
      </c>
      <c r="F139" s="2">
        <f t="shared" si="39"/>
        <v>244.58939937750472</v>
      </c>
      <c r="G139" s="2">
        <f t="shared" si="40"/>
        <v>11281.860546681979</v>
      </c>
      <c r="H139" s="2">
        <f t="shared" si="41"/>
        <v>137.23494840675735</v>
      </c>
      <c r="I139" s="2">
        <f t="shared" si="42"/>
        <v>10752.231871574473</v>
      </c>
      <c r="J139" s="5">
        <f t="shared" si="43"/>
        <v>1.5995388772017234</v>
      </c>
      <c r="K139" s="6">
        <f t="shared" si="31"/>
        <v>4136.7525205966685</v>
      </c>
      <c r="M139">
        <f t="shared" si="32"/>
        <v>11.28186054668198</v>
      </c>
      <c r="N139">
        <f t="shared" si="33"/>
        <v>29.145658613156243</v>
      </c>
      <c r="O139">
        <f t="shared" si="34"/>
        <v>1075.2231871574472</v>
      </c>
    </row>
    <row r="140" spans="1:15" x14ac:dyDescent="0.2">
      <c r="A140" s="2">
        <v>127</v>
      </c>
      <c r="B140" s="4">
        <f t="shared" si="35"/>
        <v>2.9963068313501982</v>
      </c>
      <c r="C140" s="2">
        <f t="shared" si="36"/>
        <v>-4.7757970493244291E-3</v>
      </c>
      <c r="D140" s="7">
        <f t="shared" si="37"/>
        <v>284.7631620407941</v>
      </c>
      <c r="E140" s="5">
        <f t="shared" si="38"/>
        <v>0.50387043326573111</v>
      </c>
      <c r="F140" s="2">
        <f t="shared" si="39"/>
        <v>247.82192897766586</v>
      </c>
      <c r="G140" s="2">
        <f t="shared" si="40"/>
        <v>11529.682475659645</v>
      </c>
      <c r="H140" s="2">
        <f t="shared" si="41"/>
        <v>137.48894095134401</v>
      </c>
      <c r="I140" s="2">
        <f t="shared" si="42"/>
        <v>10889.720812525817</v>
      </c>
      <c r="J140" s="5">
        <f t="shared" si="43"/>
        <v>1.5992876788891897</v>
      </c>
      <c r="K140" s="6">
        <f t="shared" si="31"/>
        <v>4131.6473818712457</v>
      </c>
      <c r="M140">
        <f t="shared" si="32"/>
        <v>11.529682475659644</v>
      </c>
      <c r="N140">
        <f t="shared" si="33"/>
        <v>28.869649247554591</v>
      </c>
      <c r="O140">
        <f t="shared" si="34"/>
        <v>1088.9720812525816</v>
      </c>
    </row>
    <row r="141" spans="1:15" x14ac:dyDescent="0.2">
      <c r="A141" s="2">
        <v>128</v>
      </c>
      <c r="B141" s="4">
        <f t="shared" si="35"/>
        <v>3.0077868215216306</v>
      </c>
      <c r="C141" s="2">
        <f t="shared" si="36"/>
        <v>-4.7347133180031635E-3</v>
      </c>
      <c r="D141" s="7">
        <f t="shared" si="37"/>
        <v>287.75946887214428</v>
      </c>
      <c r="E141" s="5">
        <f t="shared" si="38"/>
        <v>0.49909463621640671</v>
      </c>
      <c r="F141" s="2">
        <f t="shared" si="39"/>
        <v>251.06632976416401</v>
      </c>
      <c r="G141" s="2">
        <f t="shared" si="40"/>
        <v>11780.748805423809</v>
      </c>
      <c r="H141" s="2">
        <f t="shared" si="41"/>
        <v>137.73054788884386</v>
      </c>
      <c r="I141" s="2">
        <f t="shared" si="42"/>
        <v>11027.451360414661</v>
      </c>
      <c r="J141" s="5">
        <f t="shared" si="43"/>
        <v>1.5990360984754659</v>
      </c>
      <c r="K141" s="6">
        <f t="shared" si="31"/>
        <v>4126.5422431458228</v>
      </c>
      <c r="M141">
        <f t="shared" si="32"/>
        <v>11.780748805423809</v>
      </c>
      <c r="N141">
        <f t="shared" si="33"/>
        <v>28.59601623281727</v>
      </c>
      <c r="O141">
        <f t="shared" si="34"/>
        <v>1102.7451360414661</v>
      </c>
    </row>
    <row r="142" spans="1:15" x14ac:dyDescent="0.2">
      <c r="A142" s="2">
        <v>129</v>
      </c>
      <c r="B142" s="4">
        <f t="shared" si="35"/>
        <v>3.0192360578633082</v>
      </c>
      <c r="C142" s="2">
        <f t="shared" si="36"/>
        <v>-4.6940176917609107E-3</v>
      </c>
      <c r="D142" s="7">
        <f t="shared" si="37"/>
        <v>290.7672556936659</v>
      </c>
      <c r="E142" s="5">
        <f t="shared" si="38"/>
        <v>0.49435992289840353</v>
      </c>
      <c r="F142" s="2">
        <f t="shared" si="39"/>
        <v>254.32248152774818</v>
      </c>
      <c r="G142" s="2">
        <f t="shared" si="40"/>
        <v>12035.071286951557</v>
      </c>
      <c r="H142" s="2">
        <f t="shared" si="41"/>
        <v>137.95984730105806</v>
      </c>
      <c r="I142" s="2">
        <f t="shared" si="42"/>
        <v>11165.411207715719</v>
      </c>
      <c r="J142" s="5">
        <f t="shared" si="43"/>
        <v>1.5987841587274236</v>
      </c>
      <c r="K142" s="6">
        <f t="shared" ref="K142:K205" si="44">$B$1-($B$7*A142)</f>
        <v>4121.437104420399</v>
      </c>
      <c r="M142">
        <f t="shared" ref="M142:M205" si="45">G142/1000</f>
        <v>12.035071286951558</v>
      </c>
      <c r="N142">
        <f t="shared" ref="N142:N205" si="46">E142*180/PI()</f>
        <v>28.324737142491305</v>
      </c>
      <c r="O142">
        <f t="shared" ref="O142:O205" si="47">I142/10</f>
        <v>1116.541120771572</v>
      </c>
    </row>
    <row r="143" spans="1:15" x14ac:dyDescent="0.2">
      <c r="A143" s="2">
        <v>130</v>
      </c>
      <c r="B143" s="4">
        <f t="shared" si="35"/>
        <v>3.0306545410875065</v>
      </c>
      <c r="C143" s="2">
        <f t="shared" si="36"/>
        <v>-4.6537068353980655E-3</v>
      </c>
      <c r="D143" s="7">
        <f t="shared" si="37"/>
        <v>293.78649175152918</v>
      </c>
      <c r="E143" s="5">
        <f t="shared" si="38"/>
        <v>0.4896659052066426</v>
      </c>
      <c r="F143" s="2">
        <f t="shared" si="39"/>
        <v>257.59026623135298</v>
      </c>
      <c r="G143" s="2">
        <f t="shared" si="40"/>
        <v>12292.66155318291</v>
      </c>
      <c r="H143" s="2">
        <f t="shared" si="41"/>
        <v>138.17691768964769</v>
      </c>
      <c r="I143" s="2">
        <f t="shared" si="42"/>
        <v>11303.588125405366</v>
      </c>
      <c r="J143" s="5">
        <f t="shared" si="43"/>
        <v>1.5985318822477075</v>
      </c>
      <c r="K143" s="6">
        <f t="shared" si="44"/>
        <v>4116.3319656949761</v>
      </c>
      <c r="M143">
        <f t="shared" si="45"/>
        <v>12.29266155318291</v>
      </c>
      <c r="N143">
        <f t="shared" si="46"/>
        <v>28.055789739793667</v>
      </c>
      <c r="O143">
        <f t="shared" si="47"/>
        <v>1130.3588125405365</v>
      </c>
    </row>
    <row r="144" spans="1:15" x14ac:dyDescent="0.2">
      <c r="A144" s="2">
        <v>131</v>
      </c>
      <c r="B144" s="4">
        <f t="shared" si="35"/>
        <v>3.0420422845154733</v>
      </c>
      <c r="C144" s="2">
        <f t="shared" si="36"/>
        <v>-4.6137773919210688E-3</v>
      </c>
      <c r="D144" s="7">
        <f t="shared" si="37"/>
        <v>296.81714629261671</v>
      </c>
      <c r="E144" s="5">
        <f t="shared" si="38"/>
        <v>0.48501219837124454</v>
      </c>
      <c r="F144" s="2">
        <f t="shared" si="39"/>
        <v>260.86956798365702</v>
      </c>
      <c r="G144" s="2">
        <f t="shared" si="40"/>
        <v>12553.531121166567</v>
      </c>
      <c r="H144" s="2">
        <f t="shared" si="41"/>
        <v>138.3818379489968</v>
      </c>
      <c r="I144" s="2">
        <f t="shared" si="42"/>
        <v>11441.969963354362</v>
      </c>
      <c r="J144" s="5">
        <f t="shared" si="43"/>
        <v>1.5982792914741166</v>
      </c>
      <c r="K144" s="6">
        <f t="shared" si="44"/>
        <v>4111.2268269695523</v>
      </c>
      <c r="M144">
        <f t="shared" si="45"/>
        <v>12.553531121166566</v>
      </c>
      <c r="N144">
        <f t="shared" si="46"/>
        <v>27.789151979034173</v>
      </c>
      <c r="O144">
        <f t="shared" si="47"/>
        <v>1144.1969963354363</v>
      </c>
    </row>
    <row r="145" spans="1:15" x14ac:dyDescent="0.2">
      <c r="A145" s="2">
        <v>132</v>
      </c>
      <c r="B145" s="4">
        <f t="shared" si="35"/>
        <v>3.0533993136057149</v>
      </c>
      <c r="C145" s="2">
        <f t="shared" si="36"/>
        <v>-4.5742259854460393E-3</v>
      </c>
      <c r="D145" s="7">
        <f t="shared" si="37"/>
        <v>299.85918857713216</v>
      </c>
      <c r="E145" s="5">
        <f t="shared" si="38"/>
        <v>0.48039842097932345</v>
      </c>
      <c r="F145" s="2">
        <f t="shared" si="39"/>
        <v>264.16027301269986</v>
      </c>
      <c r="G145" s="2">
        <f t="shared" si="40"/>
        <v>12817.691394179266</v>
      </c>
      <c r="H145" s="2">
        <f t="shared" si="41"/>
        <v>138.57468734001762</v>
      </c>
      <c r="I145" s="2">
        <f t="shared" si="42"/>
        <v>11580.544650694381</v>
      </c>
      <c r="J145" s="5">
        <f t="shared" si="43"/>
        <v>1.5980264086790437</v>
      </c>
      <c r="K145" s="6">
        <f t="shared" si="44"/>
        <v>4106.1216882441295</v>
      </c>
      <c r="M145">
        <f t="shared" si="45"/>
        <v>12.817691394179267</v>
      </c>
      <c r="N145">
        <f t="shared" si="46"/>
        <v>27.524802006864217</v>
      </c>
      <c r="O145">
        <f t="shared" si="47"/>
        <v>1158.054465069438</v>
      </c>
    </row>
    <row r="146" spans="1:15" x14ac:dyDescent="0.2">
      <c r="A146" s="2">
        <v>133</v>
      </c>
      <c r="B146" s="4">
        <f t="shared" si="35"/>
        <v>3.0647256654958648</v>
      </c>
      <c r="C146" s="2">
        <f t="shared" si="36"/>
        <v>-4.5350492239699235E-3</v>
      </c>
      <c r="D146" s="7">
        <f t="shared" si="37"/>
        <v>302.91258789073788</v>
      </c>
      <c r="E146" s="5">
        <f t="shared" si="38"/>
        <v>0.4758241949938774</v>
      </c>
      <c r="F146" s="2">
        <f t="shared" si="39"/>
        <v>267.46226963957531</v>
      </c>
      <c r="G146" s="2">
        <f t="shared" si="40"/>
        <v>13085.153663818841</v>
      </c>
      <c r="H146" s="2">
        <f t="shared" si="41"/>
        <v>138.75554546487339</v>
      </c>
      <c r="I146" s="2">
        <f t="shared" si="42"/>
        <v>11719.300196159254</v>
      </c>
      <c r="J146" s="5">
        <f t="shared" si="43"/>
        <v>1.5977732559689657</v>
      </c>
      <c r="K146" s="6">
        <f t="shared" si="44"/>
        <v>4101.0165495187066</v>
      </c>
      <c r="M146">
        <f t="shared" si="45"/>
        <v>13.085153663818842</v>
      </c>
      <c r="N146">
        <f t="shared" si="46"/>
        <v>27.262718163359089</v>
      </c>
      <c r="O146">
        <f t="shared" si="47"/>
        <v>1171.9300196159254</v>
      </c>
    </row>
    <row r="147" spans="1:15" x14ac:dyDescent="0.2">
      <c r="A147" s="2">
        <v>134</v>
      </c>
      <c r="B147" s="4">
        <f t="shared" si="35"/>
        <v>3.0760213885578538</v>
      </c>
      <c r="C147" s="2">
        <f t="shared" si="36"/>
        <v>-4.4962437020136335E-3</v>
      </c>
      <c r="D147" s="7">
        <f t="shared" si="37"/>
        <v>305.97731355623375</v>
      </c>
      <c r="E147" s="5">
        <f t="shared" si="38"/>
        <v>0.47128914576990749</v>
      </c>
      <c r="F147" s="2">
        <f t="shared" si="39"/>
        <v>270.77544825221418</v>
      </c>
      <c r="G147" s="2">
        <f t="shared" si="40"/>
        <v>13355.929112071055</v>
      </c>
      <c r="H147" s="2">
        <f t="shared" si="41"/>
        <v>138.9244922425938</v>
      </c>
      <c r="I147" s="2">
        <f t="shared" si="42"/>
        <v>11858.224688401848</v>
      </c>
      <c r="J147" s="5">
        <f t="shared" si="43"/>
        <v>1.5975198552839824</v>
      </c>
      <c r="K147" s="6">
        <f t="shared" si="44"/>
        <v>4095.9114107932828</v>
      </c>
      <c r="M147">
        <f t="shared" si="45"/>
        <v>13.355929112071054</v>
      </c>
      <c r="N147">
        <f t="shared" si="46"/>
        <v>27.002878982941532</v>
      </c>
      <c r="O147">
        <f t="shared" si="47"/>
        <v>1185.8224688401847</v>
      </c>
    </row>
    <row r="148" spans="1:15" x14ac:dyDescent="0.2">
      <c r="A148" s="2">
        <v>135</v>
      </c>
      <c r="B148" s="4">
        <f t="shared" si="35"/>
        <v>3.0872865419661117</v>
      </c>
      <c r="C148" s="2">
        <f t="shared" si="36"/>
        <v>-4.457806003141552E-3</v>
      </c>
      <c r="D148" s="7">
        <f t="shared" si="37"/>
        <v>309.05333494479163</v>
      </c>
      <c r="E148" s="5">
        <f t="shared" si="38"/>
        <v>0.46679290206789387</v>
      </c>
      <c r="F148" s="2">
        <f t="shared" si="39"/>
        <v>274.0997012792738</v>
      </c>
      <c r="G148" s="2">
        <f t="shared" si="40"/>
        <v>13630.028813350329</v>
      </c>
      <c r="H148" s="2">
        <f t="shared" si="41"/>
        <v>139.08160788555961</v>
      </c>
      <c r="I148" s="2">
        <f t="shared" si="42"/>
        <v>11997.306296287406</v>
      </c>
      <c r="J148" s="5">
        <f t="shared" si="43"/>
        <v>1.597266228397406</v>
      </c>
      <c r="K148" s="6">
        <f t="shared" si="44"/>
        <v>4090.8062720678595</v>
      </c>
      <c r="M148">
        <f t="shared" si="45"/>
        <v>13.630028813350329</v>
      </c>
      <c r="N148">
        <f t="shared" si="46"/>
        <v>26.745263195153878</v>
      </c>
      <c r="O148">
        <f t="shared" si="47"/>
        <v>1199.7306296287406</v>
      </c>
    </row>
    <row r="149" spans="1:15" x14ac:dyDescent="0.2">
      <c r="A149" s="2">
        <v>136</v>
      </c>
      <c r="B149" s="4">
        <f t="shared" si="35"/>
        <v>3.0985211952785425</v>
      </c>
      <c r="C149" s="2">
        <f t="shared" si="36"/>
        <v>-4.4197327023617417E-3</v>
      </c>
      <c r="D149" s="7">
        <f t="shared" si="37"/>
        <v>312.14062148675777</v>
      </c>
      <c r="E149" s="5">
        <f t="shared" si="38"/>
        <v>0.46233509606475232</v>
      </c>
      <c r="F149" s="2">
        <f t="shared" si="39"/>
        <v>277.43492316414586</v>
      </c>
      <c r="G149" s="2">
        <f t="shared" si="40"/>
        <v>13907.463736514475</v>
      </c>
      <c r="H149" s="2">
        <f t="shared" si="41"/>
        <v>139.22697287683272</v>
      </c>
      <c r="I149" s="2">
        <f t="shared" si="42"/>
        <v>12136.53326916424</v>
      </c>
      <c r="J149" s="5">
        <f t="shared" si="43"/>
        <v>1.5970123969153982</v>
      </c>
      <c r="K149" s="6">
        <f t="shared" si="44"/>
        <v>4085.7011333424362</v>
      </c>
      <c r="M149">
        <f t="shared" si="45"/>
        <v>13.907463736514476</v>
      </c>
      <c r="N149">
        <f t="shared" si="46"/>
        <v>26.489849725285783</v>
      </c>
      <c r="O149">
        <f t="shared" si="47"/>
        <v>1213.653326916424</v>
      </c>
    </row>
    <row r="150" spans="1:15" x14ac:dyDescent="0.2">
      <c r="A150" s="2">
        <v>137</v>
      </c>
      <c r="B150" s="4">
        <f t="shared" si="35"/>
        <v>3.1097254280299924</v>
      </c>
      <c r="C150" s="2">
        <f t="shared" si="36"/>
        <v>-4.3820203684109913E-3</v>
      </c>
      <c r="D150" s="7">
        <f t="shared" si="37"/>
        <v>315.23914268203629</v>
      </c>
      <c r="E150" s="5">
        <f t="shared" si="38"/>
        <v>0.45791536336239058</v>
      </c>
      <c r="F150" s="2">
        <f t="shared" si="39"/>
        <v>280.78101033909633</v>
      </c>
      <c r="G150" s="2">
        <f t="shared" si="40"/>
        <v>14188.244746853572</v>
      </c>
      <c r="H150" s="2">
        <f t="shared" si="41"/>
        <v>139.36066794830836</v>
      </c>
      <c r="I150" s="2">
        <f t="shared" si="42"/>
        <v>12275.893937112549</v>
      </c>
      <c r="J150" s="5">
        <f t="shared" si="43"/>
        <v>1.5967583822766518</v>
      </c>
      <c r="K150" s="6">
        <f t="shared" si="44"/>
        <v>4080.5959946170133</v>
      </c>
      <c r="M150">
        <f t="shared" si="45"/>
        <v>14.188244746853572</v>
      </c>
      <c r="N150">
        <f t="shared" si="46"/>
        <v>26.236617694864506</v>
      </c>
      <c r="O150">
        <f t="shared" si="47"/>
        <v>1227.5893937112548</v>
      </c>
    </row>
    <row r="151" spans="1:15" x14ac:dyDescent="0.2">
      <c r="A151" s="2">
        <v>138</v>
      </c>
      <c r="B151" s="4">
        <f t="shared" si="35"/>
        <v>3.1208993293379392</v>
      </c>
      <c r="C151" s="2">
        <f t="shared" si="36"/>
        <v>-4.3446655659288378E-3</v>
      </c>
      <c r="D151" s="7">
        <f t="shared" si="37"/>
        <v>318.34886811006629</v>
      </c>
      <c r="E151" s="5">
        <f t="shared" si="38"/>
        <v>0.45353334299397957</v>
      </c>
      <c r="F151" s="2">
        <f t="shared" si="39"/>
        <v>284.13786119954966</v>
      </c>
      <c r="G151" s="2">
        <f t="shared" si="40"/>
        <v>14472.382608053122</v>
      </c>
      <c r="H151" s="2">
        <f t="shared" si="41"/>
        <v>139.48277405966729</v>
      </c>
      <c r="I151" s="2">
        <f t="shared" si="42"/>
        <v>12415.376711172215</v>
      </c>
      <c r="J151" s="5">
        <f t="shared" si="43"/>
        <v>1.5965042057521146</v>
      </c>
      <c r="K151" s="6">
        <f t="shared" si="44"/>
        <v>4075.4908558915899</v>
      </c>
      <c r="M151">
        <f t="shared" si="45"/>
        <v>14.472382608053122</v>
      </c>
      <c r="N151">
        <f t="shared" si="46"/>
        <v>25.985546422014192</v>
      </c>
      <c r="O151">
        <f t="shared" si="47"/>
        <v>1241.5376711172216</v>
      </c>
    </row>
    <row r="152" spans="1:15" x14ac:dyDescent="0.2">
      <c r="A152" s="2">
        <v>139</v>
      </c>
      <c r="B152" s="4">
        <f t="shared" si="35"/>
        <v>3.1320429975201272</v>
      </c>
      <c r="C152" s="2">
        <f t="shared" si="36"/>
        <v>-4.3076648575245602E-3</v>
      </c>
      <c r="D152" s="7">
        <f t="shared" si="37"/>
        <v>321.46976743940422</v>
      </c>
      <c r="E152" s="5">
        <f t="shared" si="38"/>
        <v>0.44918867742805074</v>
      </c>
      <c r="F152" s="2">
        <f t="shared" si="39"/>
        <v>287.50537607852738</v>
      </c>
      <c r="G152" s="2">
        <f t="shared" si="40"/>
        <v>14759.887984131648</v>
      </c>
      <c r="H152" s="2">
        <f t="shared" si="41"/>
        <v>139.59337237810507</v>
      </c>
      <c r="I152" s="2">
        <f t="shared" si="42"/>
        <v>12554.970083550321</v>
      </c>
      <c r="J152" s="5">
        <f t="shared" si="43"/>
        <v>1.5962498884447611</v>
      </c>
      <c r="K152" s="6">
        <f t="shared" si="44"/>
        <v>4070.3857171661666</v>
      </c>
      <c r="M152">
        <f t="shared" si="45"/>
        <v>14.759887984131648</v>
      </c>
      <c r="N152">
        <f t="shared" si="46"/>
        <v>25.736615421690654</v>
      </c>
      <c r="O152">
        <f t="shared" si="47"/>
        <v>1255.497008355032</v>
      </c>
    </row>
    <row r="153" spans="1:15" x14ac:dyDescent="0.2">
      <c r="A153" s="2">
        <v>140</v>
      </c>
      <c r="B153" s="4">
        <f t="shared" si="35"/>
        <v>3.143156539723897</v>
      </c>
      <c r="C153" s="2">
        <f t="shared" si="36"/>
        <v>-4.2710148057409966E-3</v>
      </c>
      <c r="D153" s="7">
        <f t="shared" si="37"/>
        <v>324.60181043692432</v>
      </c>
      <c r="E153" s="5">
        <f t="shared" si="38"/>
        <v>0.4448810125705262</v>
      </c>
      <c r="F153" s="2">
        <f t="shared" si="39"/>
        <v>290.88345722125223</v>
      </c>
      <c r="G153" s="2">
        <f t="shared" si="40"/>
        <v>15050.771441352901</v>
      </c>
      <c r="H153" s="2">
        <f t="shared" si="41"/>
        <v>139.69254425881709</v>
      </c>
      <c r="I153" s="2">
        <f t="shared" si="42"/>
        <v>12694.662627809137</v>
      </c>
      <c r="J153" s="5">
        <f t="shared" si="43"/>
        <v>1.595995451289395</v>
      </c>
      <c r="K153" s="6">
        <f t="shared" si="44"/>
        <v>4065.2805784407433</v>
      </c>
      <c r="M153">
        <f t="shared" si="45"/>
        <v>15.050771441352902</v>
      </c>
      <c r="N153">
        <f t="shared" si="46"/>
        <v>25.489804405797674</v>
      </c>
      <c r="O153">
        <f t="shared" si="47"/>
        <v>1269.4662627809137</v>
      </c>
    </row>
    <row r="154" spans="1:15" x14ac:dyDescent="0.2">
      <c r="A154" s="2">
        <v>141</v>
      </c>
      <c r="B154" s="4">
        <f t="shared" ref="B154:B217" si="48">(($B$5/K154)-(J154*SIN(E154)))</f>
        <v>3.1542400715669112</v>
      </c>
      <c r="C154" s="2">
        <f t="shared" ref="C154:C217" si="49">-((J154/D154)-(D154/(1740000+(I154))))*COS(E154)</f>
        <v>-4.2347119749190434E-3</v>
      </c>
      <c r="D154" s="7">
        <f t="shared" ref="D154:D217" si="50">D153+B153</f>
        <v>327.74496697664824</v>
      </c>
      <c r="E154" s="5">
        <f t="shared" ref="E154:E217" si="51">E153+C153</f>
        <v>0.44060999776478521</v>
      </c>
      <c r="F154" s="2">
        <f t="shared" ref="F154:F217" si="52">((1740000/(1740000+(I154)))*D154*COS(E154))</f>
        <v>294.27200875992764</v>
      </c>
      <c r="G154" s="2">
        <f t="shared" ref="G154:G217" si="53">(F154 + G153)</f>
        <v>15345.043450112829</v>
      </c>
      <c r="H154" s="2">
        <f t="shared" ref="H154:H217" si="54">D154*SIN(E154)</f>
        <v>139.78037122621785</v>
      </c>
      <c r="I154" s="2">
        <f t="shared" ref="I154:I217" si="55">(H154+I153)</f>
        <v>12834.442999035355</v>
      </c>
      <c r="J154" s="5">
        <f t="shared" ref="J154:J217" si="56">((1.619368477)/(1+(I154/1740000))^2)</f>
        <v>1.5957409150525006</v>
      </c>
      <c r="K154" s="6">
        <f t="shared" si="44"/>
        <v>4060.17543971532</v>
      </c>
      <c r="M154">
        <f t="shared" si="45"/>
        <v>15.345043450112829</v>
      </c>
      <c r="N154">
        <f t="shared" si="46"/>
        <v>25.24509328319083</v>
      </c>
      <c r="O154">
        <f t="shared" si="47"/>
        <v>1283.4442999035355</v>
      </c>
    </row>
    <row r="155" spans="1:15" x14ac:dyDescent="0.2">
      <c r="A155" s="2">
        <v>142</v>
      </c>
      <c r="B155" s="4">
        <f t="shared" si="48"/>
        <v>3.16529371678903</v>
      </c>
      <c r="C155" s="2">
        <f t="shared" si="49"/>
        <v>-4.1987529329664862E-3</v>
      </c>
      <c r="D155" s="7">
        <f t="shared" si="50"/>
        <v>330.89920704821515</v>
      </c>
      <c r="E155" s="5">
        <f t="shared" si="51"/>
        <v>0.43637528578986617</v>
      </c>
      <c r="F155" s="2">
        <f t="shared" si="52"/>
        <v>297.67093668870029</v>
      </c>
      <c r="G155" s="2">
        <f t="shared" si="53"/>
        <v>15642.71438680153</v>
      </c>
      <c r="H155" s="2">
        <f t="shared" si="54"/>
        <v>139.85693495587384</v>
      </c>
      <c r="I155" s="2">
        <f t="shared" si="55"/>
        <v>12974.299933991228</v>
      </c>
      <c r="J155" s="5">
        <f t="shared" si="56"/>
        <v>1.5954863003321278</v>
      </c>
      <c r="K155" s="6">
        <f t="shared" si="44"/>
        <v>4055.0703009898966</v>
      </c>
      <c r="M155">
        <f t="shared" si="45"/>
        <v>15.642714386801529</v>
      </c>
      <c r="N155">
        <f t="shared" si="46"/>
        <v>25.00246215957446</v>
      </c>
      <c r="O155">
        <f t="shared" si="47"/>
        <v>1297.4299933991228</v>
      </c>
    </row>
    <row r="156" spans="1:15" x14ac:dyDescent="0.2">
      <c r="A156" s="2">
        <v>143</v>
      </c>
      <c r="B156" s="4">
        <f t="shared" si="48"/>
        <v>3.1763176069150654</v>
      </c>
      <c r="C156" s="2">
        <f t="shared" si="49"/>
        <v>-4.1631342530347518E-3</v>
      </c>
      <c r="D156" s="7">
        <f t="shared" si="50"/>
        <v>334.0645007650042</v>
      </c>
      <c r="E156" s="5">
        <f t="shared" si="51"/>
        <v>0.43217653285689966</v>
      </c>
      <c r="F156" s="2">
        <f t="shared" si="52"/>
        <v>301.08014883881503</v>
      </c>
      <c r="G156" s="2">
        <f t="shared" si="53"/>
        <v>15943.794535640345</v>
      </c>
      <c r="H156" s="2">
        <f t="shared" si="54"/>
        <v>139.92231725712895</v>
      </c>
      <c r="I156" s="2">
        <f t="shared" si="55"/>
        <v>13114.222251248357</v>
      </c>
      <c r="J156" s="5">
        <f t="shared" si="56"/>
        <v>1.5952316275578109</v>
      </c>
      <c r="K156" s="6">
        <f t="shared" si="44"/>
        <v>4049.9651622644733</v>
      </c>
      <c r="M156">
        <f t="shared" si="45"/>
        <v>15.943794535640345</v>
      </c>
      <c r="N156">
        <f t="shared" si="46"/>
        <v>24.7618913372973</v>
      </c>
      <c r="O156">
        <f t="shared" si="47"/>
        <v>1311.4222251248357</v>
      </c>
    </row>
    <row r="157" spans="1:15" x14ac:dyDescent="0.2">
      <c r="A157" s="2">
        <v>144</v>
      </c>
      <c r="B157" s="4">
        <f t="shared" si="48"/>
        <v>3.1873118809281387</v>
      </c>
      <c r="C157" s="2">
        <f t="shared" si="49"/>
        <v>-4.1278525151071128E-3</v>
      </c>
      <c r="D157" s="7">
        <f t="shared" si="50"/>
        <v>337.24081837191926</v>
      </c>
      <c r="E157" s="5">
        <f t="shared" si="51"/>
        <v>0.42801339860386489</v>
      </c>
      <c r="F157" s="2">
        <f t="shared" si="52"/>
        <v>304.49955485396987</v>
      </c>
      <c r="G157" s="2">
        <f t="shared" si="53"/>
        <v>16248.294090494315</v>
      </c>
      <c r="H157" s="2">
        <f t="shared" si="54"/>
        <v>139.97660005640333</v>
      </c>
      <c r="I157" s="2">
        <f t="shared" si="55"/>
        <v>13254.19885130476</v>
      </c>
      <c r="J157" s="5">
        <f t="shared" si="56"/>
        <v>1.5949769169905257</v>
      </c>
      <c r="K157" s="6">
        <f t="shared" si="44"/>
        <v>4044.8600235390504</v>
      </c>
      <c r="M157">
        <f t="shared" si="45"/>
        <v>16.248294090494316</v>
      </c>
      <c r="N157">
        <f t="shared" si="46"/>
        <v>24.52336131505206</v>
      </c>
      <c r="O157">
        <f t="shared" si="47"/>
        <v>1325.4198851304759</v>
      </c>
    </row>
    <row r="158" spans="1:15" x14ac:dyDescent="0.2">
      <c r="A158" s="2">
        <v>145</v>
      </c>
      <c r="B158" s="4">
        <f t="shared" si="48"/>
        <v>3.1982766849534006</v>
      </c>
      <c r="C158" s="2">
        <f t="shared" si="49"/>
        <v>-4.0929043075017043E-3</v>
      </c>
      <c r="D158" s="7">
        <f t="shared" si="50"/>
        <v>340.42813025284738</v>
      </c>
      <c r="E158" s="5">
        <f t="shared" si="51"/>
        <v>0.42388554608875778</v>
      </c>
      <c r="F158" s="2">
        <f t="shared" si="52"/>
        <v>307.92906616587697</v>
      </c>
      <c r="G158" s="2">
        <f t="shared" si="53"/>
        <v>16556.223156660191</v>
      </c>
      <c r="H158" s="2">
        <f t="shared" si="54"/>
        <v>140.01986538114522</v>
      </c>
      <c r="I158" s="2">
        <f t="shared" si="55"/>
        <v>13394.218716685906</v>
      </c>
      <c r="J158" s="5">
        <f t="shared" si="56"/>
        <v>1.5947221887226797</v>
      </c>
      <c r="K158" s="6">
        <f t="shared" si="44"/>
        <v>4039.7548848136271</v>
      </c>
      <c r="M158">
        <f t="shared" si="45"/>
        <v>16.556223156660192</v>
      </c>
      <c r="N158">
        <f t="shared" si="46"/>
        <v>24.286852787483962</v>
      </c>
      <c r="O158">
        <f t="shared" si="47"/>
        <v>1339.4218716685905</v>
      </c>
    </row>
    <row r="159" spans="1:15" x14ac:dyDescent="0.2">
      <c r="A159" s="2">
        <v>146</v>
      </c>
      <c r="B159" s="4">
        <f t="shared" si="48"/>
        <v>3.2092121719518318</v>
      </c>
      <c r="C159" s="2">
        <f t="shared" si="49"/>
        <v>-4.0582862282926568E-3</v>
      </c>
      <c r="D159" s="7">
        <f t="shared" si="50"/>
        <v>343.62640693780077</v>
      </c>
      <c r="E159" s="5">
        <f t="shared" si="51"/>
        <v>0.41979264178125608</v>
      </c>
      <c r="F159" s="2">
        <f t="shared" si="52"/>
        <v>311.36859597003684</v>
      </c>
      <c r="G159" s="2">
        <f t="shared" si="53"/>
        <v>16867.591752630229</v>
      </c>
      <c r="H159" s="2">
        <f t="shared" si="54"/>
        <v>140.05219534441747</v>
      </c>
      <c r="I159" s="2">
        <f t="shared" si="55"/>
        <v>13534.270912030323</v>
      </c>
      <c r="J159" s="5">
        <f t="shared" si="56"/>
        <v>1.5944674626781326</v>
      </c>
      <c r="K159" s="6">
        <f t="shared" si="44"/>
        <v>4034.6497460882038</v>
      </c>
      <c r="M159">
        <f t="shared" si="45"/>
        <v>16.867591752630229</v>
      </c>
      <c r="N159">
        <f t="shared" si="46"/>
        <v>24.0523466447132</v>
      </c>
      <c r="O159">
        <f t="shared" si="47"/>
        <v>1353.4270912030322</v>
      </c>
    </row>
    <row r="160" spans="1:15" x14ac:dyDescent="0.2">
      <c r="A160" s="2">
        <v>147</v>
      </c>
      <c r="B160" s="4">
        <f t="shared" si="48"/>
        <v>3.2201185014238898</v>
      </c>
      <c r="C160" s="2">
        <f t="shared" si="49"/>
        <v>-4.0239948866525556E-3</v>
      </c>
      <c r="D160" s="7">
        <f t="shared" si="50"/>
        <v>346.8356191097526</v>
      </c>
      <c r="E160" s="5">
        <f t="shared" si="51"/>
        <v>0.41573435555296345</v>
      </c>
      <c r="F160" s="2">
        <f t="shared" si="52"/>
        <v>314.8180592017315</v>
      </c>
      <c r="G160" s="2">
        <f t="shared" si="53"/>
        <v>17182.40981183196</v>
      </c>
      <c r="H160" s="2">
        <f t="shared" si="54"/>
        <v>140.07367213009934</v>
      </c>
      <c r="I160" s="2">
        <f t="shared" si="55"/>
        <v>13674.344584160423</v>
      </c>
      <c r="J160" s="5">
        <f t="shared" si="56"/>
        <v>1.5942127586122505</v>
      </c>
      <c r="K160" s="6">
        <f t="shared" si="44"/>
        <v>4029.5446073627804</v>
      </c>
      <c r="M160">
        <f t="shared" si="45"/>
        <v>17.18240981183196</v>
      </c>
      <c r="N160">
        <f t="shared" si="46"/>
        <v>23.819823971775968</v>
      </c>
      <c r="O160">
        <f t="shared" si="47"/>
        <v>1367.4344584160422</v>
      </c>
    </row>
    <row r="161" spans="1:15" x14ac:dyDescent="0.2">
      <c r="A161" s="2">
        <v>148</v>
      </c>
      <c r="B161" s="4">
        <f t="shared" si="48"/>
        <v>3.2309958391227349</v>
      </c>
      <c r="C161" s="2">
        <f t="shared" si="49"/>
        <v>-3.9900269041192957E-3</v>
      </c>
      <c r="D161" s="7">
        <f t="shared" si="50"/>
        <v>350.05573761117648</v>
      </c>
      <c r="E161" s="5">
        <f t="shared" si="51"/>
        <v>0.41171036066631089</v>
      </c>
      <c r="F161" s="2">
        <f t="shared" si="52"/>
        <v>318.27737251224136</v>
      </c>
      <c r="G161" s="2">
        <f t="shared" si="53"/>
        <v>17500.687184344202</v>
      </c>
      <c r="H161" s="2">
        <f t="shared" si="54"/>
        <v>140.08437797868589</v>
      </c>
      <c r="I161" s="2">
        <f t="shared" si="55"/>
        <v>13814.428962139109</v>
      </c>
      <c r="J161" s="5">
        <f t="shared" si="56"/>
        <v>1.5939580961119848</v>
      </c>
      <c r="K161" s="6">
        <f t="shared" si="44"/>
        <v>4024.4394686373571</v>
      </c>
      <c r="M161">
        <f t="shared" si="45"/>
        <v>17.500687184344201</v>
      </c>
      <c r="N161">
        <f t="shared" si="46"/>
        <v>23.589266047988552</v>
      </c>
      <c r="O161">
        <f t="shared" si="47"/>
        <v>1381.4428962139109</v>
      </c>
    </row>
    <row r="162" spans="1:15" x14ac:dyDescent="0.2">
      <c r="A162" s="2">
        <v>149</v>
      </c>
      <c r="B162" s="4">
        <f t="shared" si="48"/>
        <v>3.2418443567767925</v>
      </c>
      <c r="C162" s="2">
        <f t="shared" si="49"/>
        <v>-3.9563789157903966E-3</v>
      </c>
      <c r="D162" s="7">
        <f t="shared" si="50"/>
        <v>353.28673345029921</v>
      </c>
      <c r="E162" s="5">
        <f t="shared" si="51"/>
        <v>0.40772033376219158</v>
      </c>
      <c r="F162" s="2">
        <f t="shared" si="52"/>
        <v>321.74645424529189</v>
      </c>
      <c r="G162" s="2">
        <f t="shared" si="53"/>
        <v>17822.433638589493</v>
      </c>
      <c r="H162" s="2">
        <f t="shared" si="54"/>
        <v>140.08439517366713</v>
      </c>
      <c r="I162" s="2">
        <f t="shared" si="55"/>
        <v>13954.513357312777</v>
      </c>
      <c r="J162" s="5">
        <f t="shared" si="56"/>
        <v>1.5937034945959885</v>
      </c>
      <c r="K162" s="6">
        <f t="shared" si="44"/>
        <v>4019.3343299119342</v>
      </c>
      <c r="M162">
        <f t="shared" si="45"/>
        <v>17.822433638589494</v>
      </c>
      <c r="N162">
        <f t="shared" si="46"/>
        <v>23.36065434623886</v>
      </c>
      <c r="O162">
        <f t="shared" si="47"/>
        <v>1395.4513357312776</v>
      </c>
    </row>
    <row r="163" spans="1:15" x14ac:dyDescent="0.2">
      <c r="A163" s="2">
        <v>150</v>
      </c>
      <c r="B163" s="4">
        <f t="shared" si="48"/>
        <v>3.252664231821409</v>
      </c>
      <c r="C163" s="2">
        <f t="shared" si="49"/>
        <v>-3.9230475714476017E-3</v>
      </c>
      <c r="D163" s="7">
        <f t="shared" si="50"/>
        <v>356.52857780707598</v>
      </c>
      <c r="E163" s="5">
        <f t="shared" si="51"/>
        <v>0.40376395484640121</v>
      </c>
      <c r="F163" s="2">
        <f t="shared" si="52"/>
        <v>325.22522441373246</v>
      </c>
      <c r="G163" s="2">
        <f t="shared" si="53"/>
        <v>18147.658863003224</v>
      </c>
      <c r="H163" s="2">
        <f t="shared" si="54"/>
        <v>140.07380602846925</v>
      </c>
      <c r="I163" s="2">
        <f t="shared" si="55"/>
        <v>14094.587163341246</v>
      </c>
      <c r="J163" s="5">
        <f t="shared" si="56"/>
        <v>1.5934489733147466</v>
      </c>
      <c r="K163" s="6">
        <f t="shared" si="44"/>
        <v>4014.2291911865104</v>
      </c>
      <c r="M163">
        <f t="shared" si="45"/>
        <v>18.147658863003223</v>
      </c>
      <c r="N163">
        <f t="shared" si="46"/>
        <v>23.133970532209528</v>
      </c>
      <c r="O163">
        <f t="shared" si="47"/>
        <v>1409.4587163341246</v>
      </c>
    </row>
    <row r="164" spans="1:15" x14ac:dyDescent="0.2">
      <c r="A164" s="2">
        <v>151</v>
      </c>
      <c r="B164" s="4">
        <f t="shared" si="48"/>
        <v>3.263455647139347</v>
      </c>
      <c r="C164" s="2">
        <f t="shared" si="49"/>
        <v>-3.890029536614686E-3</v>
      </c>
      <c r="D164" s="7">
        <f t="shared" si="50"/>
        <v>359.7812420388974</v>
      </c>
      <c r="E164" s="5">
        <f t="shared" si="51"/>
        <v>0.39984090727495358</v>
      </c>
      <c r="F164" s="2">
        <f t="shared" si="52"/>
        <v>328.71360467645331</v>
      </c>
      <c r="G164" s="2">
        <f t="shared" si="53"/>
        <v>18476.372467679677</v>
      </c>
      <c r="H164" s="2">
        <f t="shared" si="54"/>
        <v>140.05269287394103</v>
      </c>
      <c r="I164" s="2">
        <f t="shared" si="55"/>
        <v>14234.639856215188</v>
      </c>
      <c r="J164" s="5">
        <f t="shared" si="56"/>
        <v>1.5931945513507473</v>
      </c>
      <c r="K164" s="6">
        <f t="shared" si="44"/>
        <v>4009.1240524610876</v>
      </c>
      <c r="M164">
        <f t="shared" si="45"/>
        <v>18.476372467679678</v>
      </c>
      <c r="N164">
        <f t="shared" si="46"/>
        <v>22.909196463536535</v>
      </c>
      <c r="O164">
        <f t="shared" si="47"/>
        <v>1423.4639856215188</v>
      </c>
    </row>
    <row r="165" spans="1:15" x14ac:dyDescent="0.2">
      <c r="A165" s="2">
        <v>152</v>
      </c>
      <c r="B165" s="4">
        <f t="shared" si="48"/>
        <v>3.2742187908099094</v>
      </c>
      <c r="C165" s="2">
        <f t="shared" si="49"/>
        <v>-3.8573214935511122E-3</v>
      </c>
      <c r="D165" s="7">
        <f t="shared" si="50"/>
        <v>363.04469768603673</v>
      </c>
      <c r="E165" s="5">
        <f t="shared" si="51"/>
        <v>0.39595087773833892</v>
      </c>
      <c r="F165" s="2">
        <f t="shared" si="52"/>
        <v>332.21151831554272</v>
      </c>
      <c r="G165" s="2">
        <f t="shared" si="53"/>
        <v>18808.583985995221</v>
      </c>
      <c r="H165" s="2">
        <f t="shared" si="54"/>
        <v>140.02113804636949</v>
      </c>
      <c r="I165" s="2">
        <f t="shared" si="55"/>
        <v>14374.660994261558</v>
      </c>
      <c r="J165" s="5">
        <f t="shared" si="56"/>
        <v>1.5929402476186658</v>
      </c>
      <c r="K165" s="6">
        <f t="shared" si="44"/>
        <v>4004.0189137356642</v>
      </c>
      <c r="M165">
        <f t="shared" si="45"/>
        <v>18.80858398599522</v>
      </c>
      <c r="N165">
        <f t="shared" si="46"/>
        <v>22.686314188907286</v>
      </c>
      <c r="O165">
        <f t="shared" si="47"/>
        <v>1437.4660994261558</v>
      </c>
    </row>
    <row r="166" spans="1:15" x14ac:dyDescent="0.2">
      <c r="A166" s="2">
        <v>153</v>
      </c>
      <c r="B166" s="4">
        <f t="shared" si="48"/>
        <v>3.2849538558664206</v>
      </c>
      <c r="C166" s="2">
        <f t="shared" si="49"/>
        <v>-3.8249201421842361E-3</v>
      </c>
      <c r="D166" s="7">
        <f t="shared" si="50"/>
        <v>366.31891647684665</v>
      </c>
      <c r="E166" s="5">
        <f t="shared" si="51"/>
        <v>0.39209355624478781</v>
      </c>
      <c r="F166" s="2">
        <f t="shared" si="52"/>
        <v>335.71889021368781</v>
      </c>
      <c r="G166" s="2">
        <f t="shared" si="53"/>
        <v>19144.302876208909</v>
      </c>
      <c r="H166" s="2">
        <f t="shared" si="54"/>
        <v>139.97922387600786</v>
      </c>
      <c r="I166" s="2">
        <f t="shared" si="55"/>
        <v>14514.640218137565</v>
      </c>
      <c r="J166" s="5">
        <f t="shared" si="56"/>
        <v>1.5926860808655818</v>
      </c>
      <c r="K166" s="6">
        <f t="shared" si="44"/>
        <v>3998.9137750102409</v>
      </c>
      <c r="M166">
        <f t="shared" si="45"/>
        <v>19.144302876208908</v>
      </c>
      <c r="N166">
        <f t="shared" si="46"/>
        <v>22.465305947101704</v>
      </c>
      <c r="O166">
        <f t="shared" si="47"/>
        <v>1451.4640218137565</v>
      </c>
    </row>
    <row r="167" spans="1:15" x14ac:dyDescent="0.2">
      <c r="A167" s="2">
        <v>154</v>
      </c>
      <c r="B167" s="4">
        <f t="shared" si="48"/>
        <v>3.2956610400618724</v>
      </c>
      <c r="C167" s="2">
        <f t="shared" si="49"/>
        <v>-3.7928222009825747E-3</v>
      </c>
      <c r="D167" s="7">
        <f t="shared" si="50"/>
        <v>369.60387033271309</v>
      </c>
      <c r="E167" s="5">
        <f t="shared" si="51"/>
        <v>0.38826863610260359</v>
      </c>
      <c r="F167" s="2">
        <f t="shared" si="52"/>
        <v>339.2356468318219</v>
      </c>
      <c r="G167" s="2">
        <f t="shared" si="53"/>
        <v>19483.53852304073</v>
      </c>
      <c r="H167" s="2">
        <f t="shared" si="54"/>
        <v>139.92703267610079</v>
      </c>
      <c r="I167" s="2">
        <f t="shared" si="55"/>
        <v>14654.567250813667</v>
      </c>
      <c r="J167" s="5">
        <f t="shared" si="56"/>
        <v>1.5924320696712115</v>
      </c>
      <c r="K167" s="6">
        <f t="shared" si="44"/>
        <v>3993.8086362848176</v>
      </c>
      <c r="M167">
        <f t="shared" si="45"/>
        <v>19.483538523040728</v>
      </c>
      <c r="N167">
        <f t="shared" si="46"/>
        <v>22.24615416597997</v>
      </c>
      <c r="O167">
        <f t="shared" si="47"/>
        <v>1465.4567250813666</v>
      </c>
    </row>
    <row r="168" spans="1:15" x14ac:dyDescent="0.2">
      <c r="A168" s="2">
        <v>155</v>
      </c>
      <c r="B168" s="4">
        <f t="shared" si="48"/>
        <v>3.3063405456424864</v>
      </c>
      <c r="C168" s="2">
        <f t="shared" si="49"/>
        <v>-3.7610244077726398E-3</v>
      </c>
      <c r="D168" s="7">
        <f t="shared" si="50"/>
        <v>372.89953137277496</v>
      </c>
      <c r="E168" s="5">
        <f t="shared" si="51"/>
        <v>0.384475813901621</v>
      </c>
      <c r="F168" s="2">
        <f t="shared" si="52"/>
        <v>342.76171618702023</v>
      </c>
      <c r="G168" s="2">
        <f t="shared" si="53"/>
        <v>19826.300239227749</v>
      </c>
      <c r="H168" s="2">
        <f t="shared" si="54"/>
        <v>139.86464673239118</v>
      </c>
      <c r="I168" s="2">
        <f t="shared" si="55"/>
        <v>14794.431897546057</v>
      </c>
      <c r="J168" s="5">
        <f t="shared" si="56"/>
        <v>1.5921782324481677</v>
      </c>
      <c r="K168" s="6">
        <f t="shared" si="44"/>
        <v>3988.7034975593942</v>
      </c>
      <c r="M168">
        <f t="shared" si="45"/>
        <v>19.826300239227749</v>
      </c>
      <c r="N168">
        <f t="shared" si="46"/>
        <v>22.02884146142015</v>
      </c>
      <c r="O168">
        <f t="shared" si="47"/>
        <v>1479.4431897546058</v>
      </c>
    </row>
    <row r="169" spans="1:15" x14ac:dyDescent="0.2">
      <c r="A169" s="2">
        <v>156</v>
      </c>
      <c r="B169" s="4">
        <f t="shared" si="48"/>
        <v>3.3169925791289798</v>
      </c>
      <c r="C169" s="2">
        <f t="shared" si="49"/>
        <v>-3.7295235205017075E-3</v>
      </c>
      <c r="D169" s="7">
        <f t="shared" si="50"/>
        <v>376.20587191841747</v>
      </c>
      <c r="E169" s="5">
        <f t="shared" si="51"/>
        <v>0.38071478949384835</v>
      </c>
      <c r="F169" s="2">
        <f t="shared" si="52"/>
        <v>346.29702783064687</v>
      </c>
      <c r="G169" s="2">
        <f t="shared" si="53"/>
        <v>20172.597267058394</v>
      </c>
      <c r="H169" s="2">
        <f t="shared" si="54"/>
        <v>139.79214829309385</v>
      </c>
      <c r="I169" s="2">
        <f t="shared" si="55"/>
        <v>14934.224045839152</v>
      </c>
      <c r="J169" s="5">
        <f t="shared" si="56"/>
        <v>1.5919245874422392</v>
      </c>
      <c r="K169" s="6">
        <f t="shared" si="44"/>
        <v>3983.5983588339714</v>
      </c>
      <c r="M169">
        <f t="shared" si="45"/>
        <v>20.172597267058393</v>
      </c>
      <c r="N169">
        <f t="shared" si="46"/>
        <v>21.813350636209087</v>
      </c>
      <c r="O169">
        <f t="shared" si="47"/>
        <v>1493.4224045839151</v>
      </c>
    </row>
    <row r="170" spans="1:15" x14ac:dyDescent="0.2">
      <c r="A170" s="2">
        <v>157</v>
      </c>
      <c r="B170" s="4">
        <f t="shared" si="48"/>
        <v>3.3276173511053209</v>
      </c>
      <c r="C170" s="2">
        <f t="shared" si="49"/>
        <v>-3.698316317948811E-3</v>
      </c>
      <c r="D170" s="7">
        <f t="shared" si="50"/>
        <v>379.52286449754644</v>
      </c>
      <c r="E170" s="5">
        <f t="shared" si="51"/>
        <v>0.37698526597334664</v>
      </c>
      <c r="F170" s="2">
        <f t="shared" si="52"/>
        <v>349.84151282675305</v>
      </c>
      <c r="G170" s="2">
        <f t="shared" si="53"/>
        <v>20522.438779885146</v>
      </c>
      <c r="H170" s="2">
        <f t="shared" si="54"/>
        <v>139.70961955932162</v>
      </c>
      <c r="I170" s="2">
        <f t="shared" si="55"/>
        <v>15073.933665398474</v>
      </c>
      <c r="J170" s="5">
        <f t="shared" si="56"/>
        <v>1.5916711527326881</v>
      </c>
      <c r="K170" s="6">
        <f t="shared" si="44"/>
        <v>3978.4932201085476</v>
      </c>
      <c r="M170">
        <f t="shared" si="45"/>
        <v>20.522438779885146</v>
      </c>
      <c r="N170">
        <f t="shared" si="46"/>
        <v>21.599664678889564</v>
      </c>
      <c r="O170">
        <f t="shared" si="47"/>
        <v>1507.3933665398474</v>
      </c>
    </row>
    <row r="171" spans="1:15" x14ac:dyDescent="0.2">
      <c r="A171" s="2">
        <v>158</v>
      </c>
      <c r="B171" s="4">
        <f t="shared" si="48"/>
        <v>3.3382150760147504</v>
      </c>
      <c r="C171" s="2">
        <f t="shared" si="49"/>
        <v>-3.6673996003862112E-3</v>
      </c>
      <c r="D171" s="7">
        <f t="shared" si="50"/>
        <v>382.85048184865178</v>
      </c>
      <c r="E171" s="5">
        <f t="shared" si="51"/>
        <v>0.37328694965539783</v>
      </c>
      <c r="F171" s="2">
        <f t="shared" si="52"/>
        <v>353.39510373072966</v>
      </c>
      <c r="G171" s="2">
        <f t="shared" si="53"/>
        <v>20875.833883615876</v>
      </c>
      <c r="H171" s="2">
        <f t="shared" si="54"/>
        <v>139.61714267594968</v>
      </c>
      <c r="I171" s="2">
        <f t="shared" si="55"/>
        <v>15213.550808074424</v>
      </c>
      <c r="J171" s="5">
        <f t="shared" si="56"/>
        <v>1.5914179462325686</v>
      </c>
      <c r="K171" s="6">
        <f t="shared" si="44"/>
        <v>3973.3880813831247</v>
      </c>
      <c r="M171">
        <f t="shared" si="45"/>
        <v>20.875833883615876</v>
      </c>
      <c r="N171">
        <f t="shared" si="46"/>
        <v>21.387766762566734</v>
      </c>
      <c r="O171">
        <f t="shared" si="47"/>
        <v>1521.3550808074424</v>
      </c>
    </row>
    <row r="172" spans="1:15" x14ac:dyDescent="0.2">
      <c r="A172" s="2">
        <v>159</v>
      </c>
      <c r="B172" s="4">
        <f t="shared" si="48"/>
        <v>3.3487859719628803</v>
      </c>
      <c r="C172" s="2">
        <f t="shared" si="49"/>
        <v>-3.6367701901934913E-3</v>
      </c>
      <c r="D172" s="7">
        <f t="shared" si="50"/>
        <v>386.18869692466654</v>
      </c>
      <c r="E172" s="5">
        <f t="shared" si="51"/>
        <v>0.36961955005501163</v>
      </c>
      <c r="F172" s="2">
        <f t="shared" si="52"/>
        <v>356.95773456821451</v>
      </c>
      <c r="G172" s="2">
        <f t="shared" si="53"/>
        <v>21232.791618184092</v>
      </c>
      <c r="H172" s="2">
        <f t="shared" si="54"/>
        <v>139.514799722904</v>
      </c>
      <c r="I172" s="2">
        <f t="shared" si="55"/>
        <v>15353.065607797327</v>
      </c>
      <c r="J172" s="5">
        <f t="shared" si="56"/>
        <v>1.5911649856890653</v>
      </c>
      <c r="K172" s="6">
        <f t="shared" si="44"/>
        <v>3968.2829426577014</v>
      </c>
      <c r="M172">
        <f t="shared" si="45"/>
        <v>21.232791618184091</v>
      </c>
      <c r="N172">
        <f t="shared" si="46"/>
        <v>21.177640243676642</v>
      </c>
      <c r="O172">
        <f t="shared" si="47"/>
        <v>1535.3065607797328</v>
      </c>
    </row>
    <row r="173" spans="1:15" x14ac:dyDescent="0.2">
      <c r="A173" s="2">
        <v>160</v>
      </c>
      <c r="B173" s="4">
        <f t="shared" si="48"/>
        <v>3.3593302605276478</v>
      </c>
      <c r="C173" s="2">
        <f t="shared" si="49"/>
        <v>-3.6064249324262933E-3</v>
      </c>
      <c r="D173" s="7">
        <f t="shared" si="50"/>
        <v>389.5374828966294</v>
      </c>
      <c r="E173" s="5">
        <f t="shared" si="51"/>
        <v>0.36598277986481814</v>
      </c>
      <c r="F173" s="2">
        <f t="shared" si="52"/>
        <v>360.529340814254</v>
      </c>
      <c r="G173" s="2">
        <f t="shared" si="53"/>
        <v>21593.320958998345</v>
      </c>
      <c r="H173" s="2">
        <f t="shared" si="54"/>
        <v>139.40267270686147</v>
      </c>
      <c r="I173" s="2">
        <f t="shared" si="55"/>
        <v>15492.468280504188</v>
      </c>
      <c r="J173" s="5">
        <f t="shared" si="56"/>
        <v>1.590912288683842</v>
      </c>
      <c r="K173" s="6">
        <f t="shared" si="44"/>
        <v>3963.177803932278</v>
      </c>
      <c r="M173">
        <f t="shared" si="45"/>
        <v>21.593320958998344</v>
      </c>
      <c r="N173">
        <f t="shared" si="46"/>
        <v>20.969268660719564</v>
      </c>
      <c r="O173">
        <f t="shared" si="47"/>
        <v>1549.2468280504188</v>
      </c>
    </row>
    <row r="174" spans="1:15" x14ac:dyDescent="0.2">
      <c r="A174" s="2">
        <v>161</v>
      </c>
      <c r="B174" s="4">
        <f t="shared" si="48"/>
        <v>3.3698481665759346</v>
      </c>
      <c r="C174" s="2">
        <f t="shared" si="49"/>
        <v>-3.5763606953417813E-3</v>
      </c>
      <c r="D174" s="7">
        <f t="shared" si="50"/>
        <v>392.89681315715706</v>
      </c>
      <c r="E174" s="5">
        <f t="shared" si="51"/>
        <v>0.36237635493239184</v>
      </c>
      <c r="F174" s="2">
        <f t="shared" si="52"/>
        <v>364.10985937272227</v>
      </c>
      <c r="G174" s="2">
        <f t="shared" si="53"/>
        <v>21957.430818371067</v>
      </c>
      <c r="H174" s="2">
        <f t="shared" si="54"/>
        <v>139.28084355334781</v>
      </c>
      <c r="I174" s="2">
        <f t="shared" si="55"/>
        <v>15631.749124057536</v>
      </c>
      <c r="J174" s="5">
        <f t="shared" si="56"/>
        <v>1.5906598726334156</v>
      </c>
      <c r="K174" s="6">
        <f t="shared" si="44"/>
        <v>3958.0726652068547</v>
      </c>
      <c r="M174">
        <f t="shared" si="45"/>
        <v>21.957430818371066</v>
      </c>
      <c r="N174">
        <f t="shared" si="46"/>
        <v>20.762635732960785</v>
      </c>
      <c r="O174">
        <f t="shared" si="47"/>
        <v>1563.1749124057537</v>
      </c>
    </row>
    <row r="175" spans="1:15" x14ac:dyDescent="0.2">
      <c r="A175" s="2">
        <v>162</v>
      </c>
      <c r="B175" s="4">
        <f t="shared" si="48"/>
        <v>3.3803399180866576</v>
      </c>
      <c r="C175" s="2">
        <f t="shared" si="49"/>
        <v>-3.5465743708826812E-3</v>
      </c>
      <c r="D175" s="7">
        <f t="shared" si="50"/>
        <v>396.26666132373299</v>
      </c>
      <c r="E175" s="5">
        <f t="shared" si="51"/>
        <v>0.35879999423705006</v>
      </c>
      <c r="F175" s="2">
        <f t="shared" si="52"/>
        <v>367.69922855599458</v>
      </c>
      <c r="G175" s="2">
        <f t="shared" si="53"/>
        <v>22325.130046927061</v>
      </c>
      <c r="H175" s="2">
        <f t="shared" si="54"/>
        <v>139.14939409922079</v>
      </c>
      <c r="I175" s="2">
        <f t="shared" si="55"/>
        <v>15770.898518156757</v>
      </c>
      <c r="J175" s="5">
        <f t="shared" si="56"/>
        <v>1.590407754789541</v>
      </c>
      <c r="K175" s="6">
        <f t="shared" si="44"/>
        <v>3952.9675264814314</v>
      </c>
      <c r="M175">
        <f t="shared" si="45"/>
        <v>22.325130046927061</v>
      </c>
      <c r="N175">
        <f t="shared" si="46"/>
        <v>20.55772535910123</v>
      </c>
      <c r="O175">
        <f t="shared" si="47"/>
        <v>1577.0898518156757</v>
      </c>
    </row>
    <row r="176" spans="1:15" x14ac:dyDescent="0.2">
      <c r="A176" s="2">
        <v>163</v>
      </c>
      <c r="B176" s="4">
        <f t="shared" si="48"/>
        <v>3.3908057459801397</v>
      </c>
      <c r="C176" s="2">
        <f t="shared" si="49"/>
        <v>-3.5170628751217911E-3</v>
      </c>
      <c r="D176" s="7">
        <f t="shared" si="50"/>
        <v>399.64700124181962</v>
      </c>
      <c r="E176" s="5">
        <f t="shared" si="51"/>
        <v>0.35525341986616737</v>
      </c>
      <c r="F176" s="2">
        <f t="shared" si="52"/>
        <v>371.29738806487853</v>
      </c>
      <c r="G176" s="2">
        <f t="shared" si="53"/>
        <v>22696.42743499194</v>
      </c>
      <c r="H176" s="2">
        <f t="shared" si="54"/>
        <v>139.0084060855269</v>
      </c>
      <c r="I176" s="2">
        <f t="shared" si="55"/>
        <v>15909.906924242283</v>
      </c>
      <c r="J176" s="5">
        <f t="shared" si="56"/>
        <v>1.5901559522396109</v>
      </c>
      <c r="K176" s="6">
        <f t="shared" si="44"/>
        <v>3947.8623877560085</v>
      </c>
      <c r="M176">
        <f t="shared" si="45"/>
        <v>22.696427434991939</v>
      </c>
      <c r="N176">
        <f t="shared" si="46"/>
        <v>20.354521615920383</v>
      </c>
      <c r="O176">
        <f t="shared" si="47"/>
        <v>1590.9906924242282</v>
      </c>
    </row>
    <row r="177" spans="1:15" x14ac:dyDescent="0.2">
      <c r="A177" s="2">
        <v>164</v>
      </c>
      <c r="B177" s="4">
        <f t="shared" si="48"/>
        <v>3.4012458839535715</v>
      </c>
      <c r="C177" s="2">
        <f t="shared" si="49"/>
        <v>-3.4878231486687476E-3</v>
      </c>
      <c r="D177" s="7">
        <f t="shared" si="50"/>
        <v>403.03780698779974</v>
      </c>
      <c r="E177" s="5">
        <f t="shared" si="51"/>
        <v>0.35173635699104561</v>
      </c>
      <c r="F177" s="2">
        <f t="shared" si="52"/>
        <v>374.90427896880072</v>
      </c>
      <c r="G177" s="2">
        <f t="shared" si="53"/>
        <v>23071.331713960739</v>
      </c>
      <c r="H177" s="2">
        <f t="shared" si="54"/>
        <v>138.85796115071904</v>
      </c>
      <c r="I177" s="2">
        <f t="shared" si="55"/>
        <v>16048.764885393002</v>
      </c>
      <c r="J177" s="5">
        <f t="shared" si="56"/>
        <v>1.5899044819070722</v>
      </c>
      <c r="K177" s="6">
        <f t="shared" si="44"/>
        <v>3942.7572490305852</v>
      </c>
      <c r="M177">
        <f t="shared" si="45"/>
        <v>23.071331713960738</v>
      </c>
      <c r="N177">
        <f t="shared" si="46"/>
        <v>20.153008756893762</v>
      </c>
      <c r="O177">
        <f t="shared" si="47"/>
        <v>1604.8764885393002</v>
      </c>
    </row>
    <row r="178" spans="1:15" x14ac:dyDescent="0.2">
      <c r="A178" s="2">
        <v>165</v>
      </c>
      <c r="B178" s="4">
        <f t="shared" si="48"/>
        <v>3.4116605683223864</v>
      </c>
      <c r="C178" s="2">
        <f t="shared" si="49"/>
        <v>-3.4588521570407486E-3</v>
      </c>
      <c r="D178" s="7">
        <f t="shared" si="50"/>
        <v>406.43905287175329</v>
      </c>
      <c r="E178" s="5">
        <f t="shared" si="51"/>
        <v>0.34824853384237686</v>
      </c>
      <c r="F178" s="2">
        <f t="shared" si="52"/>
        <v>378.51984368624835</v>
      </c>
      <c r="G178" s="2">
        <f t="shared" si="53"/>
        <v>23449.851557646987</v>
      </c>
      <c r="H178" s="2">
        <f t="shared" si="54"/>
        <v>138.69814082422391</v>
      </c>
      <c r="I178" s="2">
        <f t="shared" si="55"/>
        <v>16187.463026217227</v>
      </c>
      <c r="J178" s="5">
        <f t="shared" si="56"/>
        <v>1.5896533605518512</v>
      </c>
      <c r="K178" s="6">
        <f t="shared" si="44"/>
        <v>3937.6521103051618</v>
      </c>
      <c r="M178">
        <f t="shared" si="45"/>
        <v>23.449851557646987</v>
      </c>
      <c r="N178">
        <f t="shared" si="46"/>
        <v>19.953171210787012</v>
      </c>
      <c r="O178">
        <f t="shared" si="47"/>
        <v>1618.7463026217226</v>
      </c>
    </row>
    <row r="179" spans="1:15" x14ac:dyDescent="0.2">
      <c r="A179" s="2">
        <v>166</v>
      </c>
      <c r="B179" s="4">
        <f t="shared" si="48"/>
        <v>3.4220500378673737</v>
      </c>
      <c r="C179" s="2">
        <f t="shared" si="49"/>
        <v>-3.4301468909989246E-3</v>
      </c>
      <c r="D179" s="7">
        <f t="shared" si="50"/>
        <v>409.85071344007565</v>
      </c>
      <c r="E179" s="5">
        <f t="shared" si="51"/>
        <v>0.34478968168533614</v>
      </c>
      <c r="F179" s="2">
        <f t="shared" si="52"/>
        <v>382.14402596546699</v>
      </c>
      <c r="G179" s="2">
        <f t="shared" si="53"/>
        <v>23831.995583612454</v>
      </c>
      <c r="H179" s="2">
        <f t="shared" si="54"/>
        <v>138.52902652034737</v>
      </c>
      <c r="I179" s="2">
        <f t="shared" si="55"/>
        <v>16325.992052737574</v>
      </c>
      <c r="J179" s="5">
        <f t="shared" si="56"/>
        <v>1.5894026047707981</v>
      </c>
      <c r="K179" s="6">
        <f t="shared" si="44"/>
        <v>3932.5469715797385</v>
      </c>
      <c r="M179">
        <f t="shared" si="45"/>
        <v>23.831995583612454</v>
      </c>
      <c r="N179">
        <f t="shared" si="46"/>
        <v>19.754993580228859</v>
      </c>
      <c r="O179">
        <f t="shared" si="47"/>
        <v>1632.5992052737574</v>
      </c>
    </row>
    <row r="180" spans="1:15" x14ac:dyDescent="0.2">
      <c r="A180" s="2">
        <v>167</v>
      </c>
      <c r="B180" s="4">
        <f t="shared" si="48"/>
        <v>3.4324145336873508</v>
      </c>
      <c r="C180" s="2">
        <f t="shared" si="49"/>
        <v>-3.4017043668519219E-3</v>
      </c>
      <c r="D180" s="7">
        <f t="shared" si="50"/>
        <v>413.27276347794304</v>
      </c>
      <c r="E180" s="5">
        <f t="shared" si="51"/>
        <v>0.34135953479433723</v>
      </c>
      <c r="F180" s="2">
        <f t="shared" si="52"/>
        <v>385.77677086541223</v>
      </c>
      <c r="G180" s="2">
        <f t="shared" si="53"/>
        <v>24217.772354477867</v>
      </c>
      <c r="H180" s="2">
        <f t="shared" si="54"/>
        <v>138.35069953250749</v>
      </c>
      <c r="I180" s="2">
        <f t="shared" si="55"/>
        <v>16464.34275227008</v>
      </c>
      <c r="J180" s="5">
        <f t="shared" si="56"/>
        <v>1.5891522309981354</v>
      </c>
      <c r="K180" s="6">
        <f t="shared" si="44"/>
        <v>3927.4418328543152</v>
      </c>
      <c r="M180">
        <f t="shared" si="45"/>
        <v>24.217772354477866</v>
      </c>
      <c r="N180">
        <f t="shared" si="46"/>
        <v>19.558460640264698</v>
      </c>
      <c r="O180">
        <f t="shared" si="47"/>
        <v>1646.4342752270081</v>
      </c>
    </row>
    <row r="181" spans="1:15" x14ac:dyDescent="0.2">
      <c r="A181" s="2">
        <v>168</v>
      </c>
      <c r="B181" s="4">
        <f t="shared" si="48"/>
        <v>3.4427542990572304</v>
      </c>
      <c r="C181" s="2">
        <f t="shared" si="49"/>
        <v>-3.3735216267282587E-3</v>
      </c>
      <c r="D181" s="7">
        <f t="shared" si="50"/>
        <v>416.70517801163038</v>
      </c>
      <c r="E181" s="5">
        <f t="shared" si="51"/>
        <v>0.33795783042748528</v>
      </c>
      <c r="F181" s="2">
        <f t="shared" si="52"/>
        <v>389.41802473695424</v>
      </c>
      <c r="G181" s="2">
        <f t="shared" si="53"/>
        <v>24607.190379214822</v>
      </c>
      <c r="H181" s="2">
        <f t="shared" si="54"/>
        <v>138.16324102778398</v>
      </c>
      <c r="I181" s="2">
        <f t="shared" si="55"/>
        <v>16602.505993297866</v>
      </c>
      <c r="J181" s="5">
        <f t="shared" si="56"/>
        <v>1.5889022555059265</v>
      </c>
      <c r="K181" s="6">
        <f t="shared" si="44"/>
        <v>3922.3366941288918</v>
      </c>
      <c r="M181">
        <f t="shared" si="45"/>
        <v>24.607190379214821</v>
      </c>
      <c r="N181">
        <f t="shared" si="46"/>
        <v>19.36355733689286</v>
      </c>
      <c r="O181">
        <f t="shared" si="47"/>
        <v>1660.2505993297866</v>
      </c>
    </row>
    <row r="182" spans="1:15" x14ac:dyDescent="0.2">
      <c r="A182" s="2">
        <v>169</v>
      </c>
      <c r="B182" s="4">
        <f t="shared" si="48"/>
        <v>3.45306957929132</v>
      </c>
      <c r="C182" s="2">
        <f t="shared" si="49"/>
        <v>-3.3455957388189065E-3</v>
      </c>
      <c r="D182" s="7">
        <f t="shared" si="50"/>
        <v>420.14793231068762</v>
      </c>
      <c r="E182" s="5">
        <f t="shared" si="51"/>
        <v>0.33458430880075701</v>
      </c>
      <c r="F182" s="2">
        <f t="shared" si="52"/>
        <v>393.06773520433529</v>
      </c>
      <c r="G182" s="2">
        <f t="shared" si="53"/>
        <v>25000.258114419157</v>
      </c>
      <c r="H182" s="2">
        <f t="shared" si="54"/>
        <v>137.96673204177389</v>
      </c>
      <c r="I182" s="2">
        <f t="shared" si="55"/>
        <v>16740.472725339641</v>
      </c>
      <c r="J182" s="5">
        <f t="shared" si="56"/>
        <v>1.5886526944045471</v>
      </c>
      <c r="K182" s="6">
        <f t="shared" si="44"/>
        <v>3917.2315554034685</v>
      </c>
      <c r="M182">
        <f t="shared" si="45"/>
        <v>25.000258114419157</v>
      </c>
      <c r="N182">
        <f t="shared" si="46"/>
        <v>19.170268785585222</v>
      </c>
      <c r="O182">
        <f t="shared" si="47"/>
        <v>1674.0472725339641</v>
      </c>
    </row>
    <row r="183" spans="1:15" x14ac:dyDescent="0.2">
      <c r="A183" s="2">
        <v>170</v>
      </c>
      <c r="B183" s="4">
        <f t="shared" si="48"/>
        <v>3.4633606216116886</v>
      </c>
      <c r="C183" s="2">
        <f t="shared" si="49"/>
        <v>-3.3179237975915444E-3</v>
      </c>
      <c r="D183" s="7">
        <f t="shared" si="50"/>
        <v>423.60100188997893</v>
      </c>
      <c r="E183" s="5">
        <f t="shared" si="51"/>
        <v>0.33123871306193808</v>
      </c>
      <c r="F183" s="2">
        <f t="shared" si="52"/>
        <v>396.7258511468786</v>
      </c>
      <c r="G183" s="2">
        <f t="shared" si="53"/>
        <v>25396.983965566036</v>
      </c>
      <c r="H183" s="2">
        <f t="shared" si="54"/>
        <v>137.76125347374375</v>
      </c>
      <c r="I183" s="2">
        <f t="shared" si="55"/>
        <v>16878.233978813387</v>
      </c>
      <c r="J183" s="5">
        <f t="shared" si="56"/>
        <v>1.5884035636431708</v>
      </c>
      <c r="K183" s="6">
        <f t="shared" si="44"/>
        <v>3912.1264166780456</v>
      </c>
      <c r="M183">
        <f t="shared" si="45"/>
        <v>25.396983965566037</v>
      </c>
      <c r="N183">
        <f t="shared" si="46"/>
        <v>18.978580269793948</v>
      </c>
      <c r="O183">
        <f t="shared" si="47"/>
        <v>1687.8233978813387</v>
      </c>
    </row>
    <row r="184" spans="1:15" x14ac:dyDescent="0.2">
      <c r="A184" s="2">
        <v>171</v>
      </c>
      <c r="B184" s="4">
        <f t="shared" si="48"/>
        <v>3.4736276750214463</v>
      </c>
      <c r="C184" s="2">
        <f t="shared" si="49"/>
        <v>-3.2905029239778346E-3</v>
      </c>
      <c r="D184" s="7">
        <f t="shared" si="50"/>
        <v>427.06436251159062</v>
      </c>
      <c r="E184" s="5">
        <f t="shared" si="51"/>
        <v>0.32792078926434653</v>
      </c>
      <c r="F184" s="2">
        <f t="shared" si="52"/>
        <v>400.39232268094605</v>
      </c>
      <c r="G184" s="2">
        <f t="shared" si="53"/>
        <v>25797.376288246982</v>
      </c>
      <c r="H184" s="2">
        <f t="shared" si="54"/>
        <v>137.54688608206797</v>
      </c>
      <c r="I184" s="2">
        <f t="shared" si="55"/>
        <v>17015.780864895456</v>
      </c>
      <c r="J184" s="5">
        <f t="shared" si="56"/>
        <v>1.588154879010266</v>
      </c>
      <c r="K184" s="6">
        <f t="shared" si="44"/>
        <v>3907.0212779526223</v>
      </c>
      <c r="M184">
        <f t="shared" si="45"/>
        <v>25.797376288246983</v>
      </c>
      <c r="N184">
        <f t="shared" si="46"/>
        <v>18.788477239445932</v>
      </c>
      <c r="O184">
        <f t="shared" si="47"/>
        <v>1701.5780864895455</v>
      </c>
    </row>
    <row r="185" spans="1:15" x14ac:dyDescent="0.2">
      <c r="A185" s="2">
        <v>172</v>
      </c>
      <c r="B185" s="4">
        <f t="shared" si="48"/>
        <v>3.4838709901827922</v>
      </c>
      <c r="C185" s="2">
        <f t="shared" si="49"/>
        <v>-3.2633302655350159E-3</v>
      </c>
      <c r="D185" s="7">
        <f t="shared" si="50"/>
        <v>430.53799018661203</v>
      </c>
      <c r="E185" s="5">
        <f t="shared" si="51"/>
        <v>0.32463028634036872</v>
      </c>
      <c r="F185" s="2">
        <f t="shared" si="52"/>
        <v>404.06710114214519</v>
      </c>
      <c r="G185" s="2">
        <f t="shared" si="53"/>
        <v>26201.443389389126</v>
      </c>
      <c r="H185" s="2">
        <f t="shared" si="54"/>
        <v>137.3237104799442</v>
      </c>
      <c r="I185" s="2">
        <f t="shared" si="55"/>
        <v>17153.104575375401</v>
      </c>
      <c r="J185" s="5">
        <f t="shared" si="56"/>
        <v>1.5879066561340913</v>
      </c>
      <c r="K185" s="6">
        <f t="shared" si="44"/>
        <v>3901.916139227199</v>
      </c>
      <c r="M185">
        <f t="shared" si="45"/>
        <v>26.201443389389127</v>
      </c>
      <c r="N185">
        <f t="shared" si="46"/>
        <v>18.599945309426548</v>
      </c>
      <c r="O185">
        <f t="shared" si="47"/>
        <v>1715.3104575375401</v>
      </c>
    </row>
    <row r="186" spans="1:15" x14ac:dyDescent="0.2">
      <c r="A186" s="2">
        <v>173</v>
      </c>
      <c r="B186" s="4">
        <f t="shared" si="48"/>
        <v>3.4940908192996636</v>
      </c>
      <c r="C186" s="2">
        <f t="shared" si="49"/>
        <v>-3.2364029965831352E-3</v>
      </c>
      <c r="D186" s="7">
        <f t="shared" si="50"/>
        <v>434.0218611767948</v>
      </c>
      <c r="E186" s="5">
        <f t="shared" si="51"/>
        <v>0.32136695607483373</v>
      </c>
      <c r="F186" s="2">
        <f t="shared" si="52"/>
        <v>407.75013906778207</v>
      </c>
      <c r="G186" s="2">
        <f t="shared" si="53"/>
        <v>26609.193528456908</v>
      </c>
      <c r="H186" s="2">
        <f t="shared" si="54"/>
        <v>137.09180713137661</v>
      </c>
      <c r="I186" s="2">
        <f t="shared" si="55"/>
        <v>17290.196382506776</v>
      </c>
      <c r="J186" s="5">
        <f t="shared" si="56"/>
        <v>1.5876589104832168</v>
      </c>
      <c r="K186" s="6">
        <f t="shared" si="44"/>
        <v>3896.8110005017757</v>
      </c>
      <c r="M186">
        <f t="shared" si="45"/>
        <v>26.60919352845691</v>
      </c>
      <c r="N186">
        <f t="shared" si="46"/>
        <v>18.412970258054084</v>
      </c>
      <c r="O186">
        <f t="shared" si="47"/>
        <v>1729.0196382506776</v>
      </c>
    </row>
    <row r="187" spans="1:15" x14ac:dyDescent="0.2">
      <c r="A187" s="2">
        <v>174</v>
      </c>
      <c r="B187" s="4">
        <f t="shared" si="48"/>
        <v>3.5042874160048694</v>
      </c>
      <c r="C187" s="2">
        <f t="shared" si="49"/>
        <v>-3.2097183183190429E-3</v>
      </c>
      <c r="D187" s="7">
        <f t="shared" si="50"/>
        <v>437.51595199609449</v>
      </c>
      <c r="E187" s="5">
        <f t="shared" si="51"/>
        <v>0.31813055307825061</v>
      </c>
      <c r="F187" s="2">
        <f t="shared" si="52"/>
        <v>411.44139017956013</v>
      </c>
      <c r="G187" s="2">
        <f t="shared" si="53"/>
        <v>27020.634918636468</v>
      </c>
      <c r="H187" s="2">
        <f t="shared" si="54"/>
        <v>136.85125634741806</v>
      </c>
      <c r="I187" s="2">
        <f t="shared" si="55"/>
        <v>17427.047638854194</v>
      </c>
      <c r="J187" s="5">
        <f t="shared" si="56"/>
        <v>1.5874116573670336</v>
      </c>
      <c r="K187" s="6">
        <f t="shared" si="44"/>
        <v>3891.7058617763523</v>
      </c>
      <c r="M187">
        <f t="shared" si="45"/>
        <v>27.020634918636468</v>
      </c>
      <c r="N187">
        <f t="shared" si="46"/>
        <v>18.22753802554638</v>
      </c>
      <c r="O187">
        <f t="shared" si="47"/>
        <v>1742.7047638854194</v>
      </c>
    </row>
    <row r="188" spans="1:15" x14ac:dyDescent="0.2">
      <c r="A188" s="2">
        <v>175</v>
      </c>
      <c r="B188" s="4">
        <f t="shared" si="48"/>
        <v>3.5144610352515442</v>
      </c>
      <c r="C188" s="2">
        <f t="shared" si="49"/>
        <v>-3.1832734589083956E-3</v>
      </c>
      <c r="D188" s="7">
        <f t="shared" si="50"/>
        <v>441.02023941209933</v>
      </c>
      <c r="E188" s="5">
        <f t="shared" si="51"/>
        <v>0.31492083475993154</v>
      </c>
      <c r="F188" s="2">
        <f t="shared" si="52"/>
        <v>415.14080936652152</v>
      </c>
      <c r="G188" s="2">
        <f t="shared" si="53"/>
        <v>27435.775728002991</v>
      </c>
      <c r="H188" s="2">
        <f t="shared" si="54"/>
        <v>136.60213828266231</v>
      </c>
      <c r="I188" s="2">
        <f t="shared" si="55"/>
        <v>17563.649777136856</v>
      </c>
      <c r="J188" s="5">
        <f t="shared" si="56"/>
        <v>1.5871649119362858</v>
      </c>
      <c r="K188" s="6">
        <f t="shared" si="44"/>
        <v>3886.600723050929</v>
      </c>
      <c r="M188">
        <f t="shared" si="45"/>
        <v>27.435775728002991</v>
      </c>
      <c r="N188">
        <f t="shared" si="46"/>
        <v>18.04363471248087</v>
      </c>
      <c r="O188">
        <f t="shared" si="47"/>
        <v>1756.3649777136857</v>
      </c>
    </row>
    <row r="189" spans="1:15" x14ac:dyDescent="0.2">
      <c r="A189" s="2">
        <v>176</v>
      </c>
      <c r="B189" s="4">
        <f t="shared" si="48"/>
        <v>3.5246119332087922</v>
      </c>
      <c r="C189" s="2">
        <f t="shared" si="49"/>
        <v>-3.1570656735567275E-3</v>
      </c>
      <c r="D189" s="7">
        <f t="shared" si="50"/>
        <v>444.53470044735087</v>
      </c>
      <c r="E189" s="5">
        <f t="shared" si="51"/>
        <v>0.31173756130102315</v>
      </c>
      <c r="F189" s="2">
        <f t="shared" si="52"/>
        <v>418.84835266822978</v>
      </c>
      <c r="G189" s="2">
        <f t="shared" si="53"/>
        <v>27854.624080671219</v>
      </c>
      <c r="H189" s="2">
        <f t="shared" si="54"/>
        <v>136.34453293197805</v>
      </c>
      <c r="I189" s="2">
        <f t="shared" si="55"/>
        <v>17699.994310068832</v>
      </c>
      <c r="J189" s="5">
        <f t="shared" si="56"/>
        <v>1.5869186891836007</v>
      </c>
      <c r="K189" s="6">
        <f t="shared" si="44"/>
        <v>3881.4955843255057</v>
      </c>
      <c r="M189">
        <f t="shared" si="45"/>
        <v>27.854624080671218</v>
      </c>
      <c r="N189">
        <f t="shared" si="46"/>
        <v>17.861246578249407</v>
      </c>
      <c r="O189">
        <f t="shared" si="47"/>
        <v>1769.9994310068832</v>
      </c>
    </row>
    <row r="190" spans="1:15" x14ac:dyDescent="0.2">
      <c r="A190" s="2">
        <v>177</v>
      </c>
      <c r="B190" s="4">
        <f t="shared" si="48"/>
        <v>3.5347403671614037</v>
      </c>
      <c r="C190" s="2">
        <f t="shared" si="49"/>
        <v>-3.1310922445606923E-3</v>
      </c>
      <c r="D190" s="7">
        <f t="shared" si="50"/>
        <v>448.05931238055967</v>
      </c>
      <c r="E190" s="5">
        <f t="shared" si="51"/>
        <v>0.30858049562746642</v>
      </c>
      <c r="F190" s="2">
        <f t="shared" si="52"/>
        <v>422.56397725819289</v>
      </c>
      <c r="G190" s="2">
        <f t="shared" si="53"/>
        <v>28277.188057929412</v>
      </c>
      <c r="H190" s="2">
        <f t="shared" si="54"/>
        <v>136.07852012747685</v>
      </c>
      <c r="I190" s="2">
        <f t="shared" si="55"/>
        <v>17836.07283019631</v>
      </c>
      <c r="J190" s="5">
        <f t="shared" si="56"/>
        <v>1.5866730039440273</v>
      </c>
      <c r="K190" s="6">
        <f t="shared" si="44"/>
        <v>3876.3904456000828</v>
      </c>
      <c r="M190">
        <f t="shared" si="45"/>
        <v>28.277188057929411</v>
      </c>
      <c r="N190">
        <f t="shared" si="46"/>
        <v>17.680360039508979</v>
      </c>
      <c r="O190">
        <f t="shared" si="47"/>
        <v>1783.607283019631</v>
      </c>
    </row>
    <row r="191" spans="1:15" x14ac:dyDescent="0.2">
      <c r="A191" s="2">
        <v>178</v>
      </c>
      <c r="B191" s="4">
        <f t="shared" si="48"/>
        <v>3.5448465954134925</v>
      </c>
      <c r="C191" s="2">
        <f t="shared" si="49"/>
        <v>-3.1053504813404837E-3</v>
      </c>
      <c r="D191" s="7">
        <f t="shared" si="50"/>
        <v>451.59405274772109</v>
      </c>
      <c r="E191" s="5">
        <f t="shared" si="51"/>
        <v>0.30544940338290572</v>
      </c>
      <c r="F191" s="2">
        <f t="shared" si="52"/>
        <v>426.28764142752215</v>
      </c>
      <c r="G191" s="2">
        <f t="shared" si="53"/>
        <v>28703.475699356935</v>
      </c>
      <c r="H191" s="2">
        <f t="shared" si="54"/>
        <v>135.80417953570637</v>
      </c>
      <c r="I191" s="2">
        <f t="shared" si="55"/>
        <v>17971.877009732016</v>
      </c>
      <c r="J191" s="5">
        <f t="shared" si="56"/>
        <v>1.5864278708955806</v>
      </c>
      <c r="K191" s="6">
        <f t="shared" si="44"/>
        <v>3871.2853068746595</v>
      </c>
      <c r="M191">
        <f t="shared" si="45"/>
        <v>28.703475699356936</v>
      </c>
      <c r="N191">
        <f t="shared" si="46"/>
        <v>17.500961668629508</v>
      </c>
      <c r="O191">
        <f t="shared" si="47"/>
        <v>1797.1877009732016</v>
      </c>
    </row>
    <row r="192" spans="1:15" x14ac:dyDescent="0.2">
      <c r="A192" s="2">
        <v>179</v>
      </c>
      <c r="B192" s="4">
        <f t="shared" si="48"/>
        <v>3.5549308771959396</v>
      </c>
      <c r="C192" s="2">
        <f t="shared" si="49"/>
        <v>-3.0798377204544437E-3</v>
      </c>
      <c r="D192" s="7">
        <f t="shared" si="50"/>
        <v>455.1388993431346</v>
      </c>
      <c r="E192" s="5">
        <f t="shared" si="51"/>
        <v>0.30234405290156524</v>
      </c>
      <c r="F192" s="2">
        <f t="shared" si="52"/>
        <v>430.01930456882752</v>
      </c>
      <c r="G192" s="2">
        <f t="shared" si="53"/>
        <v>29133.495003925764</v>
      </c>
      <c r="H192" s="2">
        <f t="shared" si="54"/>
        <v>135.52159065506214</v>
      </c>
      <c r="I192" s="2">
        <f t="shared" si="55"/>
        <v>18107.398600387078</v>
      </c>
      <c r="J192" s="5">
        <f t="shared" si="56"/>
        <v>1.5861833045597922</v>
      </c>
      <c r="K192" s="6">
        <f t="shared" si="44"/>
        <v>3866.1801681492361</v>
      </c>
      <c r="M192">
        <f t="shared" si="45"/>
        <v>29.133495003925763</v>
      </c>
      <c r="N192">
        <f t="shared" si="46"/>
        <v>17.32303819213978</v>
      </c>
      <c r="O192">
        <f t="shared" si="47"/>
        <v>1810.7398600387078</v>
      </c>
    </row>
    <row r="193" spans="1:15" x14ac:dyDescent="0.2">
      <c r="A193" s="2">
        <v>180</v>
      </c>
      <c r="B193" s="4">
        <f t="shared" si="48"/>
        <v>3.5649934725775294</v>
      </c>
      <c r="C193" s="2">
        <f t="shared" si="49"/>
        <v>-3.0545513255967817E-3</v>
      </c>
      <c r="D193" s="7">
        <f t="shared" si="50"/>
        <v>458.69383022033054</v>
      </c>
      <c r="E193" s="5">
        <f t="shared" si="51"/>
        <v>0.29926421518111079</v>
      </c>
      <c r="F193" s="2">
        <f t="shared" si="52"/>
        <v>433.75892716034554</v>
      </c>
      <c r="G193" s="2">
        <f t="shared" si="53"/>
        <v>29567.25393108611</v>
      </c>
      <c r="H193" s="2">
        <f t="shared" si="54"/>
        <v>135.23083281340965</v>
      </c>
      <c r="I193" s="2">
        <f t="shared" si="55"/>
        <v>18242.629433200487</v>
      </c>
      <c r="J193" s="5">
        <f t="shared" si="56"/>
        <v>1.5859393193022628</v>
      </c>
      <c r="K193" s="6">
        <f t="shared" si="44"/>
        <v>3861.0750294238128</v>
      </c>
      <c r="M193">
        <f t="shared" si="45"/>
        <v>29.56725393108611</v>
      </c>
      <c r="N193">
        <f t="shared" si="46"/>
        <v>17.146576489172549</v>
      </c>
      <c r="O193">
        <f t="shared" si="47"/>
        <v>1824.2629433200486</v>
      </c>
    </row>
    <row r="194" spans="1:15" x14ac:dyDescent="0.2">
      <c r="A194" s="2">
        <v>181</v>
      </c>
      <c r="B194" s="4">
        <f t="shared" si="48"/>
        <v>3.5750346423796384</v>
      </c>
      <c r="C194" s="2">
        <f t="shared" si="49"/>
        <v>-3.029488687579325E-3</v>
      </c>
      <c r="D194" s="7">
        <f t="shared" si="50"/>
        <v>462.25882369290809</v>
      </c>
      <c r="E194" s="5">
        <f t="shared" si="51"/>
        <v>0.296209663855514</v>
      </c>
      <c r="F194" s="2">
        <f t="shared" si="52"/>
        <v>437.50647075029775</v>
      </c>
      <c r="G194" s="2">
        <f t="shared" si="53"/>
        <v>30004.760401836407</v>
      </c>
      <c r="H194" s="2">
        <f t="shared" si="54"/>
        <v>134.93198516590999</v>
      </c>
      <c r="I194" s="2">
        <f t="shared" si="55"/>
        <v>18377.561418366397</v>
      </c>
      <c r="J194" s="5">
        <f t="shared" si="56"/>
        <v>1.5856959293332213</v>
      </c>
      <c r="K194" s="6">
        <f t="shared" si="44"/>
        <v>3855.9698906983895</v>
      </c>
      <c r="M194">
        <f t="shared" si="45"/>
        <v>30.004760401836407</v>
      </c>
      <c r="N194">
        <f t="shared" si="46"/>
        <v>16.97156358990976</v>
      </c>
      <c r="O194">
        <f t="shared" si="47"/>
        <v>1837.7561418366397</v>
      </c>
    </row>
    <row r="195" spans="1:15" x14ac:dyDescent="0.2">
      <c r="A195" s="2">
        <v>182</v>
      </c>
      <c r="B195" s="4">
        <f t="shared" si="48"/>
        <v>3.5850546480943843</v>
      </c>
      <c r="C195" s="2">
        <f t="shared" si="49"/>
        <v>-3.0046472242981647E-3</v>
      </c>
      <c r="D195" s="7">
        <f t="shared" si="50"/>
        <v>465.83385833528774</v>
      </c>
      <c r="E195" s="5">
        <f t="shared" si="51"/>
        <v>0.29318017516793465</v>
      </c>
      <c r="F195" s="2">
        <f t="shared" si="52"/>
        <v>441.26189794147825</v>
      </c>
      <c r="G195" s="2">
        <f t="shared" si="53"/>
        <v>30446.022299777884</v>
      </c>
      <c r="H195" s="2">
        <f t="shared" si="54"/>
        <v>134.62512669304212</v>
      </c>
      <c r="I195" s="2">
        <f t="shared" si="55"/>
        <v>18512.186545059438</v>
      </c>
      <c r="J195" s="5">
        <f t="shared" si="56"/>
        <v>1.5854531487080878</v>
      </c>
      <c r="K195" s="6">
        <f t="shared" si="44"/>
        <v>3850.8647519729661</v>
      </c>
      <c r="M195">
        <f t="shared" si="45"/>
        <v>30.446022299777884</v>
      </c>
      <c r="N195">
        <f t="shared" si="46"/>
        <v>16.797986674028838</v>
      </c>
      <c r="O195">
        <f t="shared" si="47"/>
        <v>1851.2186545059437</v>
      </c>
    </row>
    <row r="196" spans="1:15" x14ac:dyDescent="0.2">
      <c r="A196" s="2">
        <v>183</v>
      </c>
      <c r="B196" s="4">
        <f t="shared" si="48"/>
        <v>3.5950537518061112</v>
      </c>
      <c r="C196" s="2">
        <f t="shared" si="49"/>
        <v>-2.9800243806860304E-3</v>
      </c>
      <c r="D196" s="7">
        <f t="shared" si="50"/>
        <v>469.41891298338214</v>
      </c>
      <c r="E196" s="5">
        <f t="shared" si="51"/>
        <v>0.29017552794363649</v>
      </c>
      <c r="F196" s="2">
        <f t="shared" si="52"/>
        <v>445.02517237606679</v>
      </c>
      <c r="G196" s="2">
        <f t="shared" si="53"/>
        <v>30891.04747215395</v>
      </c>
      <c r="H196" s="2">
        <f t="shared" si="54"/>
        <v>134.31033619881453</v>
      </c>
      <c r="I196" s="2">
        <f t="shared" si="55"/>
        <v>18646.496881258252</v>
      </c>
      <c r="J196" s="5">
        <f t="shared" si="56"/>
        <v>1.5852109913280368</v>
      </c>
      <c r="K196" s="6">
        <f t="shared" si="44"/>
        <v>3845.7596132475428</v>
      </c>
      <c r="M196">
        <f t="shared" si="45"/>
        <v>30.89104747215395</v>
      </c>
      <c r="N196">
        <f t="shared" si="46"/>
        <v>16.625833069150854</v>
      </c>
      <c r="O196">
        <f t="shared" si="47"/>
        <v>1864.6496881258252</v>
      </c>
    </row>
    <row r="197" spans="1:15" x14ac:dyDescent="0.2">
      <c r="A197" s="2">
        <v>184</v>
      </c>
      <c r="B197" s="4">
        <f t="shared" si="48"/>
        <v>3.6050322161160988</v>
      </c>
      <c r="C197" s="2">
        <f t="shared" si="49"/>
        <v>-2.9556176286511977E-3</v>
      </c>
      <c r="D197" s="7">
        <f t="shared" si="50"/>
        <v>473.01396673518826</v>
      </c>
      <c r="E197" s="5">
        <f t="shared" si="51"/>
        <v>0.28719550356295048</v>
      </c>
      <c r="F197" s="2">
        <f t="shared" si="52"/>
        <v>448.79625872066589</v>
      </c>
      <c r="G197" s="2">
        <f t="shared" si="53"/>
        <v>31339.843730874618</v>
      </c>
      <c r="H197" s="2">
        <f t="shared" si="54"/>
        <v>133.98769230916028</v>
      </c>
      <c r="I197" s="2">
        <f t="shared" si="55"/>
        <v>18780.484573567413</v>
      </c>
      <c r="J197" s="5">
        <f t="shared" si="56"/>
        <v>1.5849694709405679</v>
      </c>
      <c r="K197" s="6">
        <f t="shared" si="44"/>
        <v>3840.6544745221199</v>
      </c>
      <c r="M197">
        <f t="shared" si="45"/>
        <v>31.33984373087462</v>
      </c>
      <c r="N197">
        <f t="shared" si="46"/>
        <v>16.455090249291459</v>
      </c>
      <c r="O197">
        <f t="shared" si="47"/>
        <v>1878.0484573567414</v>
      </c>
    </row>
    <row r="198" spans="1:15" x14ac:dyDescent="0.2">
      <c r="A198" s="2">
        <v>185</v>
      </c>
      <c r="B198" s="4">
        <f t="shared" si="48"/>
        <v>3.614990304070405</v>
      </c>
      <c r="C198" s="2">
        <f t="shared" si="49"/>
        <v>-2.9314244670036785E-3</v>
      </c>
      <c r="D198" s="7">
        <f t="shared" si="50"/>
        <v>476.61899895130438</v>
      </c>
      <c r="E198" s="5">
        <f t="shared" si="51"/>
        <v>0.28423988593429927</v>
      </c>
      <c r="F198" s="2">
        <f t="shared" si="52"/>
        <v>452.57512265155935</v>
      </c>
      <c r="G198" s="2">
        <f t="shared" si="53"/>
        <v>31792.418853526178</v>
      </c>
      <c r="H198" s="2">
        <f t="shared" si="54"/>
        <v>133.65727347050864</v>
      </c>
      <c r="I198" s="2">
        <f t="shared" si="55"/>
        <v>18914.141847037921</v>
      </c>
      <c r="J198" s="5">
        <f t="shared" si="56"/>
        <v>1.584728601140077</v>
      </c>
      <c r="K198" s="6">
        <f t="shared" si="44"/>
        <v>3835.5493357966966</v>
      </c>
      <c r="M198">
        <f t="shared" si="45"/>
        <v>31.792418853526179</v>
      </c>
      <c r="N198">
        <f t="shared" si="46"/>
        <v>16.285745833315282</v>
      </c>
      <c r="O198">
        <f t="shared" si="47"/>
        <v>1891.4141847037922</v>
      </c>
    </row>
    <row r="199" spans="1:15" x14ac:dyDescent="0.2">
      <c r="A199" s="2">
        <v>186</v>
      </c>
      <c r="B199" s="4">
        <f t="shared" si="48"/>
        <v>3.6249282790907214</v>
      </c>
      <c r="C199" s="2">
        <f t="shared" si="49"/>
        <v>-2.9074424213694399E-3</v>
      </c>
      <c r="D199" s="7">
        <f t="shared" si="50"/>
        <v>480.23398925537481</v>
      </c>
      <c r="E199" s="5">
        <f t="shared" si="51"/>
        <v>0.2813084614672956</v>
      </c>
      <c r="F199" s="2">
        <f t="shared" si="52"/>
        <v>456.36173084018935</v>
      </c>
      <c r="G199" s="2">
        <f t="shared" si="53"/>
        <v>32248.780584366366</v>
      </c>
      <c r="H199" s="2">
        <f t="shared" si="54"/>
        <v>133.31915794852753</v>
      </c>
      <c r="I199" s="2">
        <f t="shared" si="55"/>
        <v>19047.46100498645</v>
      </c>
      <c r="J199" s="5">
        <f t="shared" si="56"/>
        <v>1.5844883953684277</v>
      </c>
      <c r="K199" s="6">
        <f t="shared" si="44"/>
        <v>3830.4441970712733</v>
      </c>
      <c r="M199">
        <f t="shared" si="45"/>
        <v>32.248780584366365</v>
      </c>
      <c r="N199">
        <f t="shared" si="46"/>
        <v>16.117787583394584</v>
      </c>
      <c r="O199">
        <f t="shared" si="47"/>
        <v>1904.7461004986449</v>
      </c>
    </row>
    <row r="200" spans="1:15" x14ac:dyDescent="0.2">
      <c r="A200" s="2">
        <v>187</v>
      </c>
      <c r="B200" s="4">
        <f t="shared" si="48"/>
        <v>3.6348464049081568</v>
      </c>
      <c r="C200" s="2">
        <f t="shared" si="49"/>
        <v>-2.8836690440933424E-3</v>
      </c>
      <c r="D200" s="7">
        <f t="shared" si="50"/>
        <v>483.85891753446555</v>
      </c>
      <c r="E200" s="5">
        <f t="shared" si="51"/>
        <v>0.27840101904592618</v>
      </c>
      <c r="F200" s="2">
        <f t="shared" si="52"/>
        <v>460.15605093885</v>
      </c>
      <c r="G200" s="2">
        <f t="shared" si="53"/>
        <v>32708.936635305217</v>
      </c>
      <c r="H200" s="2">
        <f t="shared" si="54"/>
        <v>132.97342382703056</v>
      </c>
      <c r="I200" s="2">
        <f t="shared" si="55"/>
        <v>19180.434428813482</v>
      </c>
      <c r="J200" s="5">
        <f t="shared" si="56"/>
        <v>1.5842488669155268</v>
      </c>
      <c r="K200" s="6">
        <f t="shared" si="44"/>
        <v>3825.3390583458499</v>
      </c>
      <c r="M200">
        <f t="shared" si="45"/>
        <v>32.708936635305214</v>
      </c>
      <c r="N200">
        <f t="shared" si="46"/>
        <v>15.951203403472819</v>
      </c>
      <c r="O200">
        <f t="shared" si="47"/>
        <v>1918.0434428813483</v>
      </c>
    </row>
    <row r="201" spans="1:15" x14ac:dyDescent="0.2">
      <c r="A201" s="2">
        <v>188</v>
      </c>
      <c r="B201" s="4">
        <f t="shared" si="48"/>
        <v>3.6447449454998462</v>
      </c>
      <c r="C201" s="2">
        <f t="shared" si="49"/>
        <v>-2.8601019141314818E-3</v>
      </c>
      <c r="D201" s="7">
        <f t="shared" si="50"/>
        <v>487.49376393937371</v>
      </c>
      <c r="E201" s="5">
        <f t="shared" si="51"/>
        <v>0.27551735000183286</v>
      </c>
      <c r="F201" s="2">
        <f t="shared" si="52"/>
        <v>463.95805156659492</v>
      </c>
      <c r="G201" s="2">
        <f t="shared" si="53"/>
        <v>33172.894686871812</v>
      </c>
      <c r="H201" s="2">
        <f t="shared" si="54"/>
        <v>132.62014900704278</v>
      </c>
      <c r="I201" s="2">
        <f t="shared" si="55"/>
        <v>19313.054577820523</v>
      </c>
      <c r="J201" s="5">
        <f t="shared" si="56"/>
        <v>1.5840100289199051</v>
      </c>
      <c r="K201" s="6">
        <f t="shared" si="44"/>
        <v>3820.2339196204266</v>
      </c>
      <c r="M201">
        <f t="shared" si="45"/>
        <v>33.172894686871814</v>
      </c>
      <c r="N201">
        <f t="shared" si="46"/>
        <v>15.785981337733748</v>
      </c>
      <c r="O201">
        <f t="shared" si="47"/>
        <v>1931.3054577820524</v>
      </c>
    </row>
    <row r="202" spans="1:15" x14ac:dyDescent="0.2">
      <c r="A202" s="2">
        <v>189</v>
      </c>
      <c r="B202" s="4">
        <f t="shared" si="48"/>
        <v>3.6546241650282876</v>
      </c>
      <c r="C202" s="2">
        <f t="shared" si="49"/>
        <v>-2.8367386369335468E-3</v>
      </c>
      <c r="D202" s="7">
        <f t="shared" si="50"/>
        <v>491.13850888487354</v>
      </c>
      <c r="E202" s="5">
        <f t="shared" si="51"/>
        <v>0.27265724808770136</v>
      </c>
      <c r="F202" s="2">
        <f t="shared" si="52"/>
        <v>467.76770229535617</v>
      </c>
      <c r="G202" s="2">
        <f t="shared" si="53"/>
        <v>33640.66238916717</v>
      </c>
      <c r="H202" s="2">
        <f t="shared" si="54"/>
        <v>132.25941120601999</v>
      </c>
      <c r="I202" s="2">
        <f t="shared" si="55"/>
        <v>19445.313989026545</v>
      </c>
      <c r="J202" s="5">
        <f t="shared" si="56"/>
        <v>1.5837718943692896</v>
      </c>
      <c r="K202" s="6">
        <f t="shared" si="44"/>
        <v>3815.1287808950037</v>
      </c>
      <c r="M202">
        <f t="shared" si="45"/>
        <v>33.640662389167169</v>
      </c>
      <c r="N202">
        <f t="shared" si="46"/>
        <v>15.622109569076725</v>
      </c>
      <c r="O202">
        <f t="shared" si="47"/>
        <v>1944.5313989026545</v>
      </c>
    </row>
    <row r="203" spans="1:15" x14ac:dyDescent="0.2">
      <c r="A203" s="2">
        <v>190</v>
      </c>
      <c r="B203" s="4">
        <f t="shared" si="48"/>
        <v>3.6644843277833274</v>
      </c>
      <c r="C203" s="2">
        <f t="shared" si="49"/>
        <v>-2.8135768443158437E-3</v>
      </c>
      <c r="D203" s="7">
        <f t="shared" si="50"/>
        <v>494.79313304990183</v>
      </c>
      <c r="E203" s="5">
        <f t="shared" si="51"/>
        <v>0.2698205094507678</v>
      </c>
      <c r="F203" s="2">
        <f t="shared" si="52"/>
        <v>471.58497363627123</v>
      </c>
      <c r="G203" s="2">
        <f t="shared" si="53"/>
        <v>34112.247362803442</v>
      </c>
      <c r="H203" s="2">
        <f t="shared" si="54"/>
        <v>131.89128795721581</v>
      </c>
      <c r="I203" s="2">
        <f t="shared" si="55"/>
        <v>19577.205276983761</v>
      </c>
      <c r="J203" s="5">
        <f t="shared" si="56"/>
        <v>1.5835344761011867</v>
      </c>
      <c r="K203" s="6">
        <f t="shared" si="44"/>
        <v>3810.0236421695799</v>
      </c>
      <c r="M203">
        <f t="shared" si="45"/>
        <v>34.112247362803444</v>
      </c>
      <c r="N203">
        <f t="shared" si="46"/>
        <v>15.459576417598736</v>
      </c>
      <c r="O203">
        <f t="shared" si="47"/>
        <v>1957.7205276983761</v>
      </c>
    </row>
    <row r="204" spans="1:15" x14ac:dyDescent="0.2">
      <c r="A204" s="2">
        <v>191</v>
      </c>
      <c r="B204" s="4">
        <f t="shared" si="48"/>
        <v>3.6743256981266921</v>
      </c>
      <c r="C204" s="2">
        <f t="shared" si="49"/>
        <v>-2.7906141943255395E-3</v>
      </c>
      <c r="D204" s="7">
        <f t="shared" si="50"/>
        <v>498.45761737768515</v>
      </c>
      <c r="E204" s="5">
        <f t="shared" si="51"/>
        <v>0.26700693260645197</v>
      </c>
      <c r="F204" s="2">
        <f t="shared" si="52"/>
        <v>475.40983702621708</v>
      </c>
      <c r="G204" s="2">
        <f t="shared" si="53"/>
        <v>34587.657199829657</v>
      </c>
      <c r="H204" s="2">
        <f t="shared" si="54"/>
        <v>131.51585660919136</v>
      </c>
      <c r="I204" s="2">
        <f t="shared" si="55"/>
        <v>19708.721133592953</v>
      </c>
      <c r="J204" s="5">
        <f t="shared" si="56"/>
        <v>1.5832977868034595</v>
      </c>
      <c r="K204" s="6">
        <f t="shared" si="44"/>
        <v>3804.9185034441571</v>
      </c>
      <c r="M204">
        <f t="shared" si="45"/>
        <v>34.587657199829657</v>
      </c>
      <c r="N204">
        <f t="shared" si="46"/>
        <v>15.298370339083704</v>
      </c>
      <c r="O204">
        <f t="shared" si="47"/>
        <v>1970.8721133592953</v>
      </c>
    </row>
    <row r="205" spans="1:15" x14ac:dyDescent="0.2">
      <c r="A205" s="2">
        <v>192</v>
      </c>
      <c r="B205" s="4">
        <f t="shared" si="48"/>
        <v>3.684148540438994</v>
      </c>
      <c r="C205" s="2">
        <f t="shared" si="49"/>
        <v>-2.7678483710967066E-3</v>
      </c>
      <c r="D205" s="7">
        <f t="shared" si="50"/>
        <v>502.13194307581182</v>
      </c>
      <c r="E205" s="5">
        <f t="shared" si="51"/>
        <v>0.26421631841212645</v>
      </c>
      <c r="F205" s="2">
        <f t="shared" si="52"/>
        <v>479.24226481454679</v>
      </c>
      <c r="G205" s="2">
        <f t="shared" si="53"/>
        <v>35066.899464644201</v>
      </c>
      <c r="H205" s="2">
        <f t="shared" si="54"/>
        <v>131.13319432546237</v>
      </c>
      <c r="I205" s="2">
        <f t="shared" si="55"/>
        <v>19839.854327918416</v>
      </c>
      <c r="J205" s="5">
        <f t="shared" si="56"/>
        <v>1.5830618390149074</v>
      </c>
      <c r="K205" s="6">
        <f t="shared" si="44"/>
        <v>3799.8133647187337</v>
      </c>
      <c r="M205">
        <f t="shared" si="45"/>
        <v>35.066899464644202</v>
      </c>
      <c r="N205">
        <f t="shared" si="46"/>
        <v>15.138479923499551</v>
      </c>
      <c r="O205">
        <f t="shared" si="47"/>
        <v>1983.9854327918415</v>
      </c>
    </row>
    <row r="206" spans="1:15" x14ac:dyDescent="0.2">
      <c r="A206" s="2">
        <v>193</v>
      </c>
      <c r="B206" s="4">
        <f t="shared" si="48"/>
        <v>3.6939531190691195</v>
      </c>
      <c r="C206" s="2">
        <f t="shared" si="49"/>
        <v>-2.745277084698699E-3</v>
      </c>
      <c r="D206" s="7">
        <f t="shared" si="50"/>
        <v>505.81609161625079</v>
      </c>
      <c r="E206" s="5">
        <f t="shared" si="51"/>
        <v>0.26144847004102972</v>
      </c>
      <c r="F206" s="2">
        <f t="shared" si="52"/>
        <v>483.08223025002843</v>
      </c>
      <c r="G206" s="2">
        <f t="shared" si="53"/>
        <v>35549.981694894232</v>
      </c>
      <c r="H206" s="2">
        <f t="shared" si="54"/>
        <v>130.74337808427924</v>
      </c>
      <c r="I206" s="2">
        <f t="shared" si="55"/>
        <v>19970.597706002696</v>
      </c>
      <c r="J206" s="5">
        <f t="shared" si="56"/>
        <v>1.5828266451258475</v>
      </c>
      <c r="K206" s="6">
        <f t="shared" ref="K206:K269" si="57">$B$1-($B$7*A206)</f>
        <v>3794.7082259933104</v>
      </c>
      <c r="M206">
        <f t="shared" ref="M206:M269" si="58">G206/1000</f>
        <v>35.549981694894228</v>
      </c>
      <c r="N206">
        <f t="shared" ref="N206:N269" si="59">E206*180/PI()</f>
        <v>14.979893893503549</v>
      </c>
      <c r="O206">
        <f t="shared" ref="O206:O269" si="60">I206/10</f>
        <v>1997.0597706002695</v>
      </c>
    </row>
    <row r="207" spans="1:15" x14ac:dyDescent="0.2">
      <c r="A207" s="2">
        <v>194</v>
      </c>
      <c r="B207" s="4">
        <f t="shared" si="48"/>
        <v>3.7037396982859194</v>
      </c>
      <c r="C207" s="2">
        <f t="shared" si="49"/>
        <v>-2.7228980709773629E-3</v>
      </c>
      <c r="D207" s="7">
        <f t="shared" si="50"/>
        <v>509.51004473531992</v>
      </c>
      <c r="E207" s="5">
        <f t="shared" si="51"/>
        <v>0.25870319295633104</v>
      </c>
      <c r="F207" s="2">
        <f t="shared" si="52"/>
        <v>486.9297074679809</v>
      </c>
      <c r="G207" s="2">
        <f t="shared" si="53"/>
        <v>36036.91140236221</v>
      </c>
      <c r="H207" s="2">
        <f t="shared" si="54"/>
        <v>130.34648467853467</v>
      </c>
      <c r="I207" s="2">
        <f t="shared" si="55"/>
        <v>20100.944190681232</v>
      </c>
      <c r="J207" s="5">
        <f t="shared" si="56"/>
        <v>1.5825922173786922</v>
      </c>
      <c r="K207" s="6">
        <f t="shared" si="57"/>
        <v>3789.6030872678871</v>
      </c>
      <c r="M207">
        <f t="shared" si="58"/>
        <v>36.036911402362207</v>
      </c>
      <c r="N207">
        <f t="shared" si="59"/>
        <v>14.822601102956334</v>
      </c>
      <c r="O207">
        <f t="shared" si="60"/>
        <v>2010.0944190681232</v>
      </c>
    </row>
    <row r="208" spans="1:15" x14ac:dyDescent="0.2">
      <c r="A208" s="2">
        <v>195</v>
      </c>
      <c r="B208" s="4">
        <f t="shared" si="48"/>
        <v>3.7135085422321348</v>
      </c>
      <c r="C208" s="2">
        <f t="shared" si="49"/>
        <v>-2.7007090913895764E-3</v>
      </c>
      <c r="D208" s="7">
        <f t="shared" si="50"/>
        <v>513.21378443360584</v>
      </c>
      <c r="E208" s="5">
        <f t="shared" si="51"/>
        <v>0.25598029488535368</v>
      </c>
      <c r="F208" s="2">
        <f t="shared" si="52"/>
        <v>490.78467147760614</v>
      </c>
      <c r="G208" s="2">
        <f t="shared" si="53"/>
        <v>36527.696073839819</v>
      </c>
      <c r="H208" s="2">
        <f t="shared" si="54"/>
        <v>129.94259071579464</v>
      </c>
      <c r="I208" s="2">
        <f t="shared" si="55"/>
        <v>20230.886781397025</v>
      </c>
      <c r="J208" s="5">
        <f t="shared" si="56"/>
        <v>1.5823585678685266</v>
      </c>
      <c r="K208" s="6">
        <f t="shared" si="57"/>
        <v>3784.4979485424637</v>
      </c>
      <c r="M208">
        <f t="shared" si="58"/>
        <v>36.52769607383982</v>
      </c>
      <c r="N208">
        <f t="shared" si="59"/>
        <v>14.666590535445017</v>
      </c>
      <c r="O208">
        <f t="shared" si="60"/>
        <v>2023.0886781397026</v>
      </c>
    </row>
    <row r="209" spans="1:15" x14ac:dyDescent="0.2">
      <c r="A209" s="2">
        <v>196</v>
      </c>
      <c r="B209" s="4">
        <f t="shared" si="48"/>
        <v>3.7232599148804622</v>
      </c>
      <c r="C209" s="2">
        <f t="shared" si="49"/>
        <v>-2.6787079328315999E-3</v>
      </c>
      <c r="D209" s="7">
        <f t="shared" si="50"/>
        <v>516.92729297583799</v>
      </c>
      <c r="E209" s="5">
        <f t="shared" si="51"/>
        <v>0.25327958579396409</v>
      </c>
      <c r="F209" s="2">
        <f t="shared" si="52"/>
        <v>494.6470981495151</v>
      </c>
      <c r="G209" s="2">
        <f t="shared" si="53"/>
        <v>37022.343171989334</v>
      </c>
      <c r="H209" s="2">
        <f t="shared" si="54"/>
        <v>129.53177261844826</v>
      </c>
      <c r="I209" s="2">
        <f t="shared" si="55"/>
        <v>20360.418554015472</v>
      </c>
      <c r="J209" s="5">
        <f t="shared" si="56"/>
        <v>1.5821257085436911</v>
      </c>
      <c r="K209" s="6">
        <f t="shared" si="57"/>
        <v>3779.3928098170409</v>
      </c>
      <c r="M209">
        <f t="shared" si="58"/>
        <v>37.022343171989334</v>
      </c>
      <c r="N209">
        <f t="shared" si="59"/>
        <v>14.511851302815785</v>
      </c>
      <c r="O209">
        <f t="shared" si="60"/>
        <v>2036.0418554015473</v>
      </c>
    </row>
    <row r="210" spans="1:15" x14ac:dyDescent="0.2">
      <c r="A210" s="2">
        <v>197</v>
      </c>
      <c r="B210" s="4">
        <f t="shared" si="48"/>
        <v>3.7329940799917112</v>
      </c>
      <c r="C210" s="2">
        <f t="shared" si="49"/>
        <v>-2.6568924074616401E-3</v>
      </c>
      <c r="D210" s="7">
        <f t="shared" si="50"/>
        <v>520.65055289071847</v>
      </c>
      <c r="E210" s="5">
        <f t="shared" si="51"/>
        <v>0.2506008778611325</v>
      </c>
      <c r="F210" s="2">
        <f t="shared" si="52"/>
        <v>498.51696420344291</v>
      </c>
      <c r="G210" s="2">
        <f t="shared" si="53"/>
        <v>37520.860136192779</v>
      </c>
      <c r="H210" s="2">
        <f t="shared" si="54"/>
        <v>129.11410662397222</v>
      </c>
      <c r="I210" s="2">
        <f t="shared" si="55"/>
        <v>20489.532660639445</v>
      </c>
      <c r="J210" s="5">
        <f t="shared" si="56"/>
        <v>1.5818936512063511</v>
      </c>
      <c r="K210" s="6">
        <f t="shared" si="57"/>
        <v>3774.2876710916175</v>
      </c>
      <c r="M210">
        <f t="shared" si="58"/>
        <v>37.52086013619278</v>
      </c>
      <c r="N210">
        <f t="shared" si="59"/>
        <v>14.358372643716322</v>
      </c>
      <c r="O210">
        <f t="shared" si="60"/>
        <v>2048.9532660639443</v>
      </c>
    </row>
    <row r="211" spans="1:15" x14ac:dyDescent="0.2">
      <c r="A211" s="2">
        <v>198</v>
      </c>
      <c r="B211" s="4">
        <f t="shared" si="48"/>
        <v>3.7427113010749586</v>
      </c>
      <c r="C211" s="2">
        <f t="shared" si="49"/>
        <v>-2.635260352517114E-3</v>
      </c>
      <c r="D211" s="7">
        <f t="shared" si="50"/>
        <v>524.3835469707102</v>
      </c>
      <c r="E211" s="5">
        <f t="shared" si="51"/>
        <v>0.24794398545367086</v>
      </c>
      <c r="F211" s="2">
        <f t="shared" si="52"/>
        <v>502.39424719615295</v>
      </c>
      <c r="G211" s="2">
        <f t="shared" si="53"/>
        <v>38023.254383388936</v>
      </c>
      <c r="H211" s="2">
        <f t="shared" si="54"/>
        <v>128.68966878530523</v>
      </c>
      <c r="I211" s="2">
        <f t="shared" si="55"/>
        <v>20618.222329424749</v>
      </c>
      <c r="J211" s="5">
        <f t="shared" si="56"/>
        <v>1.5816624075130794</v>
      </c>
      <c r="K211" s="6">
        <f t="shared" si="57"/>
        <v>3769.1825323661942</v>
      </c>
      <c r="M211">
        <f t="shared" si="58"/>
        <v>38.023254383388938</v>
      </c>
      <c r="N211">
        <f t="shared" si="59"/>
        <v>14.206143922148415</v>
      </c>
      <c r="O211">
        <f t="shared" si="60"/>
        <v>2061.8222329424748</v>
      </c>
    </row>
    <row r="212" spans="1:15" x14ac:dyDescent="0.2">
      <c r="A212" s="2">
        <v>199</v>
      </c>
      <c r="B212" s="4">
        <f t="shared" si="48"/>
        <v>3.7524118413496494</v>
      </c>
      <c r="C212" s="2">
        <f t="shared" si="49"/>
        <v>-2.6138096301269505E-3</v>
      </c>
      <c r="D212" s="7">
        <f t="shared" si="50"/>
        <v>528.1262582717851</v>
      </c>
      <c r="E212" s="5">
        <f t="shared" si="51"/>
        <v>0.24530872510115373</v>
      </c>
      <c r="F212" s="2">
        <f t="shared" si="52"/>
        <v>506.27892550952561</v>
      </c>
      <c r="G212" s="2">
        <f t="shared" si="53"/>
        <v>38529.533308898463</v>
      </c>
      <c r="H212" s="2">
        <f t="shared" si="54"/>
        <v>128.258534971329</v>
      </c>
      <c r="I212" s="2">
        <f t="shared" si="55"/>
        <v>20746.480864396079</v>
      </c>
      <c r="J212" s="5">
        <f t="shared" si="56"/>
        <v>1.5814319889754231</v>
      </c>
      <c r="K212" s="6">
        <f t="shared" si="57"/>
        <v>3764.0773936407709</v>
      </c>
      <c r="M212">
        <f t="shared" si="58"/>
        <v>38.529533308898465</v>
      </c>
      <c r="N212">
        <f t="shared" si="59"/>
        <v>14.055154626031026</v>
      </c>
      <c r="O212">
        <f t="shared" si="60"/>
        <v>2074.6480864396081</v>
      </c>
    </row>
    <row r="213" spans="1:15" x14ac:dyDescent="0.2">
      <c r="A213" s="2">
        <v>200</v>
      </c>
      <c r="B213" s="4">
        <f t="shared" si="48"/>
        <v>3.7620959637095628</v>
      </c>
      <c r="C213" s="2">
        <f t="shared" si="49"/>
        <v>-2.5925381271193772E-3</v>
      </c>
      <c r="D213" s="7">
        <f t="shared" si="50"/>
        <v>531.87867011313472</v>
      </c>
      <c r="E213" s="5">
        <f t="shared" si="51"/>
        <v>0.24269491547102678</v>
      </c>
      <c r="F213" s="2">
        <f t="shared" si="52"/>
        <v>510.17097833883076</v>
      </c>
      <c r="G213" s="2">
        <f t="shared" si="53"/>
        <v>39039.704287237291</v>
      </c>
      <c r="H213" s="2">
        <f t="shared" si="54"/>
        <v>127.82078086745173</v>
      </c>
      <c r="I213" s="2">
        <f t="shared" si="55"/>
        <v>20874.301645263531</v>
      </c>
      <c r="J213" s="5">
        <f t="shared" si="56"/>
        <v>1.5812024069604818</v>
      </c>
      <c r="K213" s="6">
        <f t="shared" si="57"/>
        <v>3758.9722549153475</v>
      </c>
      <c r="M213">
        <f t="shared" si="58"/>
        <v>39.039704287237292</v>
      </c>
      <c r="N213">
        <f t="shared" si="59"/>
        <v>13.905394365774102</v>
      </c>
      <c r="O213">
        <f t="shared" si="60"/>
        <v>2087.4301645263531</v>
      </c>
    </row>
    <row r="214" spans="1:15" x14ac:dyDescent="0.2">
      <c r="A214" s="2">
        <v>201</v>
      </c>
      <c r="B214" s="4">
        <f t="shared" si="48"/>
        <v>3.7717639306885933</v>
      </c>
      <c r="C214" s="2">
        <f t="shared" si="49"/>
        <v>-2.5714437548255108E-3</v>
      </c>
      <c r="D214" s="7">
        <f t="shared" si="50"/>
        <v>535.64076607684433</v>
      </c>
      <c r="E214" s="5">
        <f t="shared" si="51"/>
        <v>0.24010237734390741</v>
      </c>
      <c r="F214" s="2">
        <f t="shared" si="52"/>
        <v>514.07038568117855</v>
      </c>
      <c r="G214" s="2">
        <f t="shared" si="53"/>
        <v>39553.774672918473</v>
      </c>
      <c r="H214" s="2">
        <f t="shared" si="54"/>
        <v>127.37648197628991</v>
      </c>
      <c r="I214" s="2">
        <f t="shared" si="55"/>
        <v>21001.678127239822</v>
      </c>
      <c r="J214" s="5">
        <f t="shared" si="56"/>
        <v>1.5809736726914712</v>
      </c>
      <c r="K214" s="6">
        <f t="shared" si="57"/>
        <v>3753.8671161899242</v>
      </c>
      <c r="M214">
        <f t="shared" si="58"/>
        <v>39.553774672918472</v>
      </c>
      <c r="N214">
        <f t="shared" si="59"/>
        <v>13.756852872863412</v>
      </c>
      <c r="O214">
        <f t="shared" si="60"/>
        <v>2100.167812723982</v>
      </c>
    </row>
    <row r="215" spans="1:15" x14ac:dyDescent="0.2">
      <c r="A215" s="2">
        <v>202</v>
      </c>
      <c r="B215" s="4">
        <f t="shared" si="48"/>
        <v>3.7814160044282747</v>
      </c>
      <c r="C215" s="2">
        <f t="shared" si="49"/>
        <v>-2.5505244488791472E-3</v>
      </c>
      <c r="D215" s="7">
        <f t="shared" si="50"/>
        <v>539.41253000753295</v>
      </c>
      <c r="E215" s="5">
        <f t="shared" si="51"/>
        <v>0.23753093358908189</v>
      </c>
      <c r="F215" s="2">
        <f t="shared" si="52"/>
        <v>517.97712832414948</v>
      </c>
      <c r="G215" s="2">
        <f t="shared" si="53"/>
        <v>40071.751801242623</v>
      </c>
      <c r="H215" s="2">
        <f t="shared" si="54"/>
        <v>126.92571361844514</v>
      </c>
      <c r="I215" s="2">
        <f t="shared" si="55"/>
        <v>21128.603840858268</v>
      </c>
      <c r="J215" s="5">
        <f t="shared" si="56"/>
        <v>1.5807457972482966</v>
      </c>
      <c r="K215" s="6">
        <f t="shared" si="57"/>
        <v>3748.7619774645009</v>
      </c>
      <c r="M215">
        <f t="shared" si="58"/>
        <v>40.07175180124262</v>
      </c>
      <c r="N215">
        <f t="shared" si="59"/>
        <v>13.609519998456635</v>
      </c>
      <c r="O215">
        <f t="shared" si="60"/>
        <v>2112.8603840858268</v>
      </c>
    </row>
    <row r="216" spans="1:15" x14ac:dyDescent="0.2">
      <c r="A216" s="2">
        <v>203</v>
      </c>
      <c r="B216" s="4">
        <f t="shared" si="48"/>
        <v>3.7910524466469919</v>
      </c>
      <c r="C216" s="2">
        <f t="shared" si="49"/>
        <v>-2.5297781690130331E-3</v>
      </c>
      <c r="D216" s="7">
        <f t="shared" si="50"/>
        <v>543.1939460119612</v>
      </c>
      <c r="E216" s="5">
        <f t="shared" si="51"/>
        <v>0.23498040914020274</v>
      </c>
      <c r="F216" s="2">
        <f t="shared" si="52"/>
        <v>521.89118783459855</v>
      </c>
      <c r="G216" s="2">
        <f t="shared" si="53"/>
        <v>40593.64298907722</v>
      </c>
      <c r="H216" s="2">
        <f t="shared" si="54"/>
        <v>126.46855093337263</v>
      </c>
      <c r="I216" s="2">
        <f t="shared" si="55"/>
        <v>21255.07239179164</v>
      </c>
      <c r="J216" s="5">
        <f t="shared" si="56"/>
        <v>1.5805187915681107</v>
      </c>
      <c r="K216" s="6">
        <f t="shared" si="57"/>
        <v>3743.656838739078</v>
      </c>
      <c r="M216">
        <f t="shared" si="58"/>
        <v>40.593642989077217</v>
      </c>
      <c r="N216">
        <f t="shared" si="59"/>
        <v>13.463385711990931</v>
      </c>
      <c r="O216">
        <f t="shared" si="60"/>
        <v>2125.5072391791641</v>
      </c>
    </row>
    <row r="217" spans="1:15" x14ac:dyDescent="0.2">
      <c r="A217" s="2">
        <v>204</v>
      </c>
      <c r="B217" s="4">
        <f t="shared" si="48"/>
        <v>3.8006735186108136</v>
      </c>
      <c r="C217" s="2">
        <f t="shared" si="49"/>
        <v>-2.509202898851997E-3</v>
      </c>
      <c r="D217" s="7">
        <f t="shared" si="50"/>
        <v>546.98499845860817</v>
      </c>
      <c r="E217" s="5">
        <f t="shared" si="51"/>
        <v>0.2324506309711897</v>
      </c>
      <c r="F217" s="2">
        <f t="shared" si="52"/>
        <v>525.81254654763188</v>
      </c>
      <c r="G217" s="2">
        <f t="shared" si="53"/>
        <v>41119.455535624853</v>
      </c>
      <c r="H217" s="2">
        <f t="shared" si="54"/>
        <v>126.0050688803374</v>
      </c>
      <c r="I217" s="2">
        <f t="shared" si="55"/>
        <v>21381.077460671979</v>
      </c>
      <c r="J217" s="5">
        <f t="shared" si="56"/>
        <v>1.5802926664458823</v>
      </c>
      <c r="K217" s="6">
        <f t="shared" si="57"/>
        <v>3738.5517000136542</v>
      </c>
      <c r="M217">
        <f t="shared" si="58"/>
        <v>41.119455535624851</v>
      </c>
      <c r="N217">
        <f t="shared" si="59"/>
        <v>13.318440099802149</v>
      </c>
      <c r="O217">
        <f t="shared" si="60"/>
        <v>2138.1077460671977</v>
      </c>
    </row>
    <row r="218" spans="1:15" x14ac:dyDescent="0.2">
      <c r="A218" s="2">
        <v>205</v>
      </c>
      <c r="B218" s="4">
        <f t="shared" ref="B218:B281" si="61">(($B$5/K218)-(J218*SIN(E218)))</f>
        <v>3.8102794811059022</v>
      </c>
      <c r="C218" s="2">
        <f t="shared" ref="C218:C281" si="62">-((J218/D218)-(D218/(1740000+(I218))))*COS(E218)</f>
        <v>-2.4887966457031951E-3</v>
      </c>
      <c r="D218" s="7">
        <f t="shared" ref="D218:D281" si="63">D217+B217</f>
        <v>550.78567197721895</v>
      </c>
      <c r="E218" s="5">
        <f t="shared" ref="E218:E281" si="64">E217+C217</f>
        <v>0.22994142807233769</v>
      </c>
      <c r="F218" s="2">
        <f t="shared" ref="F218:F281" si="65">((1740000/(1740000+(I218)))*D218*COS(E218))</f>
        <v>529.74118755575353</v>
      </c>
      <c r="G218" s="2">
        <f t="shared" ref="G218:G281" si="66">(F218 + G217)</f>
        <v>41649.196723180605</v>
      </c>
      <c r="H218" s="2">
        <f t="shared" ref="H218:H281" si="67">D218*SIN(E218)</f>
        <v>125.53534223945545</v>
      </c>
      <c r="I218" s="2">
        <f t="shared" ref="I218:I281" si="68">(H218+I217)</f>
        <v>21506.612802911433</v>
      </c>
      <c r="J218" s="5">
        <f t="shared" ref="J218:J281" si="69">((1.619368477)/(1+(I218/1740000))^2)</f>
        <v>1.5800674325349526</v>
      </c>
      <c r="K218" s="6">
        <f t="shared" si="57"/>
        <v>3733.4465612882314</v>
      </c>
      <c r="M218">
        <f t="shared" si="58"/>
        <v>41.649196723180602</v>
      </c>
      <c r="N218">
        <f t="shared" si="59"/>
        <v>13.174673363755938</v>
      </c>
      <c r="O218">
        <f t="shared" si="60"/>
        <v>2150.6612802911432</v>
      </c>
    </row>
    <row r="219" spans="1:15" x14ac:dyDescent="0.2">
      <c r="A219" s="2">
        <v>206</v>
      </c>
      <c r="B219" s="4">
        <f t="shared" si="61"/>
        <v>3.8198705944124365</v>
      </c>
      <c r="C219" s="2">
        <f t="shared" si="62"/>
        <v>-2.4685574403437776E-3</v>
      </c>
      <c r="D219" s="7">
        <f t="shared" si="63"/>
        <v>554.59595145832486</v>
      </c>
      <c r="E219" s="5">
        <f t="shared" si="64"/>
        <v>0.22745263142663449</v>
      </c>
      <c r="F219" s="2">
        <f t="shared" si="65"/>
        <v>533.67709469817919</v>
      </c>
      <c r="G219" s="2">
        <f t="shared" si="66"/>
        <v>42182.873817878783</v>
      </c>
      <c r="H219" s="2">
        <f t="shared" si="67"/>
        <v>125.05944561281623</v>
      </c>
      <c r="I219" s="2">
        <f t="shared" si="68"/>
        <v>21631.67224852425</v>
      </c>
      <c r="J219" s="5">
        <f t="shared" si="69"/>
        <v>1.5798431003475917</v>
      </c>
      <c r="K219" s="6">
        <f t="shared" si="57"/>
        <v>3728.341422562808</v>
      </c>
      <c r="M219">
        <f t="shared" si="58"/>
        <v>42.182873817878786</v>
      </c>
      <c r="N219">
        <f t="shared" si="59"/>
        <v>13.03207581989083</v>
      </c>
      <c r="O219">
        <f t="shared" si="60"/>
        <v>2163.1672248524251</v>
      </c>
    </row>
    <row r="220" spans="1:15" x14ac:dyDescent="0.2">
      <c r="A220" s="2">
        <v>207</v>
      </c>
      <c r="B220" s="4">
        <f t="shared" si="61"/>
        <v>3.8294471182799965</v>
      </c>
      <c r="C220" s="2">
        <f t="shared" si="62"/>
        <v>-2.4484833368062574E-3</v>
      </c>
      <c r="D220" s="7">
        <f t="shared" si="63"/>
        <v>558.41582205273733</v>
      </c>
      <c r="E220" s="5">
        <f t="shared" si="64"/>
        <v>0.22498407398629072</v>
      </c>
      <c r="F220" s="2">
        <f t="shared" si="65"/>
        <v>537.62025255031472</v>
      </c>
      <c r="G220" s="2">
        <f t="shared" si="66"/>
        <v>42720.4940704291</v>
      </c>
      <c r="H220" s="2">
        <f t="shared" si="67"/>
        <v>124.5774534256837</v>
      </c>
      <c r="I220" s="2">
        <f t="shared" si="68"/>
        <v>21756.249701949935</v>
      </c>
      <c r="J220" s="5">
        <f t="shared" si="69"/>
        <v>1.5796196802555511</v>
      </c>
      <c r="K220" s="6">
        <f t="shared" si="57"/>
        <v>3723.2362838373847</v>
      </c>
      <c r="M220">
        <f t="shared" si="58"/>
        <v>42.720494070429098</v>
      </c>
      <c r="N220">
        <f t="shared" si="59"/>
        <v>12.890637897073514</v>
      </c>
      <c r="O220">
        <f t="shared" si="60"/>
        <v>2175.6249701949937</v>
      </c>
    </row>
    <row r="221" spans="1:15" x14ac:dyDescent="0.2">
      <c r="A221" s="2">
        <v>208</v>
      </c>
      <c r="B221" s="4">
        <f t="shared" si="61"/>
        <v>3.8390093119043578</v>
      </c>
      <c r="C221" s="2">
        <f t="shared" si="62"/>
        <v>-2.4285724121618293E-3</v>
      </c>
      <c r="D221" s="7">
        <f t="shared" si="63"/>
        <v>562.2452691710173</v>
      </c>
      <c r="E221" s="5">
        <f t="shared" si="64"/>
        <v>0.22253559064948447</v>
      </c>
      <c r="F221" s="2">
        <f t="shared" si="65"/>
        <v>541.57064641339764</v>
      </c>
      <c r="G221" s="2">
        <f t="shared" si="66"/>
        <v>43262.064716842498</v>
      </c>
      <c r="H221" s="2">
        <f t="shared" si="67"/>
        <v>124.08943992777276</v>
      </c>
      <c r="I221" s="2">
        <f t="shared" si="68"/>
        <v>21880.339141877706</v>
      </c>
      <c r="J221" s="5">
        <f t="shared" si="69"/>
        <v>1.5793971824906139</v>
      </c>
      <c r="K221" s="6">
        <f t="shared" si="57"/>
        <v>3718.1311451119618</v>
      </c>
      <c r="M221">
        <f t="shared" si="58"/>
        <v>43.262064716842495</v>
      </c>
      <c r="N221">
        <f t="shared" si="59"/>
        <v>12.750350135666407</v>
      </c>
      <c r="O221">
        <f t="shared" si="60"/>
        <v>2188.0339141877707</v>
      </c>
    </row>
    <row r="222" spans="1:15" x14ac:dyDescent="0.2">
      <c r="A222" s="2">
        <v>209</v>
      </c>
      <c r="B222" s="4">
        <f t="shared" si="61"/>
        <v>3.8485574339056554</v>
      </c>
      <c r="C222" s="2">
        <f t="shared" si="62"/>
        <v>-2.4088227663018914E-3</v>
      </c>
      <c r="D222" s="7">
        <f t="shared" si="63"/>
        <v>566.0842784829216</v>
      </c>
      <c r="E222" s="5">
        <f t="shared" si="64"/>
        <v>0.22010701823732265</v>
      </c>
      <c r="F222" s="2">
        <f t="shared" si="65"/>
        <v>545.52826230429741</v>
      </c>
      <c r="G222" s="2">
        <f t="shared" si="66"/>
        <v>43807.592979146793</v>
      </c>
      <c r="H222" s="2">
        <f t="shared" si="67"/>
        <v>123.59547919459837</v>
      </c>
      <c r="I222" s="2">
        <f t="shared" si="68"/>
        <v>22003.934621072305</v>
      </c>
      <c r="J222" s="5">
        <f t="shared" si="69"/>
        <v>1.5791756171451408</v>
      </c>
      <c r="K222" s="6">
        <f t="shared" si="57"/>
        <v>3713.026006386538</v>
      </c>
      <c r="M222">
        <f t="shared" si="58"/>
        <v>43.80759297914679</v>
      </c>
      <c r="N222">
        <f t="shared" si="59"/>
        <v>12.611203186207629</v>
      </c>
      <c r="O222">
        <f t="shared" si="60"/>
        <v>2200.3934621072303</v>
      </c>
    </row>
    <row r="223" spans="1:15" x14ac:dyDescent="0.2">
      <c r="A223" s="2">
        <v>210</v>
      </c>
      <c r="B223" s="4">
        <f t="shared" si="61"/>
        <v>3.8580917423078493</v>
      </c>
      <c r="C223" s="2">
        <f t="shared" si="62"/>
        <v>-2.3892325217180093E-3</v>
      </c>
      <c r="D223" s="7">
        <f t="shared" si="63"/>
        <v>569.93283591682723</v>
      </c>
      <c r="E223" s="5">
        <f t="shared" si="64"/>
        <v>0.21769819547102076</v>
      </c>
      <c r="F223" s="2">
        <f t="shared" si="65"/>
        <v>549.49308694547483</v>
      </c>
      <c r="G223" s="2">
        <f t="shared" si="66"/>
        <v>44357.08606609227</v>
      </c>
      <c r="H223" s="2">
        <f t="shared" si="67"/>
        <v>123.09564512889432</v>
      </c>
      <c r="I223" s="2">
        <f t="shared" si="68"/>
        <v>22127.0302662012</v>
      </c>
      <c r="J223" s="5">
        <f t="shared" si="69"/>
        <v>1.5789549941726122</v>
      </c>
      <c r="K223" s="6">
        <f t="shared" si="57"/>
        <v>3707.9208676611152</v>
      </c>
      <c r="M223">
        <f t="shared" si="58"/>
        <v>44.357086066092272</v>
      </c>
      <c r="N223">
        <f t="shared" si="59"/>
        <v>12.473187808103503</v>
      </c>
      <c r="O223">
        <f t="shared" si="60"/>
        <v>2212.70302662012</v>
      </c>
    </row>
    <row r="224" spans="1:15" x14ac:dyDescent="0.2">
      <c r="A224" s="2">
        <v>211</v>
      </c>
      <c r="B224" s="4">
        <f t="shared" si="61"/>
        <v>3.8676124945194665</v>
      </c>
      <c r="C224" s="2">
        <f t="shared" si="62"/>
        <v>-2.3697998232805346E-3</v>
      </c>
      <c r="D224" s="7">
        <f t="shared" si="63"/>
        <v>573.79092765913504</v>
      </c>
      <c r="E224" s="5">
        <f t="shared" si="64"/>
        <v>0.21530896294930274</v>
      </c>
      <c r="F224" s="2">
        <f t="shared" si="65"/>
        <v>553.46510775509364</v>
      </c>
      <c r="G224" s="2">
        <f t="shared" si="66"/>
        <v>44910.551173847365</v>
      </c>
      <c r="H224" s="2">
        <f t="shared" si="67"/>
        <v>122.59001146209921</v>
      </c>
      <c r="I224" s="2">
        <f t="shared" si="68"/>
        <v>22249.6202776633</v>
      </c>
      <c r="J224" s="5">
        <f t="shared" si="69"/>
        <v>1.5787353233881654</v>
      </c>
      <c r="K224" s="6">
        <f t="shared" si="57"/>
        <v>3702.8157289356914</v>
      </c>
      <c r="M224">
        <f t="shared" si="58"/>
        <v>44.910551173847367</v>
      </c>
      <c r="N224">
        <f t="shared" si="59"/>
        <v>12.336294868333662</v>
      </c>
      <c r="O224">
        <f t="shared" si="60"/>
        <v>2224.9620277663298</v>
      </c>
    </row>
    <row r="225" spans="1:15" x14ac:dyDescent="0.2">
      <c r="A225" s="2">
        <v>212</v>
      </c>
      <c r="B225" s="4">
        <f t="shared" si="61"/>
        <v>3.8771199473155589</v>
      </c>
      <c r="C225" s="2">
        <f t="shared" si="62"/>
        <v>-2.3505228380161069E-3</v>
      </c>
      <c r="D225" s="7">
        <f t="shared" si="63"/>
        <v>577.65854015365449</v>
      </c>
      <c r="E225" s="5">
        <f t="shared" si="64"/>
        <v>0.21293916312602221</v>
      </c>
      <c r="F225" s="2">
        <f t="shared" si="65"/>
        <v>557.44431283728795</v>
      </c>
      <c r="G225" s="2">
        <f t="shared" si="66"/>
        <v>45467.995486684653</v>
      </c>
      <c r="H225" s="2">
        <f t="shared" si="67"/>
        <v>122.07865175590698</v>
      </c>
      <c r="I225" s="2">
        <f t="shared" si="68"/>
        <v>22371.698929419206</v>
      </c>
      <c r="J225" s="5">
        <f t="shared" si="69"/>
        <v>1.5785166144691309</v>
      </c>
      <c r="K225" s="6">
        <f t="shared" si="57"/>
        <v>3697.7105902102685</v>
      </c>
      <c r="M225">
        <f t="shared" si="58"/>
        <v>45.46799548668465</v>
      </c>
      <c r="N225">
        <f t="shared" si="59"/>
        <v>12.200515340168838</v>
      </c>
      <c r="O225">
        <f t="shared" si="60"/>
        <v>2237.1698929419208</v>
      </c>
    </row>
    <row r="226" spans="1:15" x14ac:dyDescent="0.2">
      <c r="A226" s="2">
        <v>213</v>
      </c>
      <c r="B226" s="4">
        <f t="shared" si="61"/>
        <v>3.8866143568208429</v>
      </c>
      <c r="C226" s="2">
        <f t="shared" si="62"/>
        <v>-2.3313997548842203E-3</v>
      </c>
      <c r="D226" s="7">
        <f t="shared" si="63"/>
        <v>581.53566010097006</v>
      </c>
      <c r="E226" s="5">
        <f t="shared" si="64"/>
        <v>0.21058864028800611</v>
      </c>
      <c r="F226" s="2">
        <f t="shared" si="65"/>
        <v>561.43069097257717</v>
      </c>
      <c r="G226" s="2">
        <f t="shared" si="66"/>
        <v>46029.426177657231</v>
      </c>
      <c r="H226" s="2">
        <f t="shared" si="67"/>
        <v>121.56163940387925</v>
      </c>
      <c r="I226" s="2">
        <f t="shared" si="68"/>
        <v>22493.260568823087</v>
      </c>
      <c r="J226" s="5">
        <f t="shared" si="69"/>
        <v>1.5782988769555601</v>
      </c>
      <c r="K226" s="6">
        <f t="shared" si="57"/>
        <v>3692.6054514848452</v>
      </c>
      <c r="M226">
        <f t="shared" si="58"/>
        <v>46.029426177657228</v>
      </c>
      <c r="N226">
        <f t="shared" si="59"/>
        <v>12.065840301901403</v>
      </c>
      <c r="O226">
        <f t="shared" si="60"/>
        <v>2249.3260568823089</v>
      </c>
    </row>
    <row r="227" spans="1:15" x14ac:dyDescent="0.2">
      <c r="A227" s="2">
        <v>214</v>
      </c>
      <c r="B227" s="4">
        <f t="shared" si="61"/>
        <v>3.8960959784939782</v>
      </c>
      <c r="C227" s="2">
        <f t="shared" si="62"/>
        <v>-2.3124287845530619E-3</v>
      </c>
      <c r="D227" s="7">
        <f t="shared" si="63"/>
        <v>585.42227445779088</v>
      </c>
      <c r="E227" s="5">
        <f t="shared" si="64"/>
        <v>0.20825724053312189</v>
      </c>
      <c r="F227" s="2">
        <f t="shared" si="65"/>
        <v>565.42423160842975</v>
      </c>
      <c r="G227" s="2">
        <f t="shared" si="66"/>
        <v>46594.850409265659</v>
      </c>
      <c r="H227" s="2">
        <f t="shared" si="67"/>
        <v>121.03904763311741</v>
      </c>
      <c r="I227" s="2">
        <f t="shared" si="68"/>
        <v>22614.299616456203</v>
      </c>
      <c r="J227" s="5">
        <f t="shared" si="69"/>
        <v>1.5780821202507529</v>
      </c>
      <c r="K227" s="6">
        <f t="shared" si="57"/>
        <v>3687.5003127594218</v>
      </c>
      <c r="M227">
        <f t="shared" si="58"/>
        <v>46.594850409265661</v>
      </c>
      <c r="N227">
        <f t="shared" si="59"/>
        <v>11.932260935588703</v>
      </c>
      <c r="O227">
        <f t="shared" si="60"/>
        <v>2261.4299616456201</v>
      </c>
    </row>
    <row r="228" spans="1:15" x14ac:dyDescent="0.2">
      <c r="A228" s="2">
        <v>215</v>
      </c>
      <c r="B228" s="4">
        <f t="shared" si="61"/>
        <v>3.9055650671129314</v>
      </c>
      <c r="C228" s="2">
        <f t="shared" si="62"/>
        <v>-2.2936081591747922E-3</v>
      </c>
      <c r="D228" s="7">
        <f t="shared" si="63"/>
        <v>589.31837043628491</v>
      </c>
      <c r="E228" s="5">
        <f t="shared" si="64"/>
        <v>0.20594481174856882</v>
      </c>
      <c r="F228" s="2">
        <f t="shared" si="65"/>
        <v>569.42492484997297</v>
      </c>
      <c r="G228" s="2">
        <f t="shared" si="66"/>
        <v>47164.275334115635</v>
      </c>
      <c r="H228" s="2">
        <f t="shared" si="67"/>
        <v>120.5109495059919</v>
      </c>
      <c r="I228" s="2">
        <f t="shared" si="68"/>
        <v>22734.810565962194</v>
      </c>
      <c r="J228" s="5">
        <f t="shared" si="69"/>
        <v>1.5778663536217763</v>
      </c>
      <c r="K228" s="6">
        <f t="shared" si="57"/>
        <v>3682.395174033999</v>
      </c>
      <c r="M228">
        <f t="shared" si="58"/>
        <v>47.164275334115636</v>
      </c>
      <c r="N228">
        <f t="shared" si="59"/>
        <v>11.799768525809245</v>
      </c>
      <c r="O228">
        <f t="shared" si="60"/>
        <v>2273.4810565962193</v>
      </c>
    </row>
    <row r="229" spans="1:15" x14ac:dyDescent="0.2">
      <c r="A229" s="2">
        <v>216</v>
      </c>
      <c r="B229" s="4">
        <f t="shared" si="61"/>
        <v>3.9150218767614104</v>
      </c>
      <c r="C229" s="2">
        <f t="shared" si="62"/>
        <v>-2.2749361321604479E-3</v>
      </c>
      <c r="D229" s="7">
        <f t="shared" si="63"/>
        <v>593.2239355033978</v>
      </c>
      <c r="E229" s="5">
        <f t="shared" si="64"/>
        <v>0.20365120358939404</v>
      </c>
      <c r="F229" s="2">
        <f t="shared" si="65"/>
        <v>573.43276145084462</v>
      </c>
      <c r="G229" s="2">
        <f t="shared" si="66"/>
        <v>47737.708095566479</v>
      </c>
      <c r="H229" s="2">
        <f t="shared" si="67"/>
        <v>119.97741792192646</v>
      </c>
      <c r="I229" s="2">
        <f t="shared" si="68"/>
        <v>22854.787983884122</v>
      </c>
      <c r="J229" s="5">
        <f t="shared" si="69"/>
        <v>1.5776515861999847</v>
      </c>
      <c r="K229" s="6">
        <f t="shared" si="57"/>
        <v>3677.2900353085752</v>
      </c>
      <c r="M229">
        <f t="shared" si="58"/>
        <v>47.737708095566475</v>
      </c>
      <c r="N229">
        <f t="shared" si="59"/>
        <v>11.668354458431761</v>
      </c>
      <c r="O229">
        <f t="shared" si="60"/>
        <v>2285.4787983884121</v>
      </c>
    </row>
    <row r="230" spans="1:15" x14ac:dyDescent="0.2">
      <c r="A230" s="2">
        <v>217</v>
      </c>
      <c r="B230" s="4">
        <f t="shared" si="61"/>
        <v>3.9244666608163041</v>
      </c>
      <c r="C230" s="2">
        <f t="shared" si="62"/>
        <v>-2.2564109779546139E-3</v>
      </c>
      <c r="D230" s="7">
        <f t="shared" si="63"/>
        <v>597.13895738015924</v>
      </c>
      <c r="E230" s="5">
        <f t="shared" si="64"/>
        <v>0.20137626745723358</v>
      </c>
      <c r="F230" s="2">
        <f t="shared" si="65"/>
        <v>577.44773280418656</v>
      </c>
      <c r="G230" s="2">
        <f t="shared" si="66"/>
        <v>48315.155828370662</v>
      </c>
      <c r="H230" s="2">
        <f t="shared" si="67"/>
        <v>119.43852561923522</v>
      </c>
      <c r="I230" s="2">
        <f t="shared" si="68"/>
        <v>22974.226509503358</v>
      </c>
      <c r="J230" s="5">
        <f t="shared" si="69"/>
        <v>1.5774378269815283</v>
      </c>
      <c r="K230" s="6">
        <f t="shared" si="57"/>
        <v>3672.1848965831523</v>
      </c>
      <c r="M230">
        <f t="shared" si="58"/>
        <v>48.315155828370663</v>
      </c>
      <c r="N230">
        <f t="shared" si="59"/>
        <v>11.538010219397151</v>
      </c>
      <c r="O230">
        <f t="shared" si="60"/>
        <v>2297.422650950336</v>
      </c>
    </row>
    <row r="231" spans="1:15" x14ac:dyDescent="0.2">
      <c r="A231" s="2">
        <v>218</v>
      </c>
      <c r="B231" s="4">
        <f t="shared" si="61"/>
        <v>3.9338996719361123</v>
      </c>
      <c r="C231" s="2">
        <f t="shared" si="62"/>
        <v>-2.2380309918100367E-3</v>
      </c>
      <c r="D231" s="7">
        <f t="shared" si="63"/>
        <v>601.06342404097552</v>
      </c>
      <c r="E231" s="5">
        <f t="shared" si="64"/>
        <v>0.19911985647927896</v>
      </c>
      <c r="F231" s="2">
        <f t="shared" si="65"/>
        <v>581.46983093377571</v>
      </c>
      <c r="G231" s="2">
        <f t="shared" si="66"/>
        <v>48896.625659304438</v>
      </c>
      <c r="H231" s="2">
        <f t="shared" si="67"/>
        <v>118.89434517701039</v>
      </c>
      <c r="I231" s="2">
        <f t="shared" si="68"/>
        <v>23093.120854680368</v>
      </c>
      <c r="J231" s="5">
        <f t="shared" si="69"/>
        <v>1.5772250848278611</v>
      </c>
      <c r="K231" s="6">
        <f t="shared" si="57"/>
        <v>3667.079757857729</v>
      </c>
      <c r="M231">
        <f t="shared" si="58"/>
        <v>48.896625659304441</v>
      </c>
      <c r="N231">
        <f t="shared" si="59"/>
        <v>11.408727393513365</v>
      </c>
      <c r="O231">
        <f t="shared" si="60"/>
        <v>2309.3120854680369</v>
      </c>
    </row>
    <row r="232" spans="1:15" x14ac:dyDescent="0.2">
      <c r="A232" s="2">
        <v>219</v>
      </c>
      <c r="B232" s="4">
        <f t="shared" si="61"/>
        <v>3.9433211620503172</v>
      </c>
      <c r="C232" s="2">
        <f t="shared" si="62"/>
        <v>-2.2197944895623045E-3</v>
      </c>
      <c r="D232" s="7">
        <f t="shared" si="63"/>
        <v>604.99732371291168</v>
      </c>
      <c r="E232" s="5">
        <f t="shared" si="64"/>
        <v>0.19688182548746894</v>
      </c>
      <c r="F232" s="2">
        <f t="shared" si="65"/>
        <v>585.49904848529275</v>
      </c>
      <c r="G232" s="2">
        <f t="shared" si="66"/>
        <v>49482.124707789728</v>
      </c>
      <c r="H232" s="2">
        <f t="shared" si="67"/>
        <v>118.34494901705875</v>
      </c>
      <c r="I232" s="2">
        <f t="shared" si="68"/>
        <v>23211.465803697429</v>
      </c>
      <c r="J232" s="5">
        <f t="shared" si="69"/>
        <v>1.5770133684662431</v>
      </c>
      <c r="K232" s="6">
        <f t="shared" si="57"/>
        <v>3661.9746191323056</v>
      </c>
      <c r="M232">
        <f t="shared" si="58"/>
        <v>49.48212470778973</v>
      </c>
      <c r="N232">
        <f t="shared" si="59"/>
        <v>11.280497663263171</v>
      </c>
      <c r="O232">
        <f t="shared" si="60"/>
        <v>2321.1465803697429</v>
      </c>
    </row>
    <row r="233" spans="1:15" x14ac:dyDescent="0.2">
      <c r="A233" s="2">
        <v>220</v>
      </c>
      <c r="B233" s="4">
        <f t="shared" si="61"/>
        <v>3.9527313823496666</v>
      </c>
      <c r="C233" s="2">
        <f t="shared" si="62"/>
        <v>-2.2016998074047512E-3</v>
      </c>
      <c r="D233" s="7">
        <f t="shared" si="63"/>
        <v>608.940644874962</v>
      </c>
      <c r="E233" s="5">
        <f t="shared" si="64"/>
        <v>0.19466203099790663</v>
      </c>
      <c r="F233" s="2">
        <f t="shared" si="65"/>
        <v>589.53537871772312</v>
      </c>
      <c r="G233" s="2">
        <f t="shared" si="66"/>
        <v>50071.660086507451</v>
      </c>
      <c r="H233" s="2">
        <f t="shared" si="67"/>
        <v>117.79040940588457</v>
      </c>
      <c r="I233" s="2">
        <f t="shared" si="68"/>
        <v>23329.256213103312</v>
      </c>
      <c r="J233" s="5">
        <f t="shared" si="69"/>
        <v>1.5768026864902369</v>
      </c>
      <c r="K233" s="6">
        <f t="shared" si="57"/>
        <v>3656.8694804068823</v>
      </c>
      <c r="M233">
        <f t="shared" si="58"/>
        <v>50.07166008650745</v>
      </c>
      <c r="N233">
        <f t="shared" si="59"/>
        <v>11.153312807624856</v>
      </c>
      <c r="O233">
        <f t="shared" si="60"/>
        <v>2332.9256213103313</v>
      </c>
    </row>
    <row r="234" spans="1:15" x14ac:dyDescent="0.2">
      <c r="A234" s="2">
        <v>221</v>
      </c>
      <c r="B234" s="4">
        <f t="shared" si="61"/>
        <v>3.9621305832773364</v>
      </c>
      <c r="C234" s="2">
        <f t="shared" si="62"/>
        <v>-2.1837453016636944E-3</v>
      </c>
      <c r="D234" s="7">
        <f t="shared" si="63"/>
        <v>612.89337625731162</v>
      </c>
      <c r="E234" s="5">
        <f t="shared" si="64"/>
        <v>0.19246033119050188</v>
      </c>
      <c r="F234" s="2">
        <f t="shared" si="65"/>
        <v>593.57881549489207</v>
      </c>
      <c r="G234" s="2">
        <f t="shared" si="66"/>
        <v>50665.23890200234</v>
      </c>
      <c r="H234" s="2">
        <f t="shared" si="67"/>
        <v>117.23079845671775</v>
      </c>
      <c r="I234" s="2">
        <f t="shared" si="68"/>
        <v>23446.487011560028</v>
      </c>
      <c r="J234" s="5">
        <f t="shared" si="69"/>
        <v>1.5765930473602008</v>
      </c>
      <c r="K234" s="6">
        <f t="shared" si="57"/>
        <v>3651.764341681459</v>
      </c>
      <c r="M234">
        <f t="shared" si="58"/>
        <v>50.665238902002343</v>
      </c>
      <c r="N234">
        <f t="shared" si="59"/>
        <v>11.027164700905796</v>
      </c>
      <c r="O234">
        <f t="shared" si="60"/>
        <v>2344.648701156003</v>
      </c>
    </row>
    <row r="235" spans="1:15" x14ac:dyDescent="0.2">
      <c r="A235" s="2">
        <v>222</v>
      </c>
      <c r="B235" s="4">
        <f t="shared" si="61"/>
        <v>3.9715190145209385</v>
      </c>
      <c r="C235" s="2">
        <f t="shared" si="62"/>
        <v>-2.1659293485741375E-3</v>
      </c>
      <c r="D235" s="7">
        <f t="shared" si="63"/>
        <v>616.85550684058899</v>
      </c>
      <c r="E235" s="5">
        <f t="shared" si="64"/>
        <v>0.1902765858888382</v>
      </c>
      <c r="F235" s="2">
        <f t="shared" si="65"/>
        <v>597.62935327712682</v>
      </c>
      <c r="G235" s="2">
        <f t="shared" si="66"/>
        <v>51262.868255279463</v>
      </c>
      <c r="H235" s="2">
        <f t="shared" si="67"/>
        <v>116.66618813158462</v>
      </c>
      <c r="I235" s="2">
        <f t="shared" si="68"/>
        <v>23563.153199691613</v>
      </c>
      <c r="J235" s="5">
        <f t="shared" si="69"/>
        <v>1.5763844594037737</v>
      </c>
      <c r="K235" s="6">
        <f t="shared" si="57"/>
        <v>3646.6592029560361</v>
      </c>
      <c r="M235">
        <f t="shared" si="58"/>
        <v>51.262868255279464</v>
      </c>
      <c r="N235">
        <f t="shared" si="59"/>
        <v>10.902045311588944</v>
      </c>
      <c r="O235">
        <f t="shared" si="60"/>
        <v>2356.3153199691615</v>
      </c>
    </row>
    <row r="236" spans="1:15" x14ac:dyDescent="0.2">
      <c r="A236" s="2">
        <v>223</v>
      </c>
      <c r="B236" s="4">
        <f t="shared" si="61"/>
        <v>3.9808969250053461</v>
      </c>
      <c r="C236" s="2">
        <f t="shared" si="62"/>
        <v>-2.1482503440560462E-3</v>
      </c>
      <c r="D236" s="7">
        <f t="shared" si="63"/>
        <v>620.82702585510992</v>
      </c>
      <c r="E236" s="5">
        <f t="shared" si="64"/>
        <v>0.18811065654026407</v>
      </c>
      <c r="F236" s="2">
        <f t="shared" si="65"/>
        <v>601.68698711304819</v>
      </c>
      <c r="G236" s="2">
        <f t="shared" si="66"/>
        <v>51864.555242392511</v>
      </c>
      <c r="H236" s="2">
        <f t="shared" si="67"/>
        <v>116.09665024342007</v>
      </c>
      <c r="I236" s="2">
        <f t="shared" si="68"/>
        <v>23679.249849935033</v>
      </c>
      <c r="J236" s="5">
        <f t="shared" si="69"/>
        <v>1.5761769308163542</v>
      </c>
      <c r="K236" s="6">
        <f t="shared" si="57"/>
        <v>3641.5540642306123</v>
      </c>
      <c r="M236">
        <f t="shared" si="58"/>
        <v>51.864555242392512</v>
      </c>
      <c r="N236">
        <f t="shared" si="59"/>
        <v>10.777946701192128</v>
      </c>
      <c r="O236">
        <f t="shared" si="60"/>
        <v>2367.9249849935031</v>
      </c>
    </row>
    <row r="237" spans="1:15" x14ac:dyDescent="0.2">
      <c r="A237" s="2">
        <v>224</v>
      </c>
      <c r="B237" s="4">
        <f t="shared" si="61"/>
        <v>3.9902645628862961</v>
      </c>
      <c r="C237" s="2">
        <f t="shared" si="62"/>
        <v>-2.1307067034913251E-3</v>
      </c>
      <c r="D237" s="7">
        <f t="shared" si="63"/>
        <v>624.80792278011529</v>
      </c>
      <c r="E237" s="5">
        <f t="shared" si="64"/>
        <v>0.18596240619620802</v>
      </c>
      <c r="F237" s="2">
        <f t="shared" si="65"/>
        <v>605.75171263148752</v>
      </c>
      <c r="G237" s="2">
        <f t="shared" si="66"/>
        <v>52470.306955023996</v>
      </c>
      <c r="H237" s="2">
        <f t="shared" si="67"/>
        <v>115.5222564582191</v>
      </c>
      <c r="I237" s="2">
        <f t="shared" si="68"/>
        <v>23794.772106393251</v>
      </c>
      <c r="J237" s="5">
        <f t="shared" si="69"/>
        <v>1.5759704696615817</v>
      </c>
      <c r="K237" s="6">
        <f t="shared" si="57"/>
        <v>3636.4489255051894</v>
      </c>
      <c r="M237">
        <f t="shared" si="58"/>
        <v>52.470306955023993</v>
      </c>
      <c r="N237">
        <f t="shared" si="59"/>
        <v>10.654861023140189</v>
      </c>
      <c r="O237">
        <f t="shared" si="60"/>
        <v>2379.4772106393252</v>
      </c>
    </row>
    <row r="238" spans="1:15" x14ac:dyDescent="0.2">
      <c r="A238" s="2">
        <v>225</v>
      </c>
      <c r="B238" s="4">
        <f t="shared" si="61"/>
        <v>3.9996221755447601</v>
      </c>
      <c r="C238" s="2">
        <f t="shared" si="62"/>
        <v>-2.1132968615015634E-3</v>
      </c>
      <c r="D238" s="7">
        <f t="shared" si="63"/>
        <v>628.79818734300159</v>
      </c>
      <c r="E238" s="5">
        <f t="shared" si="64"/>
        <v>0.18383169949271669</v>
      </c>
      <c r="F238" s="2">
        <f t="shared" si="65"/>
        <v>609.82352603352535</v>
      </c>
      <c r="G238" s="2">
        <f t="shared" si="66"/>
        <v>53080.130481057524</v>
      </c>
      <c r="H238" s="2">
        <f t="shared" si="67"/>
        <v>114.94307829722652</v>
      </c>
      <c r="I238" s="2">
        <f t="shared" si="68"/>
        <v>23909.715184690478</v>
      </c>
      <c r="J238" s="5">
        <f t="shared" si="69"/>
        <v>1.5757650838718011</v>
      </c>
      <c r="K238" s="6">
        <f t="shared" si="57"/>
        <v>3631.3437867797661</v>
      </c>
      <c r="M238">
        <f t="shared" si="58"/>
        <v>53.080130481057523</v>
      </c>
      <c r="N238">
        <f t="shared" si="59"/>
        <v>10.532780521649903</v>
      </c>
      <c r="O238">
        <f t="shared" si="60"/>
        <v>2390.9715184690476</v>
      </c>
    </row>
    <row r="239" spans="1:15" x14ac:dyDescent="0.2">
      <c r="A239" s="2">
        <v>226</v>
      </c>
      <c r="B239" s="4">
        <f t="shared" si="61"/>
        <v>4.0089700095820318</v>
      </c>
      <c r="C239" s="2">
        <f t="shared" si="62"/>
        <v>-2.0960192717266743E-3</v>
      </c>
      <c r="D239" s="7">
        <f t="shared" si="63"/>
        <v>632.79780951854639</v>
      </c>
      <c r="E239" s="5">
        <f t="shared" si="64"/>
        <v>0.18171840263121514</v>
      </c>
      <c r="F239" s="2">
        <f t="shared" si="65"/>
        <v>613.90242408465281</v>
      </c>
      <c r="G239" s="2">
        <f t="shared" si="66"/>
        <v>53694.03290514218</v>
      </c>
      <c r="H239" s="2">
        <f t="shared" si="67"/>
        <v>114.35918713916266</v>
      </c>
      <c r="I239" s="2">
        <f t="shared" si="68"/>
        <v>24024.07437182964</v>
      </c>
      <c r="J239" s="5">
        <f t="shared" si="69"/>
        <v>1.5755607812485302</v>
      </c>
      <c r="K239" s="6">
        <f t="shared" si="57"/>
        <v>3626.2386480543428</v>
      </c>
      <c r="M239">
        <f t="shared" si="58"/>
        <v>53.69403290514218</v>
      </c>
      <c r="N239">
        <f t="shared" si="59"/>
        <v>10.41169753062762</v>
      </c>
      <c r="O239">
        <f t="shared" si="60"/>
        <v>2402.4074371829638</v>
      </c>
    </row>
    <row r="240" spans="1:15" x14ac:dyDescent="0.2">
      <c r="A240" s="2">
        <v>227</v>
      </c>
      <c r="B240" s="4">
        <f t="shared" si="61"/>
        <v>4.018308310815522</v>
      </c>
      <c r="C240" s="2">
        <f t="shared" si="62"/>
        <v>-2.0788724066044982E-3</v>
      </c>
      <c r="D240" s="7">
        <f t="shared" si="63"/>
        <v>636.80677952812846</v>
      </c>
      <c r="E240" s="5">
        <f t="shared" si="64"/>
        <v>0.17962238335948846</v>
      </c>
      <c r="F240" s="2">
        <f t="shared" si="65"/>
        <v>617.98840410705179</v>
      </c>
      <c r="G240" s="2">
        <f t="shared" si="66"/>
        <v>54312.021309249234</v>
      </c>
      <c r="H240" s="2">
        <f t="shared" si="67"/>
        <v>113.77065422248398</v>
      </c>
      <c r="I240" s="2">
        <f t="shared" si="68"/>
        <v>24137.845026052124</v>
      </c>
      <c r="J240" s="5">
        <f t="shared" si="69"/>
        <v>1.5753575694629149</v>
      </c>
      <c r="K240" s="6">
        <f t="shared" si="57"/>
        <v>3621.1335093289194</v>
      </c>
      <c r="M240">
        <f t="shared" si="58"/>
        <v>54.312021309249232</v>
      </c>
      <c r="N240">
        <f t="shared" si="59"/>
        <v>10.2916044725796</v>
      </c>
      <c r="O240">
        <f t="shared" si="60"/>
        <v>2413.7845026052123</v>
      </c>
    </row>
    <row r="241" spans="1:15" x14ac:dyDescent="0.2">
      <c r="A241" s="2">
        <v>228</v>
      </c>
      <c r="B241" s="4">
        <f t="shared" si="61"/>
        <v>4.0276373242752266</v>
      </c>
      <c r="C241" s="2">
        <f t="shared" si="62"/>
        <v>-2.0618547571514731E-3</v>
      </c>
      <c r="D241" s="7">
        <f t="shared" si="63"/>
        <v>640.825087838944</v>
      </c>
      <c r="E241" s="5">
        <f t="shared" si="64"/>
        <v>0.17754351095288395</v>
      </c>
      <c r="F241" s="2">
        <f t="shared" si="65"/>
        <v>622.08146397199198</v>
      </c>
      <c r="G241" s="2">
        <f t="shared" si="66"/>
        <v>54934.102773221224</v>
      </c>
      <c r="H241" s="2">
        <f t="shared" si="67"/>
        <v>113.17755064767704</v>
      </c>
      <c r="I241" s="2">
        <f t="shared" si="68"/>
        <v>24251.022576699801</v>
      </c>
      <c r="J241" s="5">
        <f t="shared" si="69"/>
        <v>1.5751554560561876</v>
      </c>
      <c r="K241" s="6">
        <f t="shared" si="57"/>
        <v>3616.0283706034961</v>
      </c>
      <c r="M241">
        <f t="shared" si="58"/>
        <v>54.934102773221227</v>
      </c>
      <c r="N241">
        <f t="shared" si="59"/>
        <v>10.172493857534956</v>
      </c>
      <c r="O241">
        <f t="shared" si="60"/>
        <v>2425.1022576699802</v>
      </c>
    </row>
    <row r="242" spans="1:15" x14ac:dyDescent="0.2">
      <c r="A242" s="2">
        <v>229</v>
      </c>
      <c r="B242" s="4">
        <f t="shared" si="61"/>
        <v>4.0369572942008416</v>
      </c>
      <c r="C242" s="2">
        <f t="shared" si="62"/>
        <v>-2.0449648327444292E-3</v>
      </c>
      <c r="D242" s="7">
        <f t="shared" si="63"/>
        <v>644.85272516321925</v>
      </c>
      <c r="E242" s="5">
        <f t="shared" si="64"/>
        <v>0.17548165619573247</v>
      </c>
      <c r="F242" s="2">
        <f t="shared" si="65"/>
        <v>626.18160209234361</v>
      </c>
      <c r="G242" s="2">
        <f t="shared" si="66"/>
        <v>55560.284375313568</v>
      </c>
      <c r="H242" s="2">
        <f t="shared" si="67"/>
        <v>112.57994737958434</v>
      </c>
      <c r="I242" s="2">
        <f t="shared" si="68"/>
        <v>24363.602524079386</v>
      </c>
      <c r="J242" s="5">
        <f t="shared" si="69"/>
        <v>1.5749544484401081</v>
      </c>
      <c r="K242" s="6">
        <f t="shared" si="57"/>
        <v>3610.9232318780732</v>
      </c>
      <c r="M242">
        <f t="shared" si="58"/>
        <v>55.560284375313564</v>
      </c>
      <c r="N242">
        <f t="shared" si="59"/>
        <v>10.054358281981203</v>
      </c>
      <c r="O242">
        <f t="shared" si="60"/>
        <v>2436.3602524079388</v>
      </c>
    </row>
    <row r="243" spans="1:15" x14ac:dyDescent="0.2">
      <c r="A243" s="2">
        <v>230</v>
      </c>
      <c r="B243" s="4">
        <f t="shared" si="61"/>
        <v>4.0462684640395103</v>
      </c>
      <c r="C243" s="2">
        <f t="shared" si="62"/>
        <v>-2.0282011609035898E-3</v>
      </c>
      <c r="D243" s="7">
        <f t="shared" si="63"/>
        <v>648.88968245742012</v>
      </c>
      <c r="E243" s="5">
        <f t="shared" si="64"/>
        <v>0.17343669136298803</v>
      </c>
      <c r="F243" s="2">
        <f t="shared" si="65"/>
        <v>630.2888174152024</v>
      </c>
      <c r="G243" s="2">
        <f t="shared" si="66"/>
        <v>56190.573192728771</v>
      </c>
      <c r="H243" s="2">
        <f t="shared" si="67"/>
        <v>111.97791524976064</v>
      </c>
      <c r="I243" s="2">
        <f t="shared" si="68"/>
        <v>24475.580439329147</v>
      </c>
      <c r="J243" s="5">
        <f t="shared" si="69"/>
        <v>1.5747545538974084</v>
      </c>
      <c r="K243" s="6">
        <f t="shared" si="57"/>
        <v>3605.8180931526495</v>
      </c>
      <c r="M243">
        <f t="shared" si="58"/>
        <v>56.19057319272877</v>
      </c>
      <c r="N243">
        <f t="shared" si="59"/>
        <v>9.937190427812272</v>
      </c>
      <c r="O243">
        <f t="shared" si="60"/>
        <v>2447.5580439329146</v>
      </c>
    </row>
    <row r="244" spans="1:15" x14ac:dyDescent="0.2">
      <c r="A244" s="2">
        <v>231</v>
      </c>
      <c r="B244" s="4">
        <f t="shared" si="61"/>
        <v>4.0555710764441635</v>
      </c>
      <c r="C244" s="2">
        <f t="shared" si="62"/>
        <v>-2.0115622870768572E-3</v>
      </c>
      <c r="D244" s="7">
        <f t="shared" si="63"/>
        <v>652.93595092145961</v>
      </c>
      <c r="E244" s="5">
        <f t="shared" si="64"/>
        <v>0.17140849020208443</v>
      </c>
      <c r="F244" s="2">
        <f t="shared" si="65"/>
        <v>634.40310941462667</v>
      </c>
      <c r="G244" s="2">
        <f t="shared" si="66"/>
        <v>56824.976302143397</v>
      </c>
      <c r="H244" s="2">
        <f t="shared" si="67"/>
        <v>111.37152495885853</v>
      </c>
      <c r="I244" s="2">
        <f t="shared" si="68"/>
        <v>24586.951964288004</v>
      </c>
      <c r="J244" s="5">
        <f t="shared" si="69"/>
        <v>1.5745557795822249</v>
      </c>
      <c r="K244" s="6">
        <f t="shared" si="57"/>
        <v>3600.7129544272266</v>
      </c>
      <c r="M244">
        <f t="shared" si="58"/>
        <v>56.824976302143398</v>
      </c>
      <c r="N244">
        <f t="shared" si="59"/>
        <v>9.8209830612889615</v>
      </c>
      <c r="O244">
        <f t="shared" si="60"/>
        <v>2458.6951964288005</v>
      </c>
    </row>
    <row r="245" spans="1:15" x14ac:dyDescent="0.2">
      <c r="A245" s="2">
        <v>232</v>
      </c>
      <c r="B245" s="4">
        <f t="shared" si="61"/>
        <v>4.064865373272446</v>
      </c>
      <c r="C245" s="2">
        <f t="shared" si="62"/>
        <v>-1.9950467744254317E-3</v>
      </c>
      <c r="D245" s="7">
        <f t="shared" si="63"/>
        <v>656.99152199790376</v>
      </c>
      <c r="E245" s="5">
        <f t="shared" si="64"/>
        <v>0.16939692791500757</v>
      </c>
      <c r="F245" s="2">
        <f t="shared" si="65"/>
        <v>638.52447808448346</v>
      </c>
      <c r="G245" s="2">
        <f t="shared" si="66"/>
        <v>57463.500780227878</v>
      </c>
      <c r="H245" s="2">
        <f t="shared" si="67"/>
        <v>110.76084707904211</v>
      </c>
      <c r="I245" s="2">
        <f t="shared" si="68"/>
        <v>24697.712811367048</v>
      </c>
      <c r="J245" s="5">
        <f t="shared" si="69"/>
        <v>1.5743581325205296</v>
      </c>
      <c r="K245" s="6">
        <f t="shared" si="57"/>
        <v>3595.6078157018032</v>
      </c>
      <c r="M245">
        <f t="shared" si="58"/>
        <v>57.463500780227875</v>
      </c>
      <c r="N245">
        <f t="shared" si="59"/>
        <v>9.7057290320117744</v>
      </c>
      <c r="O245">
        <f t="shared" si="60"/>
        <v>2469.7712811367046</v>
      </c>
    </row>
    <row r="246" spans="1:15" x14ac:dyDescent="0.2">
      <c r="A246" s="2">
        <v>233</v>
      </c>
      <c r="B246" s="4">
        <f t="shared" si="61"/>
        <v>4.0741515955861951</v>
      </c>
      <c r="C246" s="2">
        <f t="shared" si="62"/>
        <v>-1.9786532036108334E-3</v>
      </c>
      <c r="D246" s="7">
        <f t="shared" si="63"/>
        <v>661.05638737117624</v>
      </c>
      <c r="E246" s="5">
        <f t="shared" si="64"/>
        <v>0.16740188114058213</v>
      </c>
      <c r="F246" s="2">
        <f t="shared" si="65"/>
        <v>642.65292393140203</v>
      </c>
      <c r="G246" s="2">
        <f t="shared" si="66"/>
        <v>58106.153704159282</v>
      </c>
      <c r="H246" s="2">
        <f t="shared" si="67"/>
        <v>110.14595205642709</v>
      </c>
      <c r="I246" s="2">
        <f t="shared" si="68"/>
        <v>24807.858763423475</v>
      </c>
      <c r="J246" s="5">
        <f t="shared" si="69"/>
        <v>1.5741616196105501</v>
      </c>
      <c r="K246" s="6">
        <f t="shared" si="57"/>
        <v>3590.5026769763799</v>
      </c>
      <c r="M246">
        <f t="shared" si="58"/>
        <v>58.106153704159283</v>
      </c>
      <c r="N246">
        <f t="shared" si="59"/>
        <v>9.5914212719060075</v>
      </c>
      <c r="O246">
        <f t="shared" si="60"/>
        <v>2480.7858763423474</v>
      </c>
    </row>
    <row r="247" spans="1:15" x14ac:dyDescent="0.2">
      <c r="A247" s="2">
        <v>234</v>
      </c>
      <c r="B247" s="4">
        <f t="shared" si="61"/>
        <v>4.0834299836514578</v>
      </c>
      <c r="C247" s="2">
        <f t="shared" si="62"/>
        <v>-1.9623801725833787E-3</v>
      </c>
      <c r="D247" s="7">
        <f t="shared" si="63"/>
        <v>665.1305389667624</v>
      </c>
      <c r="E247" s="5">
        <f t="shared" si="64"/>
        <v>0.16542322793697128</v>
      </c>
      <c r="F247" s="2">
        <f t="shared" si="65"/>
        <v>646.78844796783267</v>
      </c>
      <c r="G247" s="2">
        <f t="shared" si="66"/>
        <v>58752.942152127114</v>
      </c>
      <c r="H247" s="2">
        <f t="shared" si="67"/>
        <v>109.52691021354677</v>
      </c>
      <c r="I247" s="2">
        <f t="shared" si="68"/>
        <v>24917.385673637022</v>
      </c>
      <c r="J247" s="5">
        <f t="shared" si="69"/>
        <v>1.5739662476231886</v>
      </c>
      <c r="K247" s="6">
        <f t="shared" si="57"/>
        <v>3585.3975382509566</v>
      </c>
      <c r="M247">
        <f t="shared" si="58"/>
        <v>58.752942152127112</v>
      </c>
      <c r="N247">
        <f t="shared" si="59"/>
        <v>9.4780527942190673</v>
      </c>
      <c r="O247">
        <f t="shared" si="60"/>
        <v>2491.7385673637023</v>
      </c>
    </row>
    <row r="248" spans="1:15" x14ac:dyDescent="0.2">
      <c r="A248" s="2">
        <v>235</v>
      </c>
      <c r="B248" s="4">
        <f t="shared" si="61"/>
        <v>4.0927007769390222</v>
      </c>
      <c r="C248" s="2">
        <f t="shared" si="62"/>
        <v>-1.9462262963721548E-3</v>
      </c>
      <c r="D248" s="7">
        <f t="shared" si="63"/>
        <v>669.21396895041391</v>
      </c>
      <c r="E248" s="5">
        <f t="shared" si="64"/>
        <v>0.16346084776438791</v>
      </c>
      <c r="F248" s="2">
        <f t="shared" si="65"/>
        <v>650.93105170520971</v>
      </c>
      <c r="G248" s="2">
        <f t="shared" si="66"/>
        <v>59403.873203832321</v>
      </c>
      <c r="H248" s="2">
        <f t="shared" si="67"/>
        <v>108.90379175184233</v>
      </c>
      <c r="I248" s="2">
        <f t="shared" si="68"/>
        <v>25026.289465388865</v>
      </c>
      <c r="J248" s="5">
        <f t="shared" si="69"/>
        <v>1.5737720232024286</v>
      </c>
      <c r="K248" s="6">
        <f t="shared" si="57"/>
        <v>3580.2923995255333</v>
      </c>
      <c r="M248">
        <f t="shared" si="58"/>
        <v>59.403873203832319</v>
      </c>
      <c r="N248">
        <f t="shared" si="59"/>
        <v>9.3656166925298852</v>
      </c>
      <c r="O248">
        <f t="shared" si="60"/>
        <v>2502.6289465388863</v>
      </c>
    </row>
    <row r="249" spans="1:15" x14ac:dyDescent="0.2">
      <c r="A249" s="2">
        <v>236</v>
      </c>
      <c r="B249" s="4">
        <f t="shared" si="61"/>
        <v>4.1019642141254469</v>
      </c>
      <c r="C249" s="2">
        <f t="shared" si="62"/>
        <v>-1.9301902068765678E-3</v>
      </c>
      <c r="D249" s="7">
        <f t="shared" si="63"/>
        <v>673.30666972735298</v>
      </c>
      <c r="E249" s="5">
        <f t="shared" si="64"/>
        <v>0.16151462146801576</v>
      </c>
      <c r="F249" s="2">
        <f t="shared" si="65"/>
        <v>655.08073714721559</v>
      </c>
      <c r="G249" s="2">
        <f t="shared" si="66"/>
        <v>60058.95394097954</v>
      </c>
      <c r="H249" s="2">
        <f t="shared" si="67"/>
        <v>108.27666675417639</v>
      </c>
      <c r="I249" s="2">
        <f t="shared" si="68"/>
        <v>25134.566132143042</v>
      </c>
      <c r="J249" s="5">
        <f t="shared" si="69"/>
        <v>1.5735789528657425</v>
      </c>
      <c r="K249" s="6">
        <f t="shared" si="57"/>
        <v>3575.1872608001104</v>
      </c>
      <c r="M249">
        <f t="shared" si="58"/>
        <v>60.058953940979542</v>
      </c>
      <c r="N249">
        <f t="shared" si="59"/>
        <v>9.2541061397703839</v>
      </c>
      <c r="O249">
        <f t="shared" si="60"/>
        <v>2513.4566132143041</v>
      </c>
    </row>
    <row r="250" spans="1:15" x14ac:dyDescent="0.2">
      <c r="A250" s="2">
        <v>237</v>
      </c>
      <c r="B250" s="4">
        <f t="shared" si="61"/>
        <v>4.1112205330945644</v>
      </c>
      <c r="C250" s="2">
        <f t="shared" si="62"/>
        <v>-1.9142705526594627E-3</v>
      </c>
      <c r="D250" s="7">
        <f t="shared" si="63"/>
        <v>677.40863394147846</v>
      </c>
      <c r="E250" s="5">
        <f t="shared" si="64"/>
        <v>0.15958443126113919</v>
      </c>
      <c r="F250" s="2">
        <f t="shared" si="65"/>
        <v>659.23750678314627</v>
      </c>
      <c r="G250" s="2">
        <f t="shared" si="66"/>
        <v>60718.191447762685</v>
      </c>
      <c r="H250" s="2">
        <f t="shared" si="67"/>
        <v>107.645605187369</v>
      </c>
      <c r="I250" s="2">
        <f t="shared" si="68"/>
        <v>25242.21173733041</v>
      </c>
      <c r="J250" s="5">
        <f t="shared" si="69"/>
        <v>1.5733870430044847</v>
      </c>
      <c r="K250" s="6">
        <f t="shared" si="57"/>
        <v>3570.0821220746866</v>
      </c>
      <c r="M250">
        <f t="shared" si="58"/>
        <v>60.718191447762685</v>
      </c>
      <c r="N250">
        <f t="shared" si="59"/>
        <v>9.1435143872588736</v>
      </c>
      <c r="O250">
        <f t="shared" si="60"/>
        <v>2524.2211737330408</v>
      </c>
    </row>
    <row r="251" spans="1:15" x14ac:dyDescent="0.2">
      <c r="A251" s="2">
        <v>238</v>
      </c>
      <c r="B251" s="4">
        <f t="shared" si="61"/>
        <v>4.120469970939439</v>
      </c>
      <c r="C251" s="2">
        <f t="shared" si="62"/>
        <v>-1.8984659987418982E-3</v>
      </c>
      <c r="D251" s="7">
        <f t="shared" si="63"/>
        <v>681.51985447457298</v>
      </c>
      <c r="E251" s="5">
        <f t="shared" si="64"/>
        <v>0.15767016070847972</v>
      </c>
      <c r="F251" s="2">
        <f t="shared" si="65"/>
        <v>663.4013635813734</v>
      </c>
      <c r="G251" s="2">
        <f t="shared" si="66"/>
        <v>61381.59281134406</v>
      </c>
      <c r="H251" s="2">
        <f t="shared" si="67"/>
        <v>107.01067690475493</v>
      </c>
      <c r="I251" s="2">
        <f t="shared" si="68"/>
        <v>25349.222414235166</v>
      </c>
      <c r="J251" s="5">
        <f t="shared" si="69"/>
        <v>1.5731962998842846</v>
      </c>
      <c r="K251" s="6">
        <f t="shared" si="57"/>
        <v>3564.9769833492637</v>
      </c>
      <c r="M251">
        <f t="shared" si="58"/>
        <v>61.381592811344063</v>
      </c>
      <c r="N251">
        <f t="shared" si="59"/>
        <v>9.0338347637453094</v>
      </c>
      <c r="O251">
        <f t="shared" si="60"/>
        <v>2534.9222414235164</v>
      </c>
    </row>
    <row r="252" spans="1:15" x14ac:dyDescent="0.2">
      <c r="A252" s="2">
        <v>239</v>
      </c>
      <c r="B252" s="4">
        <f t="shared" si="61"/>
        <v>4.1297127639647808</v>
      </c>
      <c r="C252" s="2">
        <f t="shared" si="62"/>
        <v>-1.8827752263995954E-3</v>
      </c>
      <c r="D252" s="7">
        <f t="shared" si="63"/>
        <v>685.64032444551242</v>
      </c>
      <c r="E252" s="5">
        <f t="shared" si="64"/>
        <v>0.15577169470973781</v>
      </c>
      <c r="F252" s="2">
        <f t="shared" si="65"/>
        <v>667.57231098290504</v>
      </c>
      <c r="G252" s="2">
        <f t="shared" si="66"/>
        <v>62049.165122326966</v>
      </c>
      <c r="H252" s="2">
        <f t="shared" si="67"/>
        <v>106.37195164876128</v>
      </c>
      <c r="I252" s="2">
        <f t="shared" si="68"/>
        <v>25455.594365883928</v>
      </c>
      <c r="J252" s="5">
        <f t="shared" si="69"/>
        <v>1.5730067296454318</v>
      </c>
      <c r="K252" s="6">
        <f t="shared" si="57"/>
        <v>3559.8718446238404</v>
      </c>
      <c r="M252">
        <f t="shared" si="58"/>
        <v>62.049165122326968</v>
      </c>
      <c r="N252">
        <f t="shared" si="59"/>
        <v>8.925060674468309</v>
      </c>
      <c r="O252">
        <f t="shared" si="60"/>
        <v>2545.5594365883926</v>
      </c>
    </row>
    <row r="253" spans="1:15" x14ac:dyDescent="0.2">
      <c r="A253" s="2">
        <v>240</v>
      </c>
      <c r="B253" s="4">
        <f t="shared" si="61"/>
        <v>4.1389491476897611</v>
      </c>
      <c r="C253" s="2">
        <f t="shared" si="62"/>
        <v>-1.8671969329610821E-3</v>
      </c>
      <c r="D253" s="7">
        <f t="shared" si="63"/>
        <v>689.77003720947721</v>
      </c>
      <c r="E253" s="5">
        <f t="shared" si="64"/>
        <v>0.15388891948333822</v>
      </c>
      <c r="F253" s="2">
        <f t="shared" si="65"/>
        <v>671.7503528950383</v>
      </c>
      <c r="G253" s="2">
        <f t="shared" si="66"/>
        <v>62720.915475222006</v>
      </c>
      <c r="H253" s="2">
        <f t="shared" si="67"/>
        <v>105.72949905350428</v>
      </c>
      <c r="I253" s="2">
        <f t="shared" si="68"/>
        <v>25561.323864937433</v>
      </c>
      <c r="J253" s="5">
        <f t="shared" si="69"/>
        <v>1.5728183383032495</v>
      </c>
      <c r="K253" s="6">
        <f t="shared" si="57"/>
        <v>3554.7667058984171</v>
      </c>
      <c r="M253">
        <f t="shared" si="58"/>
        <v>62.720915475222007</v>
      </c>
      <c r="N253">
        <f t="shared" si="59"/>
        <v>8.8171856002238247</v>
      </c>
      <c r="O253">
        <f t="shared" si="60"/>
        <v>2556.1323864937431</v>
      </c>
    </row>
    <row r="254" spans="1:15" x14ac:dyDescent="0.2">
      <c r="A254" s="2">
        <v>241</v>
      </c>
      <c r="B254" s="4">
        <f t="shared" si="61"/>
        <v>4.1481793568512524</v>
      </c>
      <c r="C254" s="2">
        <f t="shared" si="62"/>
        <v>-1.8517298316075971E-3</v>
      </c>
      <c r="D254" s="7">
        <f t="shared" si="63"/>
        <v>693.90898635716701</v>
      </c>
      <c r="E254" s="5">
        <f t="shared" si="64"/>
        <v>0.15202172255037713</v>
      </c>
      <c r="F254" s="2">
        <f t="shared" si="65"/>
        <v>675.93549368510855</v>
      </c>
      <c r="G254" s="2">
        <f t="shared" si="66"/>
        <v>63396.850968907114</v>
      </c>
      <c r="H254" s="2">
        <f t="shared" si="67"/>
        <v>105.083388647405</v>
      </c>
      <c r="I254" s="2">
        <f t="shared" si="68"/>
        <v>25666.407253584839</v>
      </c>
      <c r="J254" s="5">
        <f t="shared" si="69"/>
        <v>1.572631131748472</v>
      </c>
      <c r="K254" s="6">
        <f t="shared" si="57"/>
        <v>3549.6615671729937</v>
      </c>
      <c r="M254">
        <f t="shared" si="58"/>
        <v>63.396850968907117</v>
      </c>
      <c r="N254">
        <f t="shared" si="59"/>
        <v>8.7102030964453832</v>
      </c>
      <c r="O254">
        <f t="shared" si="60"/>
        <v>2566.6407253584839</v>
      </c>
    </row>
    <row r="255" spans="1:15" x14ac:dyDescent="0.2">
      <c r="A255" s="2">
        <v>242</v>
      </c>
      <c r="B255" s="4">
        <f t="shared" si="61"/>
        <v>4.1574036254074542</v>
      </c>
      <c r="C255" s="2">
        <f t="shared" si="62"/>
        <v>-1.8363726511747378E-3</v>
      </c>
      <c r="D255" s="7">
        <f t="shared" si="63"/>
        <v>698.05716571401831</v>
      </c>
      <c r="E255" s="5">
        <f t="shared" si="64"/>
        <v>0.15016999271876955</v>
      </c>
      <c r="F255" s="2">
        <f t="shared" si="65"/>
        <v>680.12773817432731</v>
      </c>
      <c r="G255" s="2">
        <f t="shared" si="66"/>
        <v>64076.978707081442</v>
      </c>
      <c r="H255" s="2">
        <f t="shared" si="67"/>
        <v>104.43368985582231</v>
      </c>
      <c r="I255" s="2">
        <f t="shared" si="68"/>
        <v>25770.84094344066</v>
      </c>
      <c r="J255" s="5">
        <f t="shared" si="69"/>
        <v>1.5724451157476014</v>
      </c>
      <c r="K255" s="6">
        <f t="shared" si="57"/>
        <v>3544.5564284475704</v>
      </c>
      <c r="M255">
        <f t="shared" si="58"/>
        <v>64.076978707081437</v>
      </c>
      <c r="N255">
        <f t="shared" si="59"/>
        <v>8.6041067922957986</v>
      </c>
      <c r="O255">
        <f t="shared" si="60"/>
        <v>2577.0840943440662</v>
      </c>
    </row>
    <row r="256" spans="1:15" x14ac:dyDescent="0.2">
      <c r="A256" s="2">
        <v>243</v>
      </c>
      <c r="B256" s="4">
        <f t="shared" si="61"/>
        <v>4.1666221865418871</v>
      </c>
      <c r="C256" s="2">
        <f t="shared" si="62"/>
        <v>-1.8211241359559266E-3</v>
      </c>
      <c r="D256" s="7">
        <f t="shared" si="63"/>
        <v>702.21456933942579</v>
      </c>
      <c r="E256" s="5">
        <f t="shared" si="64"/>
        <v>0.14833362006759482</v>
      </c>
      <c r="F256" s="2">
        <f t="shared" si="65"/>
        <v>684.32709163171103</v>
      </c>
      <c r="G256" s="2">
        <f t="shared" si="66"/>
        <v>64761.305798713154</v>
      </c>
      <c r="H256" s="2">
        <f t="shared" si="67"/>
        <v>103.78047200370288</v>
      </c>
      <c r="I256" s="2">
        <f t="shared" si="68"/>
        <v>25874.621415444362</v>
      </c>
      <c r="J256" s="5">
        <f t="shared" si="69"/>
        <v>1.5722602959432728</v>
      </c>
      <c r="K256" s="6">
        <f t="shared" si="57"/>
        <v>3539.4512897221475</v>
      </c>
      <c r="M256">
        <f t="shared" si="58"/>
        <v>64.761305798713153</v>
      </c>
      <c r="N256">
        <f t="shared" si="59"/>
        <v>8.498890389770235</v>
      </c>
      <c r="O256">
        <f t="shared" si="60"/>
        <v>2587.4621415444362</v>
      </c>
    </row>
    <row r="257" spans="1:15" x14ac:dyDescent="0.2">
      <c r="A257" s="2">
        <v>244</v>
      </c>
      <c r="B257" s="4">
        <f t="shared" si="61"/>
        <v>4.175835272667765</v>
      </c>
      <c r="C257" s="2">
        <f t="shared" si="62"/>
        <v>-1.8059830455076681E-3</v>
      </c>
      <c r="D257" s="7">
        <f t="shared" si="63"/>
        <v>706.38119152596767</v>
      </c>
      <c r="E257" s="5">
        <f t="shared" si="64"/>
        <v>0.1465124959316389</v>
      </c>
      <c r="F257" s="2">
        <f t="shared" si="65"/>
        <v>688.53355976809939</v>
      </c>
      <c r="G257" s="2">
        <f t="shared" si="66"/>
        <v>65449.839358481251</v>
      </c>
      <c r="H257" s="2">
        <f t="shared" si="67"/>
        <v>103.12380431824721</v>
      </c>
      <c r="I257" s="2">
        <f t="shared" si="68"/>
        <v>25977.745219762608</v>
      </c>
      <c r="J257" s="5">
        <f t="shared" si="69"/>
        <v>1.5720766778545989</v>
      </c>
      <c r="K257" s="6">
        <f t="shared" si="57"/>
        <v>3534.3461509967237</v>
      </c>
      <c r="M257">
        <f t="shared" si="58"/>
        <v>65.449839358481256</v>
      </c>
      <c r="N257">
        <f t="shared" si="59"/>
        <v>8.3945476628105524</v>
      </c>
      <c r="O257">
        <f t="shared" si="60"/>
        <v>2597.774521976261</v>
      </c>
    </row>
    <row r="258" spans="1:15" x14ac:dyDescent="0.2">
      <c r="A258" s="2">
        <v>245</v>
      </c>
      <c r="B258" s="4">
        <f t="shared" si="61"/>
        <v>4.185043115432693</v>
      </c>
      <c r="C258" s="2">
        <f t="shared" si="62"/>
        <v>-1.7909481544566613E-3</v>
      </c>
      <c r="D258" s="7">
        <f t="shared" si="63"/>
        <v>710.55702679863543</v>
      </c>
      <c r="E258" s="5">
        <f t="shared" si="64"/>
        <v>0.14470651288613123</v>
      </c>
      <c r="F258" s="2">
        <f t="shared" si="65"/>
        <v>692.74714873025732</v>
      </c>
      <c r="G258" s="2">
        <f t="shared" si="66"/>
        <v>66142.586507211512</v>
      </c>
      <c r="H258" s="2">
        <f t="shared" si="67"/>
        <v>102.46375593159081</v>
      </c>
      <c r="I258" s="2">
        <f t="shared" si="68"/>
        <v>26080.2089756942</v>
      </c>
      <c r="J258" s="5">
        <f t="shared" si="69"/>
        <v>1.5718942668775184</v>
      </c>
      <c r="K258" s="6">
        <f t="shared" si="57"/>
        <v>3529.2410122713009</v>
      </c>
      <c r="M258">
        <f t="shared" si="58"/>
        <v>66.142586507211519</v>
      </c>
      <c r="N258">
        <f t="shared" si="59"/>
        <v>8.2910724564307809</v>
      </c>
      <c r="O258">
        <f t="shared" si="60"/>
        <v>2608.02089756942</v>
      </c>
    </row>
    <row r="259" spans="1:15" x14ac:dyDescent="0.2">
      <c r="A259" s="2">
        <v>246</v>
      </c>
      <c r="B259" s="4">
        <f t="shared" si="61"/>
        <v>4.1942459457237211</v>
      </c>
      <c r="C259" s="2">
        <f t="shared" si="62"/>
        <v>-1.7760182523087515E-3</v>
      </c>
      <c r="D259" s="7">
        <f t="shared" si="63"/>
        <v>714.74206991406811</v>
      </c>
      <c r="E259" s="5">
        <f t="shared" si="64"/>
        <v>0.14291556473167458</v>
      </c>
      <c r="F259" s="2">
        <f t="shared" si="65"/>
        <v>696.9678650950641</v>
      </c>
      <c r="G259" s="2">
        <f t="shared" si="66"/>
        <v>66839.554372306578</v>
      </c>
      <c r="H259" s="2">
        <f t="shared" si="67"/>
        <v>101.80039588349995</v>
      </c>
      <c r="I259" s="2">
        <f t="shared" si="68"/>
        <v>26182.0093715777</v>
      </c>
      <c r="J259" s="5">
        <f t="shared" si="69"/>
        <v>1.5717130682851292</v>
      </c>
      <c r="K259" s="6">
        <f t="shared" si="57"/>
        <v>3524.1358735458775</v>
      </c>
      <c r="M259">
        <f t="shared" si="58"/>
        <v>66.83955437230658</v>
      </c>
      <c r="N259">
        <f t="shared" si="59"/>
        <v>8.1884586858536696</v>
      </c>
      <c r="O259">
        <f t="shared" si="60"/>
        <v>2618.2009371577701</v>
      </c>
    </row>
    <row r="260" spans="1:15" x14ac:dyDescent="0.2">
      <c r="A260" s="2">
        <v>247</v>
      </c>
      <c r="B260" s="4">
        <f t="shared" si="61"/>
        <v>4.2034439936726908</v>
      </c>
      <c r="C260" s="2">
        <f t="shared" si="62"/>
        <v>-1.7611921432597677E-3</v>
      </c>
      <c r="D260" s="7">
        <f t="shared" si="63"/>
        <v>718.93631585979188</v>
      </c>
      <c r="E260" s="5">
        <f t="shared" si="64"/>
        <v>0.14113954647936583</v>
      </c>
      <c r="F260" s="2">
        <f t="shared" si="65"/>
        <v>701.19571586378595</v>
      </c>
      <c r="G260" s="2">
        <f t="shared" si="66"/>
        <v>67540.75008817036</v>
      </c>
      <c r="H260" s="2">
        <f t="shared" si="67"/>
        <v>101.13379312408129</v>
      </c>
      <c r="I260" s="2">
        <f t="shared" si="68"/>
        <v>26283.143164701782</v>
      </c>
      <c r="J260" s="5">
        <f t="shared" si="69"/>
        <v>1.5715330872280246</v>
      </c>
      <c r="K260" s="6">
        <f t="shared" si="57"/>
        <v>3519.0307348204542</v>
      </c>
      <c r="M260">
        <f t="shared" si="58"/>
        <v>67.540750088170356</v>
      </c>
      <c r="N260">
        <f t="shared" si="59"/>
        <v>8.086700335658179</v>
      </c>
      <c r="O260">
        <f t="shared" si="60"/>
        <v>2628.3143164701783</v>
      </c>
    </row>
    <row r="261" spans="1:15" x14ac:dyDescent="0.2">
      <c r="A261" s="2">
        <v>248</v>
      </c>
      <c r="B261" s="4">
        <f t="shared" si="61"/>
        <v>4.212637488661918</v>
      </c>
      <c r="C261" s="2">
        <f t="shared" si="62"/>
        <v>-1.7464686460082267E-3</v>
      </c>
      <c r="D261" s="7">
        <f t="shared" si="63"/>
        <v>723.13975985346451</v>
      </c>
      <c r="E261" s="5">
        <f t="shared" si="64"/>
        <v>0.13937835433610607</v>
      </c>
      <c r="F261" s="2">
        <f t="shared" si="65"/>
        <v>705.43070845642922</v>
      </c>
      <c r="G261" s="2">
        <f t="shared" si="66"/>
        <v>68246.180796626795</v>
      </c>
      <c r="H261" s="2">
        <f t="shared" si="67"/>
        <v>100.46401651650464</v>
      </c>
      <c r="I261" s="2">
        <f t="shared" si="68"/>
        <v>26383.607181218285</v>
      </c>
      <c r="J261" s="5">
        <f t="shared" si="69"/>
        <v>1.5713543287346117</v>
      </c>
      <c r="K261" s="6">
        <f t="shared" si="57"/>
        <v>3513.9255960950313</v>
      </c>
      <c r="M261">
        <f t="shared" si="58"/>
        <v>68.246180796626788</v>
      </c>
      <c r="N261">
        <f t="shared" si="59"/>
        <v>7.9857914589377952</v>
      </c>
      <c r="O261">
        <f t="shared" si="60"/>
        <v>2638.3607181218285</v>
      </c>
    </row>
    <row r="262" spans="1:15" x14ac:dyDescent="0.2">
      <c r="A262" s="2">
        <v>249</v>
      </c>
      <c r="B262" s="4">
        <f t="shared" si="61"/>
        <v>4.2218266593301514</v>
      </c>
      <c r="C262" s="2">
        <f t="shared" si="62"/>
        <v>-1.7318465935699395E-3</v>
      </c>
      <c r="D262" s="7">
        <f t="shared" si="63"/>
        <v>727.35239734212644</v>
      </c>
      <c r="E262" s="5">
        <f t="shared" si="64"/>
        <v>0.13763188569009785</v>
      </c>
      <c r="F262" s="2">
        <f t="shared" si="65"/>
        <v>709.67285070617504</v>
      </c>
      <c r="G262" s="2">
        <f t="shared" si="66"/>
        <v>68955.853647332973</v>
      </c>
      <c r="H262" s="2">
        <f t="shared" si="67"/>
        <v>99.791134839738206</v>
      </c>
      <c r="I262" s="2">
        <f t="shared" si="68"/>
        <v>26483.398316058025</v>
      </c>
      <c r="J262" s="5">
        <f t="shared" si="69"/>
        <v>1.5711767977114288</v>
      </c>
      <c r="K262" s="6">
        <f t="shared" si="57"/>
        <v>3508.8204573696075</v>
      </c>
      <c r="M262">
        <f t="shared" si="58"/>
        <v>68.955853647332972</v>
      </c>
      <c r="N262">
        <f t="shared" si="59"/>
        <v>7.8857261764695963</v>
      </c>
      <c r="O262">
        <f t="shared" si="60"/>
        <v>2648.3398316058024</v>
      </c>
    </row>
    <row r="263" spans="1:15" x14ac:dyDescent="0.2">
      <c r="A263" s="2">
        <v>250</v>
      </c>
      <c r="B263" s="4">
        <f t="shared" si="61"/>
        <v>4.2310117335788098</v>
      </c>
      <c r="C263" s="2">
        <f t="shared" si="62"/>
        <v>-1.7173248330945286E-3</v>
      </c>
      <c r="D263" s="7">
        <f t="shared" si="63"/>
        <v>731.57422400145663</v>
      </c>
      <c r="E263" s="5">
        <f t="shared" si="64"/>
        <v>0.1359000390965279</v>
      </c>
      <c r="F263" s="2">
        <f t="shared" si="65"/>
        <v>713.92215085389273</v>
      </c>
      <c r="G263" s="2">
        <f t="shared" si="66"/>
        <v>69669.775798186864</v>
      </c>
      <c r="H263" s="2">
        <f t="shared" si="67"/>
        <v>99.115216791295623</v>
      </c>
      <c r="I263" s="2">
        <f t="shared" si="68"/>
        <v>26582.51353284932</v>
      </c>
      <c r="J263" s="5">
        <f t="shared" si="69"/>
        <v>1.5710004989434581</v>
      </c>
      <c r="K263" s="6">
        <f t="shared" si="57"/>
        <v>3503.7153186441847</v>
      </c>
      <c r="M263">
        <f t="shared" si="58"/>
        <v>69.669775798186862</v>
      </c>
      <c r="N263">
        <f t="shared" si="59"/>
        <v>7.7864986758939292</v>
      </c>
      <c r="O263">
        <f t="shared" si="60"/>
        <v>2658.2513532849321</v>
      </c>
    </row>
    <row r="264" spans="1:15" x14ac:dyDescent="0.2">
      <c r="A264" s="2">
        <v>251</v>
      </c>
      <c r="B264" s="4">
        <f t="shared" si="61"/>
        <v>4.2401929385785184</v>
      </c>
      <c r="C264" s="2">
        <f t="shared" si="62"/>
        <v>-1.7029022256838475E-3</v>
      </c>
      <c r="D264" s="7">
        <f t="shared" si="63"/>
        <v>735.80523573503547</v>
      </c>
      <c r="E264" s="5">
        <f t="shared" si="64"/>
        <v>0.13418271426343337</v>
      </c>
      <c r="F264" s="2">
        <f t="shared" si="65"/>
        <v>718.17861754273054</v>
      </c>
      <c r="G264" s="2">
        <f t="shared" si="66"/>
        <v>70387.95441572959</v>
      </c>
      <c r="H264" s="2">
        <f t="shared" si="67"/>
        <v>98.436330989994616</v>
      </c>
      <c r="I264" s="2">
        <f t="shared" si="68"/>
        <v>26680.949863839316</v>
      </c>
      <c r="J264" s="5">
        <f t="shared" si="69"/>
        <v>1.5708254370944243</v>
      </c>
      <c r="K264" s="6">
        <f t="shared" si="57"/>
        <v>3498.6101799187609</v>
      </c>
      <c r="M264">
        <f t="shared" si="58"/>
        <v>70.387954415729595</v>
      </c>
      <c r="N264">
        <f t="shared" si="59"/>
        <v>7.6881032109046048</v>
      </c>
      <c r="O264">
        <f t="shared" si="60"/>
        <v>2668.0949863839314</v>
      </c>
    </row>
    <row r="265" spans="1:15" x14ac:dyDescent="0.2">
      <c r="A265" s="2">
        <v>252</v>
      </c>
      <c r="B265" s="4">
        <f t="shared" si="61"/>
        <v>4.2493705007758695</v>
      </c>
      <c r="C265" s="2">
        <f t="shared" si="62"/>
        <v>-1.6885776462123281E-3</v>
      </c>
      <c r="D265" s="7">
        <f t="shared" si="63"/>
        <v>740.04542867361397</v>
      </c>
      <c r="E265" s="5">
        <f t="shared" si="64"/>
        <v>0.13247981203774953</v>
      </c>
      <c r="F265" s="2">
        <f t="shared" si="65"/>
        <v>722.44225981278191</v>
      </c>
      <c r="G265" s="2">
        <f t="shared" si="66"/>
        <v>71110.396675542375</v>
      </c>
      <c r="H265" s="2">
        <f t="shared" si="67"/>
        <v>97.754545978725929</v>
      </c>
      <c r="I265" s="2">
        <f t="shared" si="68"/>
        <v>26778.704409818041</v>
      </c>
      <c r="J265" s="5">
        <f t="shared" si="69"/>
        <v>1.5706516167070936</v>
      </c>
      <c r="K265" s="6">
        <f t="shared" si="57"/>
        <v>3493.505041193338</v>
      </c>
      <c r="M265">
        <f t="shared" si="58"/>
        <v>71.110396675542376</v>
      </c>
      <c r="N265">
        <f t="shared" si="59"/>
        <v>7.5905341004494868</v>
      </c>
      <c r="O265">
        <f t="shared" si="60"/>
        <v>2677.8704409818042</v>
      </c>
    </row>
    <row r="266" spans="1:15" x14ac:dyDescent="0.2">
      <c r="A266" s="2">
        <v>253</v>
      </c>
      <c r="B266" s="4">
        <f t="shared" si="61"/>
        <v>4.2585446459004643</v>
      </c>
      <c r="C266" s="2">
        <f t="shared" si="62"/>
        <v>-1.6743499831492442E-3</v>
      </c>
      <c r="D266" s="7">
        <f t="shared" si="63"/>
        <v>744.29479917438982</v>
      </c>
      <c r="E266" s="5">
        <f t="shared" si="64"/>
        <v>0.1307912343915372</v>
      </c>
      <c r="F266" s="2">
        <f t="shared" si="65"/>
        <v>726.71308709582729</v>
      </c>
      <c r="G266" s="2">
        <f t="shared" si="66"/>
        <v>71837.109762638196</v>
      </c>
      <c r="H266" s="2">
        <f t="shared" si="67"/>
        <v>97.069930227232803</v>
      </c>
      <c r="I266" s="2">
        <f t="shared" si="68"/>
        <v>26875.774340045275</v>
      </c>
      <c r="J266" s="5">
        <f t="shared" si="69"/>
        <v>1.5704790422035599</v>
      </c>
      <c r="K266" s="6">
        <f t="shared" si="57"/>
        <v>3488.3999024679147</v>
      </c>
      <c r="M266">
        <f t="shared" si="58"/>
        <v>71.837109762638192</v>
      </c>
      <c r="N266">
        <f t="shared" si="59"/>
        <v>7.4937857279413853</v>
      </c>
      <c r="O266">
        <f t="shared" si="60"/>
        <v>2687.5774340045273</v>
      </c>
    </row>
    <row r="267" spans="1:15" x14ac:dyDescent="0.2">
      <c r="A267" s="2">
        <v>254</v>
      </c>
      <c r="B267" s="4">
        <f t="shared" si="61"/>
        <v>4.2677155989721722</v>
      </c>
      <c r="C267" s="2">
        <f t="shared" si="62"/>
        <v>-1.6602181383829123E-3</v>
      </c>
      <c r="D267" s="7">
        <f t="shared" si="63"/>
        <v>748.55334382029025</v>
      </c>
      <c r="E267" s="5">
        <f t="shared" si="64"/>
        <v>0.12911688440838795</v>
      </c>
      <c r="F267" s="2">
        <f t="shared" si="65"/>
        <v>730.99110921014835</v>
      </c>
      <c r="G267" s="2">
        <f t="shared" si="66"/>
        <v>72568.10087184835</v>
      </c>
      <c r="H267" s="2">
        <f t="shared" si="67"/>
        <v>96.382552134899953</v>
      </c>
      <c r="I267" s="2">
        <f t="shared" si="68"/>
        <v>26972.156892180174</v>
      </c>
      <c r="J267" s="5">
        <f t="shared" si="69"/>
        <v>1.5703077178855274</v>
      </c>
      <c r="K267" s="6">
        <f t="shared" si="57"/>
        <v>3483.2947637424913</v>
      </c>
      <c r="M267">
        <f t="shared" si="58"/>
        <v>72.568100871848344</v>
      </c>
      <c r="N267">
        <f t="shared" si="59"/>
        <v>7.3978525404791329</v>
      </c>
      <c r="O267">
        <f t="shared" si="60"/>
        <v>2697.2156892180174</v>
      </c>
    </row>
    <row r="268" spans="1:15" x14ac:dyDescent="0.2">
      <c r="A268" s="2">
        <v>255</v>
      </c>
      <c r="B268" s="4">
        <f t="shared" si="61"/>
        <v>4.2768835843086359</v>
      </c>
      <c r="C268" s="2">
        <f t="shared" si="62"/>
        <v>-1.6461810270468156E-3</v>
      </c>
      <c r="D268" s="7">
        <f t="shared" si="63"/>
        <v>752.82105941926238</v>
      </c>
      <c r="E268" s="5">
        <f t="shared" si="64"/>
        <v>0.12745666627000504</v>
      </c>
      <c r="F268" s="2">
        <f t="shared" si="65"/>
        <v>735.2763363554144</v>
      </c>
      <c r="G268" s="2">
        <f t="shared" si="66"/>
        <v>73303.377208203761</v>
      </c>
      <c r="H268" s="2">
        <f t="shared" si="67"/>
        <v>95.692480033551632</v>
      </c>
      <c r="I268" s="2">
        <f t="shared" si="68"/>
        <v>27067.849372213725</v>
      </c>
      <c r="J268" s="5">
        <f t="shared" si="69"/>
        <v>1.5701376479345865</v>
      </c>
      <c r="K268" s="6">
        <f t="shared" si="57"/>
        <v>3478.1896250170685</v>
      </c>
      <c r="M268">
        <f t="shared" si="58"/>
        <v>73.303377208203756</v>
      </c>
      <c r="N268">
        <f t="shared" si="59"/>
        <v>7.3027290480787252</v>
      </c>
      <c r="O268">
        <f t="shared" si="60"/>
        <v>2706.7849372213723</v>
      </c>
    </row>
    <row r="269" spans="1:15" x14ac:dyDescent="0.2">
      <c r="A269" s="2">
        <v>256</v>
      </c>
      <c r="B269" s="4">
        <f t="shared" si="61"/>
        <v>4.2860488255329861</v>
      </c>
      <c r="C269" s="2">
        <f t="shared" si="62"/>
        <v>-1.632237577347652E-3</v>
      </c>
      <c r="D269" s="7">
        <f t="shared" si="63"/>
        <v>757.097943003571</v>
      </c>
      <c r="E269" s="5">
        <f t="shared" si="64"/>
        <v>0.12581048524295824</v>
      </c>
      <c r="F269" s="2">
        <f t="shared" si="65"/>
        <v>739.56877910763899</v>
      </c>
      <c r="G269" s="2">
        <f t="shared" si="66"/>
        <v>74042.945987311396</v>
      </c>
      <c r="H269" s="2">
        <f t="shared" si="67"/>
        <v>94.999782190258614</v>
      </c>
      <c r="I269" s="2">
        <f t="shared" si="68"/>
        <v>27162.849154403983</v>
      </c>
      <c r="J269" s="5">
        <f t="shared" si="69"/>
        <v>1.5699688364124773</v>
      </c>
      <c r="K269" s="6">
        <f t="shared" si="57"/>
        <v>3473.0844862916447</v>
      </c>
      <c r="M269">
        <f t="shared" si="58"/>
        <v>74.042945987311398</v>
      </c>
      <c r="N269">
        <f t="shared" si="59"/>
        <v>7.2084098229144322</v>
      </c>
      <c r="O269">
        <f t="shared" si="60"/>
        <v>2716.2849154403984</v>
      </c>
    </row>
    <row r="270" spans="1:15" x14ac:dyDescent="0.2">
      <c r="A270" s="2">
        <v>257</v>
      </c>
      <c r="B270" s="4">
        <f t="shared" si="61"/>
        <v>4.2952115455817719</v>
      </c>
      <c r="C270" s="2">
        <f t="shared" si="62"/>
        <v>-1.6183867303953276E-3</v>
      </c>
      <c r="D270" s="7">
        <f t="shared" si="63"/>
        <v>761.38399182910393</v>
      </c>
      <c r="E270" s="5">
        <f t="shared" si="64"/>
        <v>0.12417824766561059</v>
      </c>
      <c r="F270" s="2">
        <f t="shared" si="65"/>
        <v>743.86844841420498</v>
      </c>
      <c r="G270" s="2">
        <f t="shared" si="66"/>
        <v>74786.814435725595</v>
      </c>
      <c r="H270" s="2">
        <f t="shared" si="67"/>
        <v>94.304526810153092</v>
      </c>
      <c r="I270" s="2">
        <f t="shared" si="68"/>
        <v>27257.153681214135</v>
      </c>
      <c r="J270" s="5">
        <f t="shared" si="69"/>
        <v>1.5698012872613536</v>
      </c>
      <c r="K270" s="6">
        <f t="shared" ref="K270:K333" si="70">$B$1-($B$7*A270)</f>
        <v>3467.9793475662218</v>
      </c>
      <c r="M270">
        <f t="shared" ref="M270:M333" si="71">G270/1000</f>
        <v>74.786814435725589</v>
      </c>
      <c r="N270">
        <f t="shared" ref="N270:N333" si="72">E270*180/PI()</f>
        <v>7.1148894985697533</v>
      </c>
      <c r="O270">
        <f t="shared" ref="O270:O333" si="73">I270/10</f>
        <v>2725.7153681214136</v>
      </c>
    </row>
    <row r="271" spans="1:15" x14ac:dyDescent="0.2">
      <c r="A271" s="2">
        <v>258</v>
      </c>
      <c r="B271" s="4">
        <f t="shared" si="61"/>
        <v>4.3043719667130969</v>
      </c>
      <c r="C271" s="2">
        <f t="shared" si="62"/>
        <v>-1.6046274400348586E-3</v>
      </c>
      <c r="D271" s="7">
        <f t="shared" si="63"/>
        <v>765.6792033746857</v>
      </c>
      <c r="E271" s="5">
        <f t="shared" si="64"/>
        <v>0.12255986093521526</v>
      </c>
      <c r="F271" s="2">
        <f t="shared" si="65"/>
        <v>748.17535558895963</v>
      </c>
      <c r="G271" s="2">
        <f t="shared" si="66"/>
        <v>75534.989791314554</v>
      </c>
      <c r="H271" s="2">
        <f t="shared" si="67"/>
        <v>93.606782039251641</v>
      </c>
      <c r="I271" s="2">
        <f t="shared" si="68"/>
        <v>27350.760463253388</v>
      </c>
      <c r="J271" s="5">
        <f t="shared" si="69"/>
        <v>1.5696350043040339</v>
      </c>
      <c r="K271" s="6">
        <f t="shared" si="70"/>
        <v>3462.8742088407985</v>
      </c>
      <c r="M271">
        <f t="shared" si="71"/>
        <v>75.534989791314558</v>
      </c>
      <c r="N271">
        <f t="shared" si="72"/>
        <v>7.0221627692981254</v>
      </c>
      <c r="O271">
        <f t="shared" si="73"/>
        <v>2735.0760463253387</v>
      </c>
    </row>
    <row r="272" spans="1:15" x14ac:dyDescent="0.2">
      <c r="A272" s="2">
        <v>259</v>
      </c>
      <c r="B272" s="4">
        <f t="shared" si="61"/>
        <v>4.3135303105149481</v>
      </c>
      <c r="C272" s="2">
        <f t="shared" si="62"/>
        <v>-1.590958672680211E-3</v>
      </c>
      <c r="D272" s="7">
        <f t="shared" si="63"/>
        <v>769.98357534139882</v>
      </c>
      <c r="E272" s="5">
        <f t="shared" si="64"/>
        <v>0.12095523349518041</v>
      </c>
      <c r="F272" s="2">
        <f t="shared" si="65"/>
        <v>752.48951230737271</v>
      </c>
      <c r="G272" s="2">
        <f t="shared" si="66"/>
        <v>76287.47930362192</v>
      </c>
      <c r="H272" s="2">
        <f t="shared" si="67"/>
        <v>92.906615967285404</v>
      </c>
      <c r="I272" s="2">
        <f t="shared" si="68"/>
        <v>27443.667079220671</v>
      </c>
      <c r="J272" s="5">
        <f t="shared" si="69"/>
        <v>1.5694699912442485</v>
      </c>
      <c r="K272" s="6">
        <f t="shared" si="70"/>
        <v>3457.7690701153751</v>
      </c>
      <c r="M272">
        <f t="shared" si="71"/>
        <v>76.287479303621922</v>
      </c>
      <c r="N272">
        <f t="shared" si="72"/>
        <v>6.9302243892932456</v>
      </c>
      <c r="O272">
        <f t="shared" si="73"/>
        <v>2744.3667079220672</v>
      </c>
    </row>
    <row r="273" spans="1:15" x14ac:dyDescent="0.2">
      <c r="A273" s="2">
        <v>260</v>
      </c>
      <c r="B273" s="4">
        <f t="shared" si="61"/>
        <v>4.322686797913704</v>
      </c>
      <c r="C273" s="2">
        <f t="shared" si="62"/>
        <v>-1.5773794071500522E-3</v>
      </c>
      <c r="D273" s="7">
        <f t="shared" si="63"/>
        <v>774.29710565191374</v>
      </c>
      <c r="E273" s="5">
        <f t="shared" si="64"/>
        <v>0.1193642748225002</v>
      </c>
      <c r="F273" s="2">
        <f t="shared" si="65"/>
        <v>756.81093060176306</v>
      </c>
      <c r="G273" s="2">
        <f t="shared" si="66"/>
        <v>77044.290234223678</v>
      </c>
      <c r="H273" s="2">
        <f t="shared" si="67"/>
        <v>92.204096630537208</v>
      </c>
      <c r="I273" s="2">
        <f t="shared" si="68"/>
        <v>27535.871175851207</v>
      </c>
      <c r="J273" s="5">
        <f t="shared" si="69"/>
        <v>1.5693062516668761</v>
      </c>
      <c r="K273" s="6">
        <f t="shared" si="70"/>
        <v>3452.6639313899518</v>
      </c>
      <c r="M273">
        <f t="shared" si="71"/>
        <v>77.044290234223681</v>
      </c>
      <c r="N273">
        <f t="shared" si="72"/>
        <v>6.8390691719689345</v>
      </c>
      <c r="O273">
        <f t="shared" si="73"/>
        <v>2753.5871175851207</v>
      </c>
    </row>
    <row r="274" spans="1:15" x14ac:dyDescent="0.2">
      <c r="A274" s="2">
        <v>261</v>
      </c>
      <c r="B274" s="4">
        <f t="shared" si="61"/>
        <v>4.3318416491828327</v>
      </c>
      <c r="C274" s="2">
        <f t="shared" si="62"/>
        <v>-1.5638886345054207E-3</v>
      </c>
      <c r="D274" s="7">
        <f t="shared" si="63"/>
        <v>778.6197924498274</v>
      </c>
      <c r="E274" s="5">
        <f t="shared" si="64"/>
        <v>0.11778689541535015</v>
      </c>
      <c r="F274" s="2">
        <f t="shared" si="65"/>
        <v>761.1396228565867</v>
      </c>
      <c r="G274" s="2">
        <f t="shared" si="66"/>
        <v>77805.429857080264</v>
      </c>
      <c r="H274" s="2">
        <f t="shared" si="67"/>
        <v>91.499292014685523</v>
      </c>
      <c r="I274" s="2">
        <f t="shared" si="68"/>
        <v>27627.370467865894</v>
      </c>
      <c r="J274" s="5">
        <f t="shared" si="69"/>
        <v>1.5691437890381792</v>
      </c>
      <c r="K274" s="6">
        <f t="shared" si="70"/>
        <v>3447.5587926645285</v>
      </c>
      <c r="M274">
        <f t="shared" si="71"/>
        <v>77.80542985708027</v>
      </c>
      <c r="N274">
        <f t="shared" si="72"/>
        <v>6.748691989248389</v>
      </c>
      <c r="O274">
        <f t="shared" si="73"/>
        <v>2762.7370467865894</v>
      </c>
    </row>
    <row r="275" spans="1:15" x14ac:dyDescent="0.2">
      <c r="A275" s="2">
        <v>262</v>
      </c>
      <c r="B275" s="4">
        <f t="shared" si="61"/>
        <v>4.3409950839517553</v>
      </c>
      <c r="C275" s="2">
        <f t="shared" si="62"/>
        <v>-1.5504853578893005E-3</v>
      </c>
      <c r="D275" s="7">
        <f t="shared" si="63"/>
        <v>782.95163409901022</v>
      </c>
      <c r="E275" s="5">
        <f t="shared" si="64"/>
        <v>0.11622300678084473</v>
      </c>
      <c r="F275" s="2">
        <f t="shared" si="65"/>
        <v>765.47560180378889</v>
      </c>
      <c r="G275" s="2">
        <f t="shared" si="66"/>
        <v>78570.905458884052</v>
      </c>
      <c r="H275" s="2">
        <f t="shared" si="67"/>
        <v>90.792270057654278</v>
      </c>
      <c r="I275" s="2">
        <f t="shared" si="68"/>
        <v>27718.162737923547</v>
      </c>
      <c r="J275" s="5">
        <f t="shared" si="69"/>
        <v>1.5689826067060233</v>
      </c>
      <c r="K275" s="6">
        <f t="shared" si="70"/>
        <v>3442.4536539391056</v>
      </c>
      <c r="M275">
        <f t="shared" si="71"/>
        <v>78.570905458884056</v>
      </c>
      <c r="N275">
        <f t="shared" si="72"/>
        <v>6.6590877708627509</v>
      </c>
      <c r="O275">
        <f t="shared" si="73"/>
        <v>2771.8162737923549</v>
      </c>
    </row>
    <row r="276" spans="1:15" x14ac:dyDescent="0.2">
      <c r="A276" s="2">
        <v>263</v>
      </c>
      <c r="B276" s="4">
        <f t="shared" si="61"/>
        <v>4.350147321214874</v>
      </c>
      <c r="C276" s="2">
        <f t="shared" si="62"/>
        <v>-1.5371685923681029E-3</v>
      </c>
      <c r="D276" s="7">
        <f t="shared" si="63"/>
        <v>787.29262918296195</v>
      </c>
      <c r="E276" s="5">
        <f t="shared" si="64"/>
        <v>0.11467252142295542</v>
      </c>
      <c r="F276" s="2">
        <f t="shared" si="65"/>
        <v>769.81888051821704</v>
      </c>
      <c r="G276" s="2">
        <f t="shared" si="66"/>
        <v>79340.724339402266</v>
      </c>
      <c r="H276" s="2">
        <f t="shared" si="67"/>
        <v>90.083098652468934</v>
      </c>
      <c r="I276" s="2">
        <f t="shared" si="68"/>
        <v>27808.245836576018</v>
      </c>
      <c r="J276" s="5">
        <f t="shared" si="69"/>
        <v>1.5688227079000976</v>
      </c>
      <c r="K276" s="6">
        <f t="shared" si="70"/>
        <v>3437.3485152136818</v>
      </c>
      <c r="M276">
        <f t="shared" si="71"/>
        <v>79.340724339402271</v>
      </c>
      <c r="N276">
        <f t="shared" si="72"/>
        <v>6.5702515036588629</v>
      </c>
      <c r="O276">
        <f t="shared" si="73"/>
        <v>2780.8245836576016</v>
      </c>
    </row>
    <row r="277" spans="1:15" x14ac:dyDescent="0.2">
      <c r="A277" s="2">
        <v>264</v>
      </c>
      <c r="B277" s="4">
        <f t="shared" si="61"/>
        <v>4.359298579340753</v>
      </c>
      <c r="C277" s="2">
        <f t="shared" si="62"/>
        <v>-1.5239373647750361E-3</v>
      </c>
      <c r="D277" s="7">
        <f t="shared" si="63"/>
        <v>791.64277650417682</v>
      </c>
      <c r="E277" s="5">
        <f t="shared" si="64"/>
        <v>0.11313535283058732</v>
      </c>
      <c r="F277" s="2">
        <f t="shared" si="65"/>
        <v>774.16947241309424</v>
      </c>
      <c r="G277" s="2">
        <f t="shared" si="66"/>
        <v>80114.89381181536</v>
      </c>
      <c r="H277" s="2">
        <f t="shared" si="67"/>
        <v>89.371845650117862</v>
      </c>
      <c r="I277" s="2">
        <f t="shared" si="68"/>
        <v>27897.617682226137</v>
      </c>
      <c r="J277" s="5">
        <f t="shared" si="69"/>
        <v>1.5686640957321245</v>
      </c>
      <c r="K277" s="6">
        <f t="shared" si="70"/>
        <v>3432.2433764882589</v>
      </c>
      <c r="M277">
        <f t="shared" si="71"/>
        <v>80.114893811815364</v>
      </c>
      <c r="N277">
        <f t="shared" si="72"/>
        <v>6.4821782309161051</v>
      </c>
      <c r="O277">
        <f t="shared" si="73"/>
        <v>2789.7617682226137</v>
      </c>
    </row>
    <row r="278" spans="1:15" x14ac:dyDescent="0.2">
      <c r="A278" s="2">
        <v>265</v>
      </c>
      <c r="B278" s="4">
        <f t="shared" si="61"/>
        <v>4.3684490760814603</v>
      </c>
      <c r="C278" s="2">
        <f t="shared" si="62"/>
        <v>-1.5107907135553614E-3</v>
      </c>
      <c r="D278" s="7">
        <f t="shared" si="63"/>
        <v>796.00207508351752</v>
      </c>
      <c r="E278" s="5">
        <f t="shared" si="64"/>
        <v>0.11161141546581228</v>
      </c>
      <c r="F278" s="2">
        <f t="shared" si="65"/>
        <v>778.52739123555136</v>
      </c>
      <c r="G278" s="2">
        <f t="shared" si="66"/>
        <v>80893.421203050908</v>
      </c>
      <c r="H278" s="2">
        <f t="shared" si="67"/>
        <v>88.658578862419105</v>
      </c>
      <c r="I278" s="2">
        <f t="shared" si="68"/>
        <v>27986.276261088555</v>
      </c>
      <c r="J278" s="5">
        <f t="shared" si="69"/>
        <v>1.56850677319606</v>
      </c>
      <c r="K278" s="6">
        <f t="shared" si="70"/>
        <v>3427.1382377628356</v>
      </c>
      <c r="M278">
        <f t="shared" si="71"/>
        <v>80.893421203050906</v>
      </c>
      <c r="N278">
        <f t="shared" si="72"/>
        <v>6.3948630516722069</v>
      </c>
      <c r="O278">
        <f t="shared" si="73"/>
        <v>2798.6276261088556</v>
      </c>
    </row>
    <row r="279" spans="1:15" x14ac:dyDescent="0.2">
      <c r="A279" s="2">
        <v>266</v>
      </c>
      <c r="B279" s="4">
        <f t="shared" si="61"/>
        <v>4.3775990285820425</v>
      </c>
      <c r="C279" s="2">
        <f t="shared" si="62"/>
        <v>-1.4977276886135266E-3</v>
      </c>
      <c r="D279" s="7">
        <f t="shared" si="63"/>
        <v>800.37052415959897</v>
      </c>
      <c r="E279" s="5">
        <f t="shared" si="64"/>
        <v>0.11010062475225692</v>
      </c>
      <c r="F279" s="2">
        <f t="shared" si="65"/>
        <v>782.89265106221717</v>
      </c>
      <c r="G279" s="2">
        <f t="shared" si="66"/>
        <v>81676.313854113119</v>
      </c>
      <c r="H279" s="2">
        <f t="shared" si="67"/>
        <v>87.943366064892075</v>
      </c>
      <c r="I279" s="2">
        <f t="shared" si="68"/>
        <v>28074.219627153449</v>
      </c>
      <c r="J279" s="5">
        <f t="shared" si="69"/>
        <v>1.5683507431682899</v>
      </c>
      <c r="K279" s="6">
        <f t="shared" si="70"/>
        <v>3422.0330990374123</v>
      </c>
      <c r="M279">
        <f t="shared" si="71"/>
        <v>81.676313854113118</v>
      </c>
      <c r="N279">
        <f t="shared" si="72"/>
        <v>6.3083011200579255</v>
      </c>
      <c r="O279">
        <f t="shared" si="73"/>
        <v>2807.4219627153448</v>
      </c>
    </row>
    <row r="280" spans="1:15" x14ac:dyDescent="0.2">
      <c r="A280" s="2">
        <v>267</v>
      </c>
      <c r="B280" s="4">
        <f t="shared" si="61"/>
        <v>4.3867486533901472</v>
      </c>
      <c r="C280" s="2">
        <f t="shared" si="62"/>
        <v>-1.4847473511621649E-3</v>
      </c>
      <c r="D280" s="7">
        <f t="shared" si="63"/>
        <v>804.74812318818101</v>
      </c>
      <c r="E280" s="5">
        <f t="shared" si="64"/>
        <v>0.10860289706364339</v>
      </c>
      <c r="F280" s="2">
        <f t="shared" si="65"/>
        <v>787.26526629486557</v>
      </c>
      <c r="G280" s="2">
        <f t="shared" si="66"/>
        <v>82463.579120407987</v>
      </c>
      <c r="H280" s="2">
        <f t="shared" si="67"/>
        <v>87.226274999633873</v>
      </c>
      <c r="I280" s="2">
        <f t="shared" si="68"/>
        <v>28161.445902153082</v>
      </c>
      <c r="J280" s="5">
        <f t="shared" si="69"/>
        <v>1.5681960084078197</v>
      </c>
      <c r="K280" s="6">
        <f t="shared" si="70"/>
        <v>3416.927960311989</v>
      </c>
      <c r="M280">
        <f t="shared" si="71"/>
        <v>82.463579120407985</v>
      </c>
      <c r="N280">
        <f t="shared" si="72"/>
        <v>6.2224876446404878</v>
      </c>
      <c r="O280">
        <f t="shared" si="73"/>
        <v>2816.1445902153082</v>
      </c>
    </row>
    <row r="281" spans="1:15" x14ac:dyDescent="0.2">
      <c r="A281" s="2">
        <v>268</v>
      </c>
      <c r="B281" s="4">
        <f t="shared" si="61"/>
        <v>4.3958981664657699</v>
      </c>
      <c r="C281" s="2">
        <f t="shared" si="62"/>
        <v>-1.4718487735729446E-3</v>
      </c>
      <c r="D281" s="7">
        <f t="shared" si="63"/>
        <v>809.13487184157111</v>
      </c>
      <c r="E281" s="5">
        <f t="shared" si="64"/>
        <v>0.10711814971248122</v>
      </c>
      <c r="F281" s="2">
        <f t="shared" si="65"/>
        <v>791.64525165611713</v>
      </c>
      <c r="G281" s="2">
        <f t="shared" si="66"/>
        <v>83255.224372064098</v>
      </c>
      <c r="H281" s="2">
        <f t="shared" si="67"/>
        <v>86.5073733782001</v>
      </c>
      <c r="I281" s="2">
        <f t="shared" si="68"/>
        <v>28247.953275531283</v>
      </c>
      <c r="J281" s="5">
        <f t="shared" si="69"/>
        <v>1.5680425715564532</v>
      </c>
      <c r="K281" s="6">
        <f t="shared" si="70"/>
        <v>3411.8228215865656</v>
      </c>
      <c r="M281">
        <f t="shared" si="71"/>
        <v>83.255224372064092</v>
      </c>
      <c r="N281">
        <f t="shared" si="72"/>
        <v>6.1374178877756673</v>
      </c>
      <c r="O281">
        <f t="shared" si="73"/>
        <v>2824.7953275531281</v>
      </c>
    </row>
    <row r="282" spans="1:15" x14ac:dyDescent="0.2">
      <c r="A282" s="2">
        <v>269</v>
      </c>
      <c r="B282" s="4">
        <f t="shared" ref="B282:B345" si="74">(($B$5/K282)-(J282*SIN(E282)))</f>
        <v>4.4050477831911294</v>
      </c>
      <c r="C282" s="2">
        <f t="shared" ref="C282:C345" si="75">-((J282/D282)-(D282/(1740000+(I282))))*COS(E282)</f>
        <v>-1.4590310392292639E-3</v>
      </c>
      <c r="D282" s="7">
        <f t="shared" ref="D282:D345" si="76">D281+B281</f>
        <v>813.53077000803682</v>
      </c>
      <c r="E282" s="5">
        <f t="shared" ref="E282:E345" si="77">E281+C281</f>
        <v>0.10564630093890828</v>
      </c>
      <c r="F282" s="2">
        <f t="shared" ref="F282:F345" si="78">((1740000/(1740000+(I282)))*D282*COS(E282))</f>
        <v>796.03262218519694</v>
      </c>
      <c r="G282" s="2">
        <f t="shared" ref="G282:G345" si="79">(F282 + G281)</f>
        <v>84051.256994249299</v>
      </c>
      <c r="H282" s="2">
        <f t="shared" ref="H282:H345" si="80">D282*SIN(E282)</f>
        <v>85.78672888448969</v>
      </c>
      <c r="I282" s="2">
        <f t="shared" ref="I282:I345" si="81">(H282+I281)</f>
        <v>28333.740004415773</v>
      </c>
      <c r="J282" s="5">
        <f t="shared" ref="J282:J345" si="82">((1.619368477)/(1+(I282/1740000))^2)</f>
        <v>1.5678904351389635</v>
      </c>
      <c r="K282" s="6">
        <f t="shared" si="70"/>
        <v>3406.7176828611427</v>
      </c>
      <c r="M282">
        <f t="shared" si="71"/>
        <v>84.0512569942493</v>
      </c>
      <c r="N282">
        <f t="shared" si="72"/>
        <v>6.0530871649684315</v>
      </c>
      <c r="O282">
        <f t="shared" si="73"/>
        <v>2833.3740004415772</v>
      </c>
    </row>
    <row r="283" spans="1:15" x14ac:dyDescent="0.2">
      <c r="A283" s="2">
        <v>270</v>
      </c>
      <c r="B283" s="4">
        <f t="shared" si="74"/>
        <v>4.4141977183806747</v>
      </c>
      <c r="C283" s="2">
        <f t="shared" si="75"/>
        <v>-1.4462932423807853E-3</v>
      </c>
      <c r="D283" s="7">
        <f t="shared" si="76"/>
        <v>817.93581779122792</v>
      </c>
      <c r="E283" s="5">
        <f t="shared" si="77"/>
        <v>0.10418726989967902</v>
      </c>
      <c r="F283" s="2">
        <f t="shared" si="78"/>
        <v>800.4273932337444</v>
      </c>
      <c r="G283" s="2">
        <f t="shared" si="79"/>
        <v>84851.684387483037</v>
      </c>
      <c r="H283" s="2">
        <f t="shared" si="80"/>
        <v>85.064409177633891</v>
      </c>
      <c r="I283" s="2">
        <f t="shared" si="81"/>
        <v>28418.804413593407</v>
      </c>
      <c r="J283" s="5">
        <f t="shared" si="82"/>
        <v>1.5677396015632652</v>
      </c>
      <c r="K283" s="6">
        <f t="shared" si="70"/>
        <v>3401.612544135719</v>
      </c>
      <c r="M283">
        <f t="shared" si="71"/>
        <v>84.851684387483033</v>
      </c>
      <c r="N283">
        <f t="shared" si="72"/>
        <v>5.9694908442420083</v>
      </c>
      <c r="O283">
        <f t="shared" si="73"/>
        <v>2841.8804413593407</v>
      </c>
    </row>
    <row r="284" spans="1:15" x14ac:dyDescent="0.2">
      <c r="A284" s="2">
        <v>271</v>
      </c>
      <c r="B284" s="4">
        <f t="shared" si="74"/>
        <v>4.4233481862911876</v>
      </c>
      <c r="C284" s="2">
        <f t="shared" si="75"/>
        <v>-1.4336344879997765E-3</v>
      </c>
      <c r="D284" s="7">
        <f t="shared" si="76"/>
        <v>822.35001550960862</v>
      </c>
      <c r="E284" s="5">
        <f t="shared" si="77"/>
        <v>0.10274097665729824</v>
      </c>
      <c r="F284" s="2">
        <f t="shared" si="78"/>
        <v>804.82958046167448</v>
      </c>
      <c r="G284" s="2">
        <f t="shared" si="79"/>
        <v>85656.513967944717</v>
      </c>
      <c r="H284" s="2">
        <f t="shared" si="80"/>
        <v>84.340481894888654</v>
      </c>
      <c r="I284" s="2">
        <f t="shared" si="81"/>
        <v>28503.144895488294</v>
      </c>
      <c r="J284" s="5">
        <f t="shared" si="82"/>
        <v>1.5675900731205672</v>
      </c>
      <c r="K284" s="6">
        <f t="shared" si="70"/>
        <v>3396.5074054102961</v>
      </c>
      <c r="M284">
        <f t="shared" si="71"/>
        <v>85.656513967944719</v>
      </c>
      <c r="N284">
        <f t="shared" si="72"/>
        <v>5.8866243455152976</v>
      </c>
      <c r="O284">
        <f t="shared" si="73"/>
        <v>2850.3144895488294</v>
      </c>
    </row>
    <row r="285" spans="1:15" x14ac:dyDescent="0.2">
      <c r="A285" s="2">
        <v>272</v>
      </c>
      <c r="B285" s="4">
        <f t="shared" si="74"/>
        <v>4.4324994006320191</v>
      </c>
      <c r="C285" s="2">
        <f t="shared" si="75"/>
        <v>-1.4210538916392666E-3</v>
      </c>
      <c r="D285" s="7">
        <f t="shared" si="76"/>
        <v>826.77336369589977</v>
      </c>
      <c r="E285" s="5">
        <f t="shared" si="77"/>
        <v>0.10130734216929846</v>
      </c>
      <c r="F285" s="2">
        <f t="shared" si="78"/>
        <v>809.23919983309315</v>
      </c>
      <c r="G285" s="2">
        <f t="shared" si="79"/>
        <v>86465.753167777817</v>
      </c>
      <c r="H285" s="2">
        <f t="shared" si="80"/>
        <v>83.615014654530711</v>
      </c>
      <c r="I285" s="2">
        <f t="shared" si="81"/>
        <v>28586.759910142824</v>
      </c>
      <c r="J285" s="5">
        <f t="shared" si="82"/>
        <v>1.5674418519855275</v>
      </c>
      <c r="K285" s="6">
        <f t="shared" si="70"/>
        <v>3391.4022666848728</v>
      </c>
      <c r="M285">
        <f t="shared" si="71"/>
        <v>86.465753167777819</v>
      </c>
      <c r="N285">
        <f t="shared" si="72"/>
        <v>5.8044831399885117</v>
      </c>
      <c r="O285">
        <f t="shared" si="73"/>
        <v>2858.6759910142823</v>
      </c>
    </row>
    <row r="286" spans="1:15" x14ac:dyDescent="0.2">
      <c r="A286" s="2">
        <v>273</v>
      </c>
      <c r="B286" s="4">
        <f t="shared" si="74"/>
        <v>4.4416515745754124</v>
      </c>
      <c r="C286" s="2">
        <f t="shared" si="75"/>
        <v>-1.4085505792929935E-3</v>
      </c>
      <c r="D286" s="7">
        <f t="shared" si="76"/>
        <v>831.20586309653174</v>
      </c>
      <c r="E286" s="5">
        <f t="shared" si="77"/>
        <v>9.9886288277659191E-2</v>
      </c>
      <c r="F286" s="2">
        <f t="shared" si="78"/>
        <v>813.65626761225883</v>
      </c>
      <c r="G286" s="2">
        <f t="shared" si="79"/>
        <v>87279.409435390073</v>
      </c>
      <c r="H286" s="2">
        <f t="shared" si="80"/>
        <v>82.888075058756911</v>
      </c>
      <c r="I286" s="2">
        <f t="shared" si="81"/>
        <v>28669.64798520158</v>
      </c>
      <c r="J286" s="5">
        <f t="shared" si="82"/>
        <v>1.5672949402163956</v>
      </c>
      <c r="K286" s="6">
        <f t="shared" si="70"/>
        <v>3386.2971279594494</v>
      </c>
      <c r="M286">
        <f t="shared" si="71"/>
        <v>87.279409435390079</v>
      </c>
      <c r="N286">
        <f t="shared" si="72"/>
        <v>5.7230627495369406</v>
      </c>
      <c r="O286">
        <f t="shared" si="73"/>
        <v>2866.9647985201582</v>
      </c>
    </row>
    <row r="287" spans="1:15" x14ac:dyDescent="0.2">
      <c r="A287" s="2">
        <v>274</v>
      </c>
      <c r="B287" s="4">
        <f t="shared" si="74"/>
        <v>4.4508049207669451</v>
      </c>
      <c r="C287" s="2">
        <f t="shared" si="75"/>
        <v>-1.3961236872571286E-3</v>
      </c>
      <c r="D287" s="7">
        <f t="shared" si="76"/>
        <v>835.64751467110716</v>
      </c>
      <c r="E287" s="5">
        <f t="shared" si="77"/>
        <v>9.8477737698366194E-2</v>
      </c>
      <c r="F287" s="2">
        <f t="shared" si="78"/>
        <v>818.08080035959745</v>
      </c>
      <c r="G287" s="2">
        <f t="shared" si="79"/>
        <v>88097.490235749676</v>
      </c>
      <c r="H287" s="2">
        <f t="shared" si="80"/>
        <v>82.159730696586465</v>
      </c>
      <c r="I287" s="2">
        <f t="shared" si="81"/>
        <v>28751.807715898165</v>
      </c>
      <c r="J287" s="5">
        <f t="shared" si="82"/>
        <v>1.5671493397551493</v>
      </c>
      <c r="K287" s="6">
        <f t="shared" si="70"/>
        <v>3381.1919892340261</v>
      </c>
      <c r="M287">
        <f t="shared" si="71"/>
        <v>88.097490235749675</v>
      </c>
      <c r="N287">
        <f t="shared" si="72"/>
        <v>5.6423587461127447</v>
      </c>
      <c r="O287">
        <f t="shared" si="73"/>
        <v>2875.1807715898167</v>
      </c>
    </row>
    <row r="288" spans="1:15" x14ac:dyDescent="0.2">
      <c r="A288" s="2">
        <v>275</v>
      </c>
      <c r="B288" s="4">
        <f t="shared" si="74"/>
        <v>4.4599596513360567</v>
      </c>
      <c r="C288" s="2">
        <f t="shared" si="75"/>
        <v>-1.3837723619937708E-3</v>
      </c>
      <c r="D288" s="7">
        <f t="shared" si="76"/>
        <v>840.09831959187409</v>
      </c>
      <c r="E288" s="5">
        <f t="shared" si="77"/>
        <v>9.7081614011109069E-2</v>
      </c>
      <c r="F288" s="2">
        <f t="shared" si="78"/>
        <v>822.51281492776047</v>
      </c>
      <c r="G288" s="2">
        <f t="shared" si="79"/>
        <v>88920.003050677435</v>
      </c>
      <c r="H288" s="2">
        <f t="shared" si="80"/>
        <v>81.430049146766351</v>
      </c>
      <c r="I288" s="2">
        <f t="shared" si="81"/>
        <v>28833.237765044931</v>
      </c>
      <c r="J288" s="5">
        <f t="shared" si="82"/>
        <v>1.5670050524276233</v>
      </c>
      <c r="K288" s="6">
        <f t="shared" si="70"/>
        <v>3376.0868505086028</v>
      </c>
      <c r="M288">
        <f t="shared" si="71"/>
        <v>88.920003050677437</v>
      </c>
      <c r="N288">
        <f t="shared" si="72"/>
        <v>5.5623667511546691</v>
      </c>
      <c r="O288">
        <f t="shared" si="73"/>
        <v>2883.3237765044933</v>
      </c>
    </row>
    <row r="289" spans="1:15" x14ac:dyDescent="0.2">
      <c r="A289" s="2">
        <v>276</v>
      </c>
      <c r="B289" s="4">
        <f t="shared" si="74"/>
        <v>4.4691159779066769</v>
      </c>
      <c r="C289" s="2">
        <f t="shared" si="75"/>
        <v>-1.3714957599961905E-3</v>
      </c>
      <c r="D289" s="7">
        <f t="shared" si="76"/>
        <v>844.55827924321011</v>
      </c>
      <c r="E289" s="5">
        <f t="shared" si="77"/>
        <v>9.5697841649115295E-2</v>
      </c>
      <c r="F289" s="2">
        <f t="shared" si="78"/>
        <v>826.9523284577341</v>
      </c>
      <c r="G289" s="2">
        <f t="shared" si="79"/>
        <v>89746.955379135165</v>
      </c>
      <c r="H289" s="2">
        <f t="shared" si="80"/>
        <v>80.699097980679298</v>
      </c>
      <c r="I289" s="2">
        <f t="shared" si="81"/>
        <v>28913.93686302561</v>
      </c>
      <c r="J289" s="5">
        <f t="shared" si="82"/>
        <v>1.5668620799436337</v>
      </c>
      <c r="K289" s="6">
        <f t="shared" si="70"/>
        <v>3370.9817117831799</v>
      </c>
      <c r="M289">
        <f t="shared" si="71"/>
        <v>89.746955379135159</v>
      </c>
      <c r="N289">
        <f t="shared" si="72"/>
        <v>5.483082435005576</v>
      </c>
      <c r="O289">
        <f t="shared" si="73"/>
        <v>2891.393686302561</v>
      </c>
    </row>
    <row r="290" spans="1:15" x14ac:dyDescent="0.2">
      <c r="A290" s="2">
        <v>277</v>
      </c>
      <c r="B290" s="4">
        <f t="shared" si="74"/>
        <v>4.4782741116079388</v>
      </c>
      <c r="C290" s="2">
        <f t="shared" si="75"/>
        <v>-1.3592930476558085E-3</v>
      </c>
      <c r="D290" s="7">
        <f t="shared" si="76"/>
        <v>849.02739522111676</v>
      </c>
      <c r="E290" s="5">
        <f t="shared" si="77"/>
        <v>9.4326345889119104E-2</v>
      </c>
      <c r="F290" s="2">
        <f t="shared" si="78"/>
        <v>831.39935837499286</v>
      </c>
      <c r="G290" s="2">
        <f t="shared" si="79"/>
        <v>90578.354737510163</v>
      </c>
      <c r="H290" s="2">
        <f t="shared" si="80"/>
        <v>79.966944765254425</v>
      </c>
      <c r="I290" s="2">
        <f t="shared" si="81"/>
        <v>28993.903807790866</v>
      </c>
      <c r="J290" s="5">
        <f t="shared" si="82"/>
        <v>1.5667204238970895</v>
      </c>
      <c r="K290" s="6">
        <f t="shared" si="70"/>
        <v>3365.8765730577561</v>
      </c>
      <c r="M290">
        <f t="shared" si="71"/>
        <v>90.578354737510168</v>
      </c>
      <c r="N290">
        <f t="shared" si="72"/>
        <v>5.4045015163377075</v>
      </c>
      <c r="O290">
        <f t="shared" si="73"/>
        <v>2899.3903807790866</v>
      </c>
    </row>
    <row r="291" spans="1:15" x14ac:dyDescent="0.2">
      <c r="A291" s="2">
        <v>278</v>
      </c>
      <c r="B291" s="4">
        <f t="shared" si="74"/>
        <v>4.4874342630849791</v>
      </c>
      <c r="C291" s="2">
        <f t="shared" si="75"/>
        <v>-1.3471634011308965E-3</v>
      </c>
      <c r="D291" s="7">
        <f t="shared" si="76"/>
        <v>853.50566933272466</v>
      </c>
      <c r="E291" s="5">
        <f t="shared" si="77"/>
        <v>9.2967052841463296E-2</v>
      </c>
      <c r="F291" s="2">
        <f t="shared" si="78"/>
        <v>835.8539223856975</v>
      </c>
      <c r="G291" s="2">
        <f t="shared" si="79"/>
        <v>91414.208659895856</v>
      </c>
      <c r="H291" s="2">
        <f t="shared" si="80"/>
        <v>79.233657065880209</v>
      </c>
      <c r="I291" s="2">
        <f t="shared" si="81"/>
        <v>29073.137464856747</v>
      </c>
      <c r="J291" s="5">
        <f t="shared" si="82"/>
        <v>1.5665800857661005</v>
      </c>
      <c r="K291" s="6">
        <f t="shared" si="70"/>
        <v>3360.7714343323332</v>
      </c>
      <c r="M291">
        <f t="shared" si="71"/>
        <v>91.414208659895863</v>
      </c>
      <c r="N291">
        <f t="shared" si="72"/>
        <v>5.3266197615855546</v>
      </c>
      <c r="O291">
        <f t="shared" si="73"/>
        <v>2907.3137464856745</v>
      </c>
    </row>
    <row r="292" spans="1:15" x14ac:dyDescent="0.2">
      <c r="A292" s="2">
        <v>279</v>
      </c>
      <c r="B292" s="4">
        <f t="shared" si="74"/>
        <v>4.4965966425098269</v>
      </c>
      <c r="C292" s="2">
        <f t="shared" si="75"/>
        <v>-1.3351060062169889E-3</v>
      </c>
      <c r="D292" s="7">
        <f t="shared" si="76"/>
        <v>857.99310359580966</v>
      </c>
      <c r="E292" s="5">
        <f t="shared" si="77"/>
        <v>9.1619889440332405E-2</v>
      </c>
      <c r="F292" s="2">
        <f t="shared" si="78"/>
        <v>840.31603847293809</v>
      </c>
      <c r="G292" s="2">
        <f t="shared" si="79"/>
        <v>92254.524698368798</v>
      </c>
      <c r="H292" s="2">
        <f t="shared" si="80"/>
        <v>78.499302449320012</v>
      </c>
      <c r="I292" s="2">
        <f t="shared" si="81"/>
        <v>29151.636767306067</v>
      </c>
      <c r="J292" s="5">
        <f t="shared" si="82"/>
        <v>1.5664410669130788</v>
      </c>
      <c r="K292" s="6">
        <f t="shared" si="70"/>
        <v>3355.6662956069099</v>
      </c>
      <c r="M292">
        <f t="shared" si="71"/>
        <v>92.254524698368797</v>
      </c>
      <c r="N292">
        <f t="shared" si="72"/>
        <v>5.2494329843862646</v>
      </c>
      <c r="O292">
        <f t="shared" si="73"/>
        <v>2915.1636767306068</v>
      </c>
    </row>
    <row r="293" spans="1:15" x14ac:dyDescent="0.2">
      <c r="A293" s="2">
        <v>280</v>
      </c>
      <c r="B293" s="4">
        <f t="shared" si="74"/>
        <v>4.505761459592363</v>
      </c>
      <c r="C293" s="2">
        <f t="shared" si="75"/>
        <v>-1.3231200582189773E-3</v>
      </c>
      <c r="D293" s="7">
        <f t="shared" si="76"/>
        <v>862.48970023831953</v>
      </c>
      <c r="E293" s="5">
        <f t="shared" si="77"/>
        <v>9.0284783434115418E-2</v>
      </c>
      <c r="F293" s="2">
        <f t="shared" si="78"/>
        <v>844.78572489301996</v>
      </c>
      <c r="G293" s="2">
        <f t="shared" si="79"/>
        <v>93099.310423261821</v>
      </c>
      <c r="H293" s="2">
        <f t="shared" si="80"/>
        <v>77.763948486629474</v>
      </c>
      <c r="I293" s="2">
        <f t="shared" si="81"/>
        <v>29229.400715792697</v>
      </c>
      <c r="J293" s="5">
        <f t="shared" si="82"/>
        <v>1.5663033685848287</v>
      </c>
      <c r="K293" s="6">
        <f t="shared" si="70"/>
        <v>3350.5611568814866</v>
      </c>
      <c r="M293">
        <f t="shared" si="71"/>
        <v>93.099310423261826</v>
      </c>
      <c r="N293">
        <f t="shared" si="72"/>
        <v>5.1729370450274637</v>
      </c>
      <c r="O293">
        <f t="shared" si="73"/>
        <v>2922.9400715792699</v>
      </c>
    </row>
    <row r="294" spans="1:15" x14ac:dyDescent="0.2">
      <c r="A294" s="2">
        <v>281</v>
      </c>
      <c r="B294" s="4">
        <f t="shared" si="74"/>
        <v>4.514928923591353</v>
      </c>
      <c r="C294" s="2">
        <f t="shared" si="75"/>
        <v>-1.3112047618248875E-3</v>
      </c>
      <c r="D294" s="7">
        <f t="shared" si="76"/>
        <v>866.99546169791188</v>
      </c>
      <c r="E294" s="5">
        <f t="shared" si="77"/>
        <v>8.8961663375896435E-2</v>
      </c>
      <c r="F294" s="2">
        <f t="shared" si="78"/>
        <v>849.26300017179096</v>
      </c>
      <c r="G294" s="2">
        <f t="shared" si="79"/>
        <v>93948.573423433612</v>
      </c>
      <c r="H294" s="2">
        <f t="shared" si="80"/>
        <v>77.027662756076239</v>
      </c>
      <c r="I294" s="2">
        <f t="shared" si="81"/>
        <v>29306.428378548775</v>
      </c>
      <c r="J294" s="5">
        <f t="shared" si="82"/>
        <v>1.5661669919126335</v>
      </c>
      <c r="K294" s="6">
        <f t="shared" si="70"/>
        <v>3345.4560181560637</v>
      </c>
      <c r="M294">
        <f t="shared" si="71"/>
        <v>93.948573423433615</v>
      </c>
      <c r="N294">
        <f t="shared" si="72"/>
        <v>5.0971278499024129</v>
      </c>
      <c r="O294">
        <f t="shared" si="73"/>
        <v>2930.6428378548776</v>
      </c>
    </row>
    <row r="295" spans="1:15" x14ac:dyDescent="0.2">
      <c r="A295" s="2">
        <v>282</v>
      </c>
      <c r="B295" s="4">
        <f t="shared" si="74"/>
        <v>4.5240992433255709</v>
      </c>
      <c r="C295" s="2">
        <f t="shared" si="75"/>
        <v>-1.2993593309813104E-3</v>
      </c>
      <c r="D295" s="7">
        <f t="shared" si="76"/>
        <v>871.51039062150323</v>
      </c>
      <c r="E295" s="5">
        <f t="shared" si="77"/>
        <v>8.7650458614071544E-2</v>
      </c>
      <c r="F295" s="2">
        <f t="shared" si="78"/>
        <v>853.74788310101144</v>
      </c>
      <c r="G295" s="2">
        <f t="shared" si="79"/>
        <v>94802.321306534621</v>
      </c>
      <c r="H295" s="2">
        <f t="shared" si="80"/>
        <v>76.290512846061375</v>
      </c>
      <c r="I295" s="2">
        <f t="shared" si="81"/>
        <v>29382.718891394838</v>
      </c>
      <c r="J295" s="5">
        <f t="shared" si="82"/>
        <v>1.5660319379123324</v>
      </c>
      <c r="K295" s="6">
        <f t="shared" si="70"/>
        <v>3340.3508794306399</v>
      </c>
      <c r="M295">
        <f t="shared" si="71"/>
        <v>94.802321306534623</v>
      </c>
      <c r="N295">
        <f t="shared" si="72"/>
        <v>5.0220013509723902</v>
      </c>
      <c r="O295">
        <f t="shared" si="73"/>
        <v>2938.2718891394838</v>
      </c>
    </row>
    <row r="296" spans="1:15" x14ac:dyDescent="0.2">
      <c r="A296" s="2">
        <v>283</v>
      </c>
      <c r="B296" s="4">
        <f t="shared" si="74"/>
        <v>4.5332726271849655</v>
      </c>
      <c r="C296" s="2">
        <f t="shared" si="75"/>
        <v>-1.2875829887704765E-3</v>
      </c>
      <c r="D296" s="7">
        <f t="shared" si="76"/>
        <v>876.03448986482886</v>
      </c>
      <c r="E296" s="5">
        <f t="shared" si="77"/>
        <v>8.6351099283090232E-2</v>
      </c>
      <c r="F296" s="2">
        <f t="shared" si="78"/>
        <v>858.24039273476262</v>
      </c>
      <c r="G296" s="2">
        <f t="shared" si="79"/>
        <v>95660.561699269383</v>
      </c>
      <c r="H296" s="2">
        <f t="shared" si="80"/>
        <v>75.552566358042938</v>
      </c>
      <c r="I296" s="2">
        <f t="shared" si="81"/>
        <v>29458.271457752882</v>
      </c>
      <c r="J296" s="5">
        <f t="shared" si="82"/>
        <v>1.5658982074843892</v>
      </c>
      <c r="K296" s="6">
        <f t="shared" si="70"/>
        <v>3335.245740705217</v>
      </c>
      <c r="M296">
        <f t="shared" si="71"/>
        <v>95.66056169926938</v>
      </c>
      <c r="N296">
        <f t="shared" si="72"/>
        <v>4.9475535452362189</v>
      </c>
      <c r="O296">
        <f t="shared" si="73"/>
        <v>2945.827145775288</v>
      </c>
    </row>
    <row r="297" spans="1:15" x14ac:dyDescent="0.2">
      <c r="A297" s="2">
        <v>284</v>
      </c>
      <c r="B297" s="4">
        <f t="shared" si="74"/>
        <v>4.5424492831419148</v>
      </c>
      <c r="C297" s="2">
        <f t="shared" si="75"/>
        <v>-1.2758749672889648E-3</v>
      </c>
      <c r="D297" s="7">
        <f t="shared" si="76"/>
        <v>880.5677624920138</v>
      </c>
      <c r="E297" s="5">
        <f t="shared" si="77"/>
        <v>8.5063516294319755E-2</v>
      </c>
      <c r="F297" s="2">
        <f t="shared" si="78"/>
        <v>862.74054838589643</v>
      </c>
      <c r="G297" s="2">
        <f t="shared" si="79"/>
        <v>96523.302247655272</v>
      </c>
      <c r="H297" s="2">
        <f t="shared" si="80"/>
        <v>74.813890909461051</v>
      </c>
      <c r="I297" s="2">
        <f t="shared" si="81"/>
        <v>29533.085348662342</v>
      </c>
      <c r="J297" s="5">
        <f t="shared" si="82"/>
        <v>1.5657658014139579</v>
      </c>
      <c r="K297" s="6">
        <f t="shared" si="70"/>
        <v>3330.1406019797932</v>
      </c>
      <c r="M297">
        <f t="shared" si="71"/>
        <v>96.523302247655266</v>
      </c>
      <c r="N297">
        <f t="shared" si="72"/>
        <v>4.8737804742068302</v>
      </c>
      <c r="O297">
        <f t="shared" si="73"/>
        <v>2953.3085348662344</v>
      </c>
    </row>
    <row r="298" spans="1:15" x14ac:dyDescent="0.2">
      <c r="A298" s="2">
        <v>285</v>
      </c>
      <c r="B298" s="4">
        <f t="shared" si="74"/>
        <v>4.551629418762535</v>
      </c>
      <c r="C298" s="2">
        <f t="shared" si="75"/>
        <v>-1.2642345075280111E-3</v>
      </c>
      <c r="D298" s="7">
        <f t="shared" si="76"/>
        <v>885.11021177515568</v>
      </c>
      <c r="E298" s="5">
        <f t="shared" si="77"/>
        <v>8.3787641327030787E-2</v>
      </c>
      <c r="F298" s="2">
        <f t="shared" si="78"/>
        <v>867.24836962252175</v>
      </c>
      <c r="G298" s="2">
        <f t="shared" si="79"/>
        <v>97390.550617277797</v>
      </c>
      <c r="H298" s="2">
        <f t="shared" si="80"/>
        <v>74.074554136664759</v>
      </c>
      <c r="I298" s="2">
        <f t="shared" si="81"/>
        <v>29607.159902799005</v>
      </c>
      <c r="J298" s="5">
        <f t="shared" si="82"/>
        <v>1.5656347203709369</v>
      </c>
      <c r="K298" s="6">
        <f t="shared" si="70"/>
        <v>3325.0354632543704</v>
      </c>
      <c r="M298">
        <f t="shared" si="71"/>
        <v>97.390550617277796</v>
      </c>
      <c r="N298">
        <f t="shared" si="72"/>
        <v>4.8006782233947805</v>
      </c>
      <c r="O298">
        <f t="shared" si="73"/>
        <v>2960.7159902799003</v>
      </c>
    </row>
    <row r="299" spans="1:15" x14ac:dyDescent="0.2">
      <c r="A299" s="2">
        <v>286</v>
      </c>
      <c r="B299" s="4">
        <f t="shared" si="74"/>
        <v>4.5608132412180566</v>
      </c>
      <c r="C299" s="2">
        <f t="shared" si="75"/>
        <v>-1.2526608592554173E-3</v>
      </c>
      <c r="D299" s="7">
        <f t="shared" si="76"/>
        <v>889.66184119391824</v>
      </c>
      <c r="E299" s="5">
        <f t="shared" si="77"/>
        <v>8.2523406819502779E-2</v>
      </c>
      <c r="F299" s="2">
        <f t="shared" si="78"/>
        <v>871.76387626453004</v>
      </c>
      <c r="G299" s="2">
        <f t="shared" si="79"/>
        <v>98262.314493542333</v>
      </c>
      <c r="H299" s="2">
        <f t="shared" si="80"/>
        <v>73.334623697840527</v>
      </c>
      <c r="I299" s="2">
        <f t="shared" si="81"/>
        <v>29680.494526496845</v>
      </c>
      <c r="J299" s="5">
        <f t="shared" si="82"/>
        <v>1.5655049649100157</v>
      </c>
      <c r="K299" s="6">
        <f t="shared" si="70"/>
        <v>3319.930324528947</v>
      </c>
      <c r="M299">
        <f t="shared" si="71"/>
        <v>98.262314493542334</v>
      </c>
      <c r="N299">
        <f t="shared" si="72"/>
        <v>4.7282429217986257</v>
      </c>
      <c r="O299">
        <f t="shared" si="73"/>
        <v>2968.0494526496846</v>
      </c>
    </row>
    <row r="300" spans="1:15" x14ac:dyDescent="0.2">
      <c r="A300" s="2">
        <v>287</v>
      </c>
      <c r="B300" s="4">
        <f t="shared" si="74"/>
        <v>4.5700009572962497</v>
      </c>
      <c r="C300" s="2">
        <f t="shared" si="75"/>
        <v>-1.2411532808990374E-3</v>
      </c>
      <c r="D300" s="7">
        <f t="shared" si="76"/>
        <v>894.22265443513629</v>
      </c>
      <c r="E300" s="5">
        <f t="shared" si="77"/>
        <v>8.1270745960247359E-2</v>
      </c>
      <c r="F300" s="2">
        <f t="shared" si="78"/>
        <v>876.28708838015689</v>
      </c>
      <c r="G300" s="2">
        <f t="shared" si="79"/>
        <v>99138.601581922485</v>
      </c>
      <c r="H300" s="2">
        <f t="shared" si="80"/>
        <v>72.594167275942183</v>
      </c>
      <c r="I300" s="2">
        <f t="shared" si="81"/>
        <v>29753.088693772788</v>
      </c>
      <c r="J300" s="5">
        <f t="shared" si="82"/>
        <v>1.5653765354707168</v>
      </c>
      <c r="K300" s="6">
        <f t="shared" si="70"/>
        <v>3314.8251858035237</v>
      </c>
      <c r="M300">
        <f t="shared" si="71"/>
        <v>99.138601581922487</v>
      </c>
      <c r="N300">
        <f t="shared" si="72"/>
        <v>4.6564707414020585</v>
      </c>
      <c r="O300">
        <f t="shared" si="73"/>
        <v>2975.3088693772788</v>
      </c>
    </row>
    <row r="301" spans="1:15" x14ac:dyDescent="0.2">
      <c r="A301" s="2">
        <v>288</v>
      </c>
      <c r="B301" s="4">
        <f t="shared" si="74"/>
        <v>4.579192773412915</v>
      </c>
      <c r="C301" s="2">
        <f t="shared" si="75"/>
        <v>-1.2297110394318238E-3</v>
      </c>
      <c r="D301" s="7">
        <f t="shared" si="76"/>
        <v>898.79265539243249</v>
      </c>
      <c r="E301" s="5">
        <f t="shared" si="77"/>
        <v>8.0029592679348324E-2</v>
      </c>
      <c r="F301" s="2">
        <f t="shared" si="78"/>
        <v>880.8180262825789</v>
      </c>
      <c r="G301" s="2">
        <f t="shared" si="79"/>
        <v>100019.41960820506</v>
      </c>
      <c r="H301" s="2">
        <f t="shared" si="80"/>
        <v>71.853252581622399</v>
      </c>
      <c r="I301" s="2">
        <f t="shared" si="81"/>
        <v>29824.941946354411</v>
      </c>
      <c r="J301" s="5">
        <f t="shared" si="82"/>
        <v>1.5652494323774293</v>
      </c>
      <c r="K301" s="6">
        <f t="shared" si="70"/>
        <v>3309.7200470781008</v>
      </c>
      <c r="M301">
        <f t="shared" si="71"/>
        <v>100.01941960820506</v>
      </c>
      <c r="N301">
        <f t="shared" si="72"/>
        <v>4.5853578966777286</v>
      </c>
      <c r="O301">
        <f t="shared" si="73"/>
        <v>2982.4941946354411</v>
      </c>
    </row>
    <row r="302" spans="1:15" x14ac:dyDescent="0.2">
      <c r="A302" s="2">
        <v>289</v>
      </c>
      <c r="B302" s="4">
        <f t="shared" si="74"/>
        <v>4.5883888956234324</v>
      </c>
      <c r="C302" s="2">
        <f t="shared" si="75"/>
        <v>-1.2183334102584165E-3</v>
      </c>
      <c r="D302" s="7">
        <f t="shared" si="76"/>
        <v>903.37184816584545</v>
      </c>
      <c r="E302" s="5">
        <f t="shared" si="77"/>
        <v>7.8799881639916497E-2</v>
      </c>
      <c r="F302" s="2">
        <f t="shared" si="78"/>
        <v>885.35671052654743</v>
      </c>
      <c r="G302" s="2">
        <f t="shared" si="79"/>
        <v>100904.77631873162</v>
      </c>
      <c r="H302" s="2">
        <f t="shared" si="80"/>
        <v>71.111947356165544</v>
      </c>
      <c r="I302" s="2">
        <f t="shared" si="81"/>
        <v>29896.053893710578</v>
      </c>
      <c r="J302" s="5">
        <f t="shared" si="82"/>
        <v>1.5651236558394328</v>
      </c>
      <c r="K302" s="6">
        <f t="shared" si="70"/>
        <v>3304.614908352677</v>
      </c>
      <c r="M302">
        <f t="shared" si="71"/>
        <v>100.90477631873162</v>
      </c>
      <c r="N302">
        <f t="shared" si="72"/>
        <v>4.5149006440976391</v>
      </c>
      <c r="O302">
        <f t="shared" si="73"/>
        <v>2989.6053893710578</v>
      </c>
    </row>
    <row r="303" spans="1:15" x14ac:dyDescent="0.2">
      <c r="A303" s="2">
        <v>290</v>
      </c>
      <c r="B303" s="4">
        <f t="shared" si="74"/>
        <v>4.5975895296343454</v>
      </c>
      <c r="C303" s="2">
        <f t="shared" si="75"/>
        <v>-1.207019677103264E-3</v>
      </c>
      <c r="D303" s="7">
        <f t="shared" si="76"/>
        <v>907.96023706146889</v>
      </c>
      <c r="E303" s="5">
        <f t="shared" si="77"/>
        <v>7.7581548229658084E-2</v>
      </c>
      <c r="F303" s="2">
        <f t="shared" si="78"/>
        <v>889.90316190505416</v>
      </c>
      <c r="G303" s="2">
        <f t="shared" si="79"/>
        <v>101794.67948063667</v>
      </c>
      <c r="H303" s="2">
        <f t="shared" si="80"/>
        <v>70.37031937442201</v>
      </c>
      <c r="I303" s="2">
        <f t="shared" si="81"/>
        <v>29966.424213085</v>
      </c>
      <c r="J303" s="5">
        <f t="shared" si="82"/>
        <v>1.5649992059509183</v>
      </c>
      <c r="K303" s="6">
        <f t="shared" si="70"/>
        <v>3299.5097696272542</v>
      </c>
      <c r="M303">
        <f t="shared" si="71"/>
        <v>101.79467948063667</v>
      </c>
      <c r="N303">
        <f t="shared" si="72"/>
        <v>4.445095281650052</v>
      </c>
      <c r="O303">
        <f t="shared" si="73"/>
        <v>2996.6424213085002</v>
      </c>
    </row>
    <row r="304" spans="1:15" x14ac:dyDescent="0.2">
      <c r="A304" s="2">
        <v>291</v>
      </c>
      <c r="B304" s="4">
        <f t="shared" si="74"/>
        <v>4.6067948808150225</v>
      </c>
      <c r="C304" s="2">
        <f t="shared" si="75"/>
        <v>-1.1957691319002504E-3</v>
      </c>
      <c r="D304" s="7">
        <f t="shared" si="76"/>
        <v>912.55782659110321</v>
      </c>
      <c r="E304" s="5">
        <f t="shared" si="77"/>
        <v>7.6374528552554818E-2</v>
      </c>
      <c r="F304" s="2">
        <f t="shared" si="78"/>
        <v>894.45740144603246</v>
      </c>
      <c r="G304" s="2">
        <f t="shared" si="79"/>
        <v>102689.1368820827</v>
      </c>
      <c r="H304" s="2">
        <f t="shared" si="80"/>
        <v>69.628436447743653</v>
      </c>
      <c r="I304" s="2">
        <f t="shared" si="81"/>
        <v>30036.052649532743</v>
      </c>
      <c r="J304" s="5">
        <f t="shared" si="82"/>
        <v>1.5648760826909971</v>
      </c>
      <c r="K304" s="6">
        <f t="shared" si="70"/>
        <v>3294.4046309018308</v>
      </c>
      <c r="M304">
        <f t="shared" si="71"/>
        <v>102.68913688208271</v>
      </c>
      <c r="N304">
        <f t="shared" si="72"/>
        <v>4.375938148362791</v>
      </c>
      <c r="O304">
        <f t="shared" si="73"/>
        <v>3003.6052649532744</v>
      </c>
    </row>
    <row r="305" spans="1:15" x14ac:dyDescent="0.2">
      <c r="A305" s="2">
        <v>292</v>
      </c>
      <c r="B305" s="4">
        <f t="shared" si="74"/>
        <v>4.6160051542093381</v>
      </c>
      <c r="C305" s="2">
        <f t="shared" si="75"/>
        <v>-1.1845810746838185E-3</v>
      </c>
      <c r="D305" s="7">
        <f t="shared" si="76"/>
        <v>917.16462147191828</v>
      </c>
      <c r="E305" s="5">
        <f t="shared" si="77"/>
        <v>7.5178759420654565E-2</v>
      </c>
      <c r="F305" s="2">
        <f t="shared" si="78"/>
        <v>899.0194504090889</v>
      </c>
      <c r="G305" s="2">
        <f t="shared" si="79"/>
        <v>103588.1563324918</v>
      </c>
      <c r="H305" s="2">
        <f t="shared" si="80"/>
        <v>68.886366426920787</v>
      </c>
      <c r="I305" s="2">
        <f t="shared" si="81"/>
        <v>30104.939015959662</v>
      </c>
      <c r="J305" s="5">
        <f t="shared" si="82"/>
        <v>1.5647542859237049</v>
      </c>
      <c r="K305" s="6">
        <f t="shared" si="70"/>
        <v>3289.2994921764075</v>
      </c>
      <c r="M305">
        <f t="shared" si="71"/>
        <v>103.58815633249179</v>
      </c>
      <c r="N305">
        <f t="shared" si="72"/>
        <v>4.3074256238328843</v>
      </c>
      <c r="O305">
        <f t="shared" si="73"/>
        <v>3010.4939015959662</v>
      </c>
    </row>
    <row r="306" spans="1:15" x14ac:dyDescent="0.2">
      <c r="A306" s="2">
        <v>293</v>
      </c>
      <c r="B306" s="4">
        <f t="shared" si="74"/>
        <v>4.6252205545474245</v>
      </c>
      <c r="C306" s="2">
        <f t="shared" si="75"/>
        <v>-1.1734548134815703E-3</v>
      </c>
      <c r="D306" s="7">
        <f t="shared" si="76"/>
        <v>921.78062662612763</v>
      </c>
      <c r="E306" s="5">
        <f t="shared" si="77"/>
        <v>7.3994178345970746E-2</v>
      </c>
      <c r="F306" s="2">
        <f t="shared" si="78"/>
        <v>903.58933028226897</v>
      </c>
      <c r="G306" s="2">
        <f t="shared" si="79"/>
        <v>104491.74566277406</v>
      </c>
      <c r="H306" s="2">
        <f t="shared" si="80"/>
        <v>68.144177205120272</v>
      </c>
      <c r="I306" s="2">
        <f t="shared" si="81"/>
        <v>30173.083193164781</v>
      </c>
      <c r="J306" s="5">
        <f t="shared" si="82"/>
        <v>1.5646338153979988</v>
      </c>
      <c r="K306" s="6">
        <f t="shared" si="70"/>
        <v>3284.1943534509842</v>
      </c>
      <c r="M306">
        <f t="shared" si="71"/>
        <v>104.49174566277406</v>
      </c>
      <c r="N306">
        <f t="shared" si="72"/>
        <v>4.23955412776243</v>
      </c>
      <c r="O306">
        <f t="shared" si="73"/>
        <v>3017.308319316478</v>
      </c>
    </row>
    <row r="307" spans="1:15" x14ac:dyDescent="0.2">
      <c r="A307" s="2">
        <v>294</v>
      </c>
      <c r="B307" s="4">
        <f t="shared" si="74"/>
        <v>4.6344412862574575</v>
      </c>
      <c r="C307" s="2">
        <f t="shared" si="75"/>
        <v>-1.1623896642083272E-3</v>
      </c>
      <c r="D307" s="7">
        <f t="shared" si="76"/>
        <v>926.4058471806751</v>
      </c>
      <c r="E307" s="5">
        <f t="shared" si="77"/>
        <v>7.2820723532489182E-2</v>
      </c>
      <c r="F307" s="2">
        <f t="shared" si="78"/>
        <v>908.16706277885214</v>
      </c>
      <c r="G307" s="2">
        <f t="shared" si="79"/>
        <v>105399.91272555292</v>
      </c>
      <c r="H307" s="2">
        <f t="shared" si="80"/>
        <v>67.401936720824878</v>
      </c>
      <c r="I307" s="2">
        <f t="shared" si="81"/>
        <v>30240.485129885605</v>
      </c>
      <c r="J307" s="5">
        <f t="shared" si="82"/>
        <v>1.5645146707477442</v>
      </c>
      <c r="K307" s="6">
        <f t="shared" si="70"/>
        <v>3279.0892147255609</v>
      </c>
      <c r="M307">
        <f t="shared" si="71"/>
        <v>105.39991272555292</v>
      </c>
      <c r="N307">
        <f t="shared" si="72"/>
        <v>4.1723201195006254</v>
      </c>
      <c r="O307">
        <f t="shared" si="73"/>
        <v>3024.0485129885606</v>
      </c>
    </row>
    <row r="308" spans="1:15" x14ac:dyDescent="0.2">
      <c r="A308" s="2">
        <v>295</v>
      </c>
      <c r="B308" s="4">
        <f t="shared" si="74"/>
        <v>4.6436675534774894</v>
      </c>
      <c r="C308" s="2">
        <f t="shared" si="75"/>
        <v>-1.1513849505616375E-3</v>
      </c>
      <c r="D308" s="7">
        <f t="shared" si="76"/>
        <v>931.04028846693257</v>
      </c>
      <c r="E308" s="5">
        <f t="shared" si="77"/>
        <v>7.1658333868280855E-2</v>
      </c>
      <c r="F308" s="2">
        <f t="shared" si="78"/>
        <v>912.75266983417816</v>
      </c>
      <c r="G308" s="2">
        <f t="shared" si="79"/>
        <v>106312.6653953871</v>
      </c>
      <c r="H308" s="2">
        <f t="shared" si="80"/>
        <v>66.659712960773902</v>
      </c>
      <c r="I308" s="2">
        <f t="shared" si="81"/>
        <v>30307.144842846377</v>
      </c>
      <c r="J308" s="5">
        <f t="shared" si="82"/>
        <v>1.564396851491699</v>
      </c>
      <c r="K308" s="6">
        <f t="shared" si="70"/>
        <v>3273.984076000138</v>
      </c>
      <c r="M308">
        <f t="shared" si="71"/>
        <v>106.3126653953871</v>
      </c>
      <c r="N308">
        <f t="shared" si="72"/>
        <v>4.1057200975918597</v>
      </c>
      <c r="O308">
        <f t="shared" si="73"/>
        <v>3030.7144842846378</v>
      </c>
    </row>
    <row r="309" spans="1:15" x14ac:dyDescent="0.2">
      <c r="A309" s="2">
        <v>296</v>
      </c>
      <c r="B309" s="4">
        <f t="shared" si="74"/>
        <v>4.652899560067322</v>
      </c>
      <c r="C309" s="2">
        <f t="shared" si="75"/>
        <v>-1.1404400039187021E-3</v>
      </c>
      <c r="D309" s="7">
        <f t="shared" si="76"/>
        <v>935.68395602041005</v>
      </c>
      <c r="E309" s="5">
        <f t="shared" si="77"/>
        <v>7.050694891771922E-2</v>
      </c>
      <c r="F309" s="2">
        <f t="shared" si="78"/>
        <v>917.34617360250093</v>
      </c>
      <c r="G309" s="2">
        <f t="shared" si="79"/>
        <v>107230.0115689896</v>
      </c>
      <c r="H309" s="2">
        <f t="shared" si="80"/>
        <v>65.917573962904981</v>
      </c>
      <c r="I309" s="2">
        <f t="shared" si="81"/>
        <v>30373.062416809284</v>
      </c>
      <c r="J309" s="5">
        <f t="shared" si="82"/>
        <v>1.5642803570334849</v>
      </c>
      <c r="K309" s="6">
        <f t="shared" si="70"/>
        <v>3268.8789372747142</v>
      </c>
      <c r="M309">
        <f t="shared" si="71"/>
        <v>107.23001156898961</v>
      </c>
      <c r="N309">
        <f t="shared" si="72"/>
        <v>4.0397505993297989</v>
      </c>
      <c r="O309">
        <f t="shared" si="73"/>
        <v>3037.3062416809285</v>
      </c>
    </row>
    <row r="310" spans="1:15" x14ac:dyDescent="0.2">
      <c r="A310" s="2">
        <v>297</v>
      </c>
      <c r="B310" s="4">
        <f t="shared" si="74"/>
        <v>4.6621375096204236</v>
      </c>
      <c r="C310" s="2">
        <f t="shared" si="75"/>
        <v>-1.1295541632347192E-3</v>
      </c>
      <c r="D310" s="7">
        <f t="shared" si="76"/>
        <v>940.33685558047739</v>
      </c>
      <c r="E310" s="5">
        <f t="shared" si="77"/>
        <v>6.9366508913800515E-2</v>
      </c>
      <c r="F310" s="2">
        <f t="shared" si="78"/>
        <v>921.94759645387455</v>
      </c>
      <c r="G310" s="2">
        <f t="shared" si="79"/>
        <v>108151.95916544348</v>
      </c>
      <c r="H310" s="2">
        <f t="shared" si="80"/>
        <v>65.175587819297135</v>
      </c>
      <c r="I310" s="2">
        <f t="shared" si="81"/>
        <v>30438.23800462858</v>
      </c>
      <c r="J310" s="5">
        <f t="shared" si="82"/>
        <v>1.5641651866615547</v>
      </c>
      <c r="K310" s="6">
        <f t="shared" si="70"/>
        <v>3263.7737985492913</v>
      </c>
      <c r="M310">
        <f t="shared" si="71"/>
        <v>108.15195916544347</v>
      </c>
      <c r="N310">
        <f t="shared" si="72"/>
        <v>3.9744082003173737</v>
      </c>
      <c r="O310">
        <f t="shared" si="73"/>
        <v>3043.8238004628579</v>
      </c>
    </row>
    <row r="311" spans="1:15" x14ac:dyDescent="0.2">
      <c r="A311" s="2">
        <v>298</v>
      </c>
      <c r="B311" s="4">
        <f t="shared" si="74"/>
        <v>4.6713816054758901</v>
      </c>
      <c r="C311" s="2">
        <f t="shared" si="75"/>
        <v>-1.1187267749426218E-3</v>
      </c>
      <c r="D311" s="7">
        <f t="shared" si="76"/>
        <v>944.99899309009777</v>
      </c>
      <c r="E311" s="5">
        <f t="shared" si="77"/>
        <v>6.8236954750565793E-2</v>
      </c>
      <c r="F311" s="2">
        <f t="shared" si="78"/>
        <v>926.55696097106386</v>
      </c>
      <c r="G311" s="2">
        <f t="shared" si="79"/>
        <v>109078.51612641454</v>
      </c>
      <c r="H311" s="2">
        <f t="shared" si="80"/>
        <v>64.433822679114925</v>
      </c>
      <c r="I311" s="2">
        <f t="shared" si="81"/>
        <v>30502.671827307695</v>
      </c>
      <c r="J311" s="5">
        <f t="shared" si="82"/>
        <v>1.5640513395491533</v>
      </c>
      <c r="K311" s="6">
        <f t="shared" si="70"/>
        <v>3258.668659823868</v>
      </c>
      <c r="M311">
        <f t="shared" si="71"/>
        <v>109.07851612641454</v>
      </c>
      <c r="N311">
        <f t="shared" si="72"/>
        <v>3.9096895140325931</v>
      </c>
      <c r="O311">
        <f t="shared" si="73"/>
        <v>3050.2671827307695</v>
      </c>
    </row>
    <row r="312" spans="1:15" x14ac:dyDescent="0.2">
      <c r="A312" s="2">
        <v>299</v>
      </c>
      <c r="B312" s="4">
        <f t="shared" si="74"/>
        <v>4.680632050730436</v>
      </c>
      <c r="C312" s="2">
        <f t="shared" si="75"/>
        <v>-1.1079571928541824E-3</v>
      </c>
      <c r="D312" s="7">
        <f t="shared" si="76"/>
        <v>949.67037469557363</v>
      </c>
      <c r="E312" s="5">
        <f t="shared" si="77"/>
        <v>6.7118227975623168E-2</v>
      </c>
      <c r="F312" s="2">
        <f t="shared" si="78"/>
        <v>931.1742899464839</v>
      </c>
      <c r="G312" s="2">
        <f t="shared" si="79"/>
        <v>110009.69041636103</v>
      </c>
      <c r="H312" s="2">
        <f t="shared" si="80"/>
        <v>63.69234675155397</v>
      </c>
      <c r="I312" s="2">
        <f t="shared" si="81"/>
        <v>30566.36417405925</v>
      </c>
      <c r="J312" s="5">
        <f t="shared" si="82"/>
        <v>1.5639388147542654</v>
      </c>
      <c r="K312" s="6">
        <f t="shared" si="70"/>
        <v>3253.5635210984447</v>
      </c>
      <c r="M312">
        <f t="shared" si="71"/>
        <v>110.00969041636102</v>
      </c>
      <c r="N312">
        <f t="shared" si="72"/>
        <v>3.8455911914000986</v>
      </c>
      <c r="O312">
        <f t="shared" si="73"/>
        <v>3056.6364174059249</v>
      </c>
    </row>
    <row r="313" spans="1:15" x14ac:dyDescent="0.2">
      <c r="A313" s="2">
        <v>300</v>
      </c>
      <c r="B313" s="4">
        <f t="shared" si="74"/>
        <v>4.6898890482504285</v>
      </c>
      <c r="C313" s="2">
        <f t="shared" si="75"/>
        <v>-1.0972447780624932E-3</v>
      </c>
      <c r="D313" s="7">
        <f t="shared" si="76"/>
        <v>954.35100674630405</v>
      </c>
      <c r="E313" s="5">
        <f t="shared" si="77"/>
        <v>6.6010270782768984E-2</v>
      </c>
      <c r="F313" s="2">
        <f t="shared" si="78"/>
        <v>935.79960637916565</v>
      </c>
      <c r="G313" s="2">
        <f t="shared" si="79"/>
        <v>110945.4900227402</v>
      </c>
      <c r="H313" s="2">
        <f t="shared" si="80"/>
        <v>62.951228308787492</v>
      </c>
      <c r="I313" s="2">
        <f t="shared" si="81"/>
        <v>30629.315402368036</v>
      </c>
      <c r="J313" s="5">
        <f t="shared" si="82"/>
        <v>1.5638276112195659</v>
      </c>
      <c r="K313" s="6">
        <f t="shared" si="70"/>
        <v>3248.4583823730213</v>
      </c>
      <c r="M313">
        <f t="shared" si="71"/>
        <v>110.9454900227402</v>
      </c>
      <c r="N313">
        <f t="shared" si="72"/>
        <v>3.7821099203683919</v>
      </c>
      <c r="O313">
        <f t="shared" si="73"/>
        <v>3062.9315402368038</v>
      </c>
    </row>
    <row r="314" spans="1:15" x14ac:dyDescent="0.2">
      <c r="A314" s="2">
        <v>301</v>
      </c>
      <c r="B314" s="4">
        <f t="shared" si="74"/>
        <v>4.6991528006839607</v>
      </c>
      <c r="C314" s="2">
        <f t="shared" si="75"/>
        <v>-1.0865888988457774E-3</v>
      </c>
      <c r="D314" s="7">
        <f t="shared" si="76"/>
        <v>959.04089579455444</v>
      </c>
      <c r="E314" s="5">
        <f t="shared" si="77"/>
        <v>6.4913026004706498E-2</v>
      </c>
      <c r="F314" s="2">
        <f t="shared" si="78"/>
        <v>940.43293347174767</v>
      </c>
      <c r="G314" s="2">
        <f t="shared" si="79"/>
        <v>111885.92295621194</v>
      </c>
      <c r="H314" s="2">
        <f t="shared" si="80"/>
        <v>62.210535688914256</v>
      </c>
      <c r="I314" s="2">
        <f t="shared" si="81"/>
        <v>30691.525938056951</v>
      </c>
      <c r="J314" s="5">
        <f t="shared" si="82"/>
        <v>1.5637177277723513</v>
      </c>
      <c r="K314" s="6">
        <f t="shared" si="70"/>
        <v>3243.353243647598</v>
      </c>
      <c r="M314">
        <f t="shared" si="71"/>
        <v>111.88592295621194</v>
      </c>
      <c r="N314">
        <f t="shared" si="72"/>
        <v>3.7192424254926428</v>
      </c>
      <c r="O314">
        <f t="shared" si="73"/>
        <v>3069.1525938056952</v>
      </c>
    </row>
    <row r="315" spans="1:15" x14ac:dyDescent="0.2">
      <c r="A315" s="2">
        <v>302</v>
      </c>
      <c r="B315" s="4">
        <f t="shared" si="74"/>
        <v>4.7084235104729588</v>
      </c>
      <c r="C315" s="2">
        <f t="shared" si="75"/>
        <v>-1.0759889305725337E-3</v>
      </c>
      <c r="D315" s="7">
        <f t="shared" si="76"/>
        <v>963.74004859523836</v>
      </c>
      <c r="E315" s="5">
        <f t="shared" si="77"/>
        <v>6.3826437105860723E-2</v>
      </c>
      <c r="F315" s="2">
        <f t="shared" si="78"/>
        <v>945.07429462749178</v>
      </c>
      <c r="G315" s="2">
        <f t="shared" si="79"/>
        <v>112830.99725083944</v>
      </c>
      <c r="H315" s="2">
        <f t="shared" si="80"/>
        <v>61.470337298907616</v>
      </c>
      <c r="I315" s="2">
        <f t="shared" si="81"/>
        <v>30752.996275355858</v>
      </c>
      <c r="J315" s="5">
        <f t="shared" si="82"/>
        <v>1.563609163124472</v>
      </c>
      <c r="K315" s="6">
        <f t="shared" si="70"/>
        <v>3238.2481049221751</v>
      </c>
      <c r="M315">
        <f t="shared" si="71"/>
        <v>112.83099725083945</v>
      </c>
      <c r="N315">
        <f t="shared" si="72"/>
        <v>3.6569854675230125</v>
      </c>
      <c r="O315">
        <f t="shared" si="73"/>
        <v>3075.2996275355858</v>
      </c>
    </row>
    <row r="316" spans="1:15" x14ac:dyDescent="0.2">
      <c r="A316" s="2">
        <v>303</v>
      </c>
      <c r="B316" s="4">
        <f t="shared" si="74"/>
        <v>4.7177013798653222</v>
      </c>
      <c r="C316" s="2">
        <f t="shared" si="75"/>
        <v>-1.0654442556079912E-3</v>
      </c>
      <c r="D316" s="7">
        <f t="shared" si="76"/>
        <v>968.44847210571129</v>
      </c>
      <c r="E316" s="5">
        <f t="shared" si="77"/>
        <v>6.2750448175288187E-2</v>
      </c>
      <c r="F316" s="2">
        <f t="shared" si="78"/>
        <v>949.72371344732517</v>
      </c>
      <c r="G316" s="2">
        <f t="shared" si="79"/>
        <v>113780.72096428677</v>
      </c>
      <c r="H316" s="2">
        <f t="shared" si="80"/>
        <v>60.73070161756592</v>
      </c>
      <c r="I316" s="2">
        <f t="shared" si="81"/>
        <v>30813.726976973423</v>
      </c>
      <c r="J316" s="5">
        <f t="shared" si="82"/>
        <v>1.5635019158722541</v>
      </c>
      <c r="K316" s="6">
        <f t="shared" si="70"/>
        <v>3233.1429661967513</v>
      </c>
      <c r="M316">
        <f t="shared" si="71"/>
        <v>113.78072096428677</v>
      </c>
      <c r="N316">
        <f t="shared" si="72"/>
        <v>3.595335842998411</v>
      </c>
      <c r="O316">
        <f t="shared" si="73"/>
        <v>3081.3726976973421</v>
      </c>
    </row>
    <row r="317" spans="1:15" x14ac:dyDescent="0.2">
      <c r="A317" s="2">
        <v>304</v>
      </c>
      <c r="B317" s="4">
        <f t="shared" si="74"/>
        <v>4.726986610927101</v>
      </c>
      <c r="C317" s="2">
        <f t="shared" si="75"/>
        <v>-1.0549542632218598E-3</v>
      </c>
      <c r="D317" s="7">
        <f t="shared" si="76"/>
        <v>973.16617348557656</v>
      </c>
      <c r="E317" s="5">
        <f t="shared" si="77"/>
        <v>6.1685003919680195E-2</v>
      </c>
      <c r="F317" s="2">
        <f t="shared" si="78"/>
        <v>954.38121372690398</v>
      </c>
      <c r="G317" s="2">
        <f t="shared" si="79"/>
        <v>114735.10217801367</v>
      </c>
      <c r="H317" s="2">
        <f t="shared" si="80"/>
        <v>59.991697198464173</v>
      </c>
      <c r="I317" s="2">
        <f t="shared" si="81"/>
        <v>30873.718674171887</v>
      </c>
      <c r="J317" s="5">
        <f t="shared" si="82"/>
        <v>1.5633959844964147</v>
      </c>
      <c r="K317" s="6">
        <f t="shared" si="70"/>
        <v>3228.0378274713285</v>
      </c>
      <c r="M317">
        <f t="shared" si="71"/>
        <v>114.73510217801366</v>
      </c>
      <c r="N317">
        <f t="shared" si="72"/>
        <v>3.5342903838456157</v>
      </c>
      <c r="O317">
        <f t="shared" si="73"/>
        <v>3087.3718674171887</v>
      </c>
    </row>
    <row r="318" spans="1:15" x14ac:dyDescent="0.2">
      <c r="A318" s="2">
        <v>305</v>
      </c>
      <c r="B318" s="4">
        <f t="shared" si="74"/>
        <v>4.7362794055547131</v>
      </c>
      <c r="C318" s="2">
        <f t="shared" si="75"/>
        <v>-1.0445183494973557E-3</v>
      </c>
      <c r="D318" s="7">
        <f t="shared" si="76"/>
        <v>977.89316009650372</v>
      </c>
      <c r="E318" s="5">
        <f t="shared" si="77"/>
        <v>6.0630049656458337E-2</v>
      </c>
      <c r="F318" s="2">
        <f t="shared" si="78"/>
        <v>959.046819453701</v>
      </c>
      <c r="G318" s="2">
        <f t="shared" si="79"/>
        <v>115694.14899746736</v>
      </c>
      <c r="H318" s="2">
        <f t="shared" si="80"/>
        <v>59.253392672906941</v>
      </c>
      <c r="I318" s="2">
        <f t="shared" si="81"/>
        <v>30932.972066844795</v>
      </c>
      <c r="J318" s="5">
        <f t="shared" si="82"/>
        <v>1.5632913673619682</v>
      </c>
      <c r="K318" s="6">
        <f t="shared" si="70"/>
        <v>3222.9326887459051</v>
      </c>
      <c r="M318">
        <f t="shared" si="71"/>
        <v>115.69414899746737</v>
      </c>
      <c r="N318">
        <f t="shared" si="72"/>
        <v>3.4738459569836695</v>
      </c>
      <c r="O318">
        <f t="shared" si="73"/>
        <v>3093.2972066844795</v>
      </c>
    </row>
    <row r="319" spans="1:15" x14ac:dyDescent="0.2">
      <c r="A319" s="2">
        <v>306</v>
      </c>
      <c r="B319" s="4">
        <f t="shared" si="74"/>
        <v>4.7455799654871802</v>
      </c>
      <c r="C319" s="2">
        <f t="shared" si="75"/>
        <v>-1.0341359172414992E-3</v>
      </c>
      <c r="D319" s="7">
        <f t="shared" si="76"/>
        <v>982.6294395020584</v>
      </c>
      <c r="E319" s="5">
        <f t="shared" si="77"/>
        <v>5.9585531306960982E-2</v>
      </c>
      <c r="F319" s="2">
        <f t="shared" si="78"/>
        <v>963.72055480411552</v>
      </c>
      <c r="G319" s="2">
        <f t="shared" si="79"/>
        <v>116657.86955227147</v>
      </c>
      <c r="H319" s="2">
        <f t="shared" si="80"/>
        <v>58.515856752882691</v>
      </c>
      <c r="I319" s="2">
        <f t="shared" si="81"/>
        <v>30991.487923597677</v>
      </c>
      <c r="J319" s="5">
        <f t="shared" si="82"/>
        <v>1.5631880627181298</v>
      </c>
      <c r="K319" s="6">
        <f t="shared" si="70"/>
        <v>3217.8275500204818</v>
      </c>
      <c r="M319">
        <f t="shared" si="71"/>
        <v>116.65786955227146</v>
      </c>
      <c r="N319">
        <f t="shared" si="72"/>
        <v>3.4139994639335001</v>
      </c>
      <c r="O319">
        <f t="shared" si="73"/>
        <v>3099.1487923597679</v>
      </c>
    </row>
    <row r="320" spans="1:15" x14ac:dyDescent="0.2">
      <c r="A320" s="2">
        <v>307</v>
      </c>
      <c r="B320" s="4">
        <f t="shared" si="74"/>
        <v>4.7548884923184103</v>
      </c>
      <c r="C320" s="2">
        <f t="shared" si="75"/>
        <v>-1.0238063758966434E-3</v>
      </c>
      <c r="D320" s="7">
        <f t="shared" si="76"/>
        <v>987.3750194675456</v>
      </c>
      <c r="E320" s="5">
        <f t="shared" si="77"/>
        <v>5.8551395389719485E-2</v>
      </c>
      <c r="F320" s="2">
        <f t="shared" si="78"/>
        <v>968.40244414060544</v>
      </c>
      <c r="G320" s="2">
        <f t="shared" si="79"/>
        <v>117626.27199641208</v>
      </c>
      <c r="H320" s="2">
        <f t="shared" si="80"/>
        <v>57.779158234019519</v>
      </c>
      <c r="I320" s="2">
        <f t="shared" si="81"/>
        <v>31049.267081831695</v>
      </c>
      <c r="J320" s="5">
        <f t="shared" si="82"/>
        <v>1.5630860686982031</v>
      </c>
      <c r="K320" s="6">
        <f t="shared" si="70"/>
        <v>3212.7224112950585</v>
      </c>
      <c r="M320">
        <f t="shared" si="71"/>
        <v>117.62627199641207</v>
      </c>
      <c r="N320">
        <f t="shared" si="72"/>
        <v>3.3547478404326725</v>
      </c>
      <c r="O320">
        <f t="shared" si="73"/>
        <v>3104.9267081831695</v>
      </c>
    </row>
    <row r="321" spans="1:15" x14ac:dyDescent="0.2">
      <c r="A321" s="2">
        <v>308</v>
      </c>
      <c r="B321" s="4">
        <f t="shared" si="74"/>
        <v>4.7642051875095079</v>
      </c>
      <c r="C321" s="2">
        <f t="shared" si="75"/>
        <v>-1.0135291414532499E-3</v>
      </c>
      <c r="D321" s="7">
        <f t="shared" si="76"/>
        <v>992.129907959864</v>
      </c>
      <c r="E321" s="5">
        <f t="shared" si="77"/>
        <v>5.7527589013822843E-2</v>
      </c>
      <c r="F321" s="2">
        <f t="shared" si="78"/>
        <v>973.09251200883864</v>
      </c>
      <c r="G321" s="2">
        <f t="shared" si="79"/>
        <v>118599.36450842091</v>
      </c>
      <c r="H321" s="2">
        <f t="shared" si="80"/>
        <v>57.043365998542178</v>
      </c>
      <c r="I321" s="2">
        <f t="shared" si="81"/>
        <v>31106.310447830238</v>
      </c>
      <c r="J321" s="5">
        <f t="shared" si="82"/>
        <v>1.5629853833194693</v>
      </c>
      <c r="K321" s="6">
        <f t="shared" si="70"/>
        <v>3207.6172725696351</v>
      </c>
      <c r="M321">
        <f t="shared" si="71"/>
        <v>118.59936450842092</v>
      </c>
      <c r="N321">
        <f t="shared" si="72"/>
        <v>3.2960880560552108</v>
      </c>
      <c r="O321">
        <f t="shared" si="73"/>
        <v>3110.6310447830238</v>
      </c>
    </row>
    <row r="322" spans="1:15" x14ac:dyDescent="0.2">
      <c r="A322" s="2">
        <v>309</v>
      </c>
      <c r="B322" s="4">
        <f t="shared" si="74"/>
        <v>4.7735302524011178</v>
      </c>
      <c r="C322" s="2">
        <f t="shared" si="75"/>
        <v>-1.0033036363638684E-3</v>
      </c>
      <c r="D322" s="7">
        <f t="shared" si="76"/>
        <v>996.89411314737356</v>
      </c>
      <c r="E322" s="5">
        <f t="shared" si="77"/>
        <v>5.6514059872369592E-2</v>
      </c>
      <c r="F322" s="2">
        <f t="shared" si="78"/>
        <v>977.79078313486684</v>
      </c>
      <c r="G322" s="2">
        <f t="shared" si="79"/>
        <v>119577.15529155578</v>
      </c>
      <c r="H322" s="2">
        <f t="shared" si="80"/>
        <v>56.308549018230721</v>
      </c>
      <c r="I322" s="2">
        <f t="shared" si="81"/>
        <v>31162.618996848469</v>
      </c>
      <c r="J322" s="5">
        <f t="shared" si="82"/>
        <v>1.5628860044830641</v>
      </c>
      <c r="K322" s="6">
        <f t="shared" si="70"/>
        <v>3202.5121338442123</v>
      </c>
      <c r="M322">
        <f t="shared" si="71"/>
        <v>119.57715529155578</v>
      </c>
      <c r="N322">
        <f t="shared" si="72"/>
        <v>3.2380171138364213</v>
      </c>
      <c r="O322">
        <f t="shared" si="73"/>
        <v>3116.2618996848469</v>
      </c>
    </row>
    <row r="323" spans="1:15" x14ac:dyDescent="0.2">
      <c r="A323" s="2">
        <v>310</v>
      </c>
      <c r="B323" s="4">
        <f t="shared" si="74"/>
        <v>4.7828638882257977</v>
      </c>
      <c r="C323" s="2">
        <f t="shared" si="75"/>
        <v>-9.9312928945832638E-4</v>
      </c>
      <c r="D323" s="7">
        <f t="shared" si="76"/>
        <v>1001.6676433997746</v>
      </c>
      <c r="E323" s="5">
        <f t="shared" si="77"/>
        <v>5.5510756236005723E-2</v>
      </c>
      <c r="F323" s="2">
        <f t="shared" si="78"/>
        <v>982.49728242231731</v>
      </c>
      <c r="G323" s="2">
        <f t="shared" si="79"/>
        <v>120559.65257397811</v>
      </c>
      <c r="H323" s="2">
        <f t="shared" si="80"/>
        <v>55.574776357380507</v>
      </c>
      <c r="I323" s="2">
        <f t="shared" si="81"/>
        <v>31218.19377320585</v>
      </c>
      <c r="J323" s="5">
        <f t="shared" si="82"/>
        <v>1.5627879299738501</v>
      </c>
      <c r="K323" s="6">
        <f t="shared" si="70"/>
        <v>3197.4069951187885</v>
      </c>
      <c r="M323">
        <f t="shared" si="71"/>
        <v>120.55965257397811</v>
      </c>
      <c r="N323">
        <f t="shared" si="72"/>
        <v>3.1805320499026437</v>
      </c>
      <c r="O323">
        <f t="shared" si="73"/>
        <v>3121.8193773205849</v>
      </c>
    </row>
    <row r="324" spans="1:15" x14ac:dyDescent="0.2">
      <c r="A324" s="2">
        <v>311</v>
      </c>
      <c r="B324" s="4">
        <f t="shared" si="74"/>
        <v>4.7922062961204208</v>
      </c>
      <c r="C324" s="2">
        <f t="shared" si="75"/>
        <v>-9.8300553586008971E-4</v>
      </c>
      <c r="D324" s="7">
        <f t="shared" si="76"/>
        <v>1006.4505072880005</v>
      </c>
      <c r="E324" s="5">
        <f t="shared" si="77"/>
        <v>5.4517626946547396E-2</v>
      </c>
      <c r="F324" s="2">
        <f t="shared" si="78"/>
        <v>987.21203494960514</v>
      </c>
      <c r="G324" s="2">
        <f t="shared" si="79"/>
        <v>121546.86460892772</v>
      </c>
      <c r="H324" s="2">
        <f t="shared" si="80"/>
        <v>54.842117175763896</v>
      </c>
      <c r="I324" s="2">
        <f t="shared" si="81"/>
        <v>31273.035890381616</v>
      </c>
      <c r="J324" s="5">
        <f t="shared" si="82"/>
        <v>1.5626911574602771</v>
      </c>
      <c r="K324" s="6">
        <f t="shared" si="70"/>
        <v>3192.3018563933656</v>
      </c>
      <c r="M324">
        <f t="shared" si="71"/>
        <v>121.54686460892772</v>
      </c>
      <c r="N324">
        <f t="shared" si="72"/>
        <v>3.1236299331058555</v>
      </c>
      <c r="O324">
        <f t="shared" si="73"/>
        <v>3127.3035890381616</v>
      </c>
    </row>
    <row r="325" spans="1:15" x14ac:dyDescent="0.2">
      <c r="A325" s="2">
        <v>312</v>
      </c>
      <c r="B325" s="4">
        <f t="shared" si="74"/>
        <v>4.8015576771386188</v>
      </c>
      <c r="C325" s="2">
        <f t="shared" si="75"/>
        <v>-9.7293181690380438E-4</v>
      </c>
      <c r="D325" s="7">
        <f t="shared" si="76"/>
        <v>1011.2427135841209</v>
      </c>
      <c r="E325" s="5">
        <f t="shared" si="77"/>
        <v>5.3534621410687308E-2</v>
      </c>
      <c r="F325" s="2">
        <f t="shared" si="78"/>
        <v>991.9350659671627</v>
      </c>
      <c r="G325" s="2">
        <f t="shared" si="79"/>
        <v>122538.79967489488</v>
      </c>
      <c r="H325" s="2">
        <f t="shared" si="80"/>
        <v>54.110640731593399</v>
      </c>
      <c r="I325" s="2">
        <f t="shared" si="81"/>
        <v>31327.146531113209</v>
      </c>
      <c r="J325" s="5">
        <f t="shared" si="82"/>
        <v>1.562595684494241</v>
      </c>
      <c r="K325" s="6">
        <f t="shared" si="70"/>
        <v>3187.1967176679423</v>
      </c>
      <c r="M325">
        <f t="shared" si="71"/>
        <v>122.53879967489488</v>
      </c>
      <c r="N325">
        <f t="shared" si="72"/>
        <v>3.0673078646630763</v>
      </c>
      <c r="O325">
        <f t="shared" si="73"/>
        <v>3132.7146531113208</v>
      </c>
    </row>
    <row r="326" spans="1:15" x14ac:dyDescent="0.2">
      <c r="A326" s="2">
        <v>313</v>
      </c>
      <c r="B326" s="4">
        <f t="shared" si="74"/>
        <v>4.8109182322632504</v>
      </c>
      <c r="C326" s="2">
        <f t="shared" si="75"/>
        <v>-9.629075800539833E-4</v>
      </c>
      <c r="D326" s="7">
        <f t="shared" si="76"/>
        <v>1016.0442712612595</v>
      </c>
      <c r="E326" s="5">
        <f t="shared" si="77"/>
        <v>5.2561689593783503E-2</v>
      </c>
      <c r="F326" s="2">
        <f t="shared" si="78"/>
        <v>996.66640089468797</v>
      </c>
      <c r="G326" s="2">
        <f t="shared" si="79"/>
        <v>123535.46607578956</v>
      </c>
      <c r="H326" s="2">
        <f t="shared" si="80"/>
        <v>53.380416384486644</v>
      </c>
      <c r="I326" s="2">
        <f t="shared" si="81"/>
        <v>31380.526947497696</v>
      </c>
      <c r="J326" s="5">
        <f t="shared" si="82"/>
        <v>1.5625015085109297</v>
      </c>
      <c r="K326" s="6">
        <f t="shared" si="70"/>
        <v>3182.0915789425189</v>
      </c>
      <c r="M326">
        <f t="shared" si="71"/>
        <v>123.53546607578956</v>
      </c>
      <c r="N326">
        <f t="shared" si="72"/>
        <v>3.0115629778004931</v>
      </c>
      <c r="O326">
        <f t="shared" si="73"/>
        <v>3138.0526947497697</v>
      </c>
    </row>
    <row r="327" spans="1:15" x14ac:dyDescent="0.2">
      <c r="A327" s="2">
        <v>314</v>
      </c>
      <c r="B327" s="4">
        <f t="shared" si="74"/>
        <v>4.8202881624188958</v>
      </c>
      <c r="C327" s="2">
        <f t="shared" si="75"/>
        <v>-9.5293227882483939E-4</v>
      </c>
      <c r="D327" s="7">
        <f t="shared" si="76"/>
        <v>1020.8551894935227</v>
      </c>
      <c r="E327" s="5">
        <f t="shared" si="77"/>
        <v>5.159878201372952E-2</v>
      </c>
      <c r="F327" s="2">
        <f t="shared" si="78"/>
        <v>1001.4060653184093</v>
      </c>
      <c r="G327" s="2">
        <f t="shared" si="79"/>
        <v>124536.87214110798</v>
      </c>
      <c r="H327" s="2">
        <f t="shared" si="80"/>
        <v>52.651513598432942</v>
      </c>
      <c r="I327" s="2">
        <f t="shared" si="81"/>
        <v>31433.178461096129</v>
      </c>
      <c r="J327" s="5">
        <f t="shared" si="82"/>
        <v>1.5624086268286688</v>
      </c>
      <c r="K327" s="6">
        <f t="shared" si="70"/>
        <v>3176.9864402170956</v>
      </c>
      <c r="M327">
        <f t="shared" si="71"/>
        <v>124.53687214110798</v>
      </c>
      <c r="N327">
        <f t="shared" si="72"/>
        <v>2.9563924374022448</v>
      </c>
      <c r="O327">
        <f t="shared" si="73"/>
        <v>3143.3178461096131</v>
      </c>
    </row>
    <row r="328" spans="1:15" x14ac:dyDescent="0.2">
      <c r="A328" s="2">
        <v>315</v>
      </c>
      <c r="B328" s="4">
        <f t="shared" si="74"/>
        <v>4.8296676684843929</v>
      </c>
      <c r="C328" s="2">
        <f t="shared" si="75"/>
        <v>-9.4300537270123393E-4</v>
      </c>
      <c r="D328" s="7">
        <f t="shared" si="76"/>
        <v>1025.6754776559417</v>
      </c>
      <c r="E328" s="5">
        <f t="shared" si="77"/>
        <v>5.0645849734904679E-2</v>
      </c>
      <c r="F328" s="2">
        <f t="shared" si="78"/>
        <v>1006.1540849883672</v>
      </c>
      <c r="G328" s="2">
        <f t="shared" si="79"/>
        <v>125543.02622609634</v>
      </c>
      <c r="H328" s="2">
        <f t="shared" si="80"/>
        <v>51.924001944761685</v>
      </c>
      <c r="I328" s="2">
        <f t="shared" si="81"/>
        <v>31485.10246304089</v>
      </c>
      <c r="J328" s="5">
        <f t="shared" si="82"/>
        <v>1.5623170366487509</v>
      </c>
      <c r="K328" s="6">
        <f t="shared" si="70"/>
        <v>3171.8813014916723</v>
      </c>
      <c r="M328">
        <f t="shared" si="71"/>
        <v>125.54302622609633</v>
      </c>
      <c r="N328">
        <f t="shared" si="72"/>
        <v>2.9017934396637974</v>
      </c>
      <c r="O328">
        <f t="shared" si="73"/>
        <v>3148.5102463040889</v>
      </c>
    </row>
    <row r="329" spans="1:15" x14ac:dyDescent="0.2">
      <c r="A329" s="2">
        <v>316</v>
      </c>
      <c r="B329" s="4">
        <f t="shared" si="74"/>
        <v>4.8390569513053956</v>
      </c>
      <c r="C329" s="2">
        <f t="shared" si="75"/>
        <v>-9.3312632706073868E-4</v>
      </c>
      <c r="D329" s="7">
        <f t="shared" si="76"/>
        <v>1030.5051453244262</v>
      </c>
      <c r="E329" s="5">
        <f t="shared" si="77"/>
        <v>4.9702844362203444E-2</v>
      </c>
      <c r="F329" s="2">
        <f t="shared" si="78"/>
        <v>1010.910485815712</v>
      </c>
      <c r="G329" s="2">
        <f t="shared" si="79"/>
        <v>126553.93671191204</v>
      </c>
      <c r="H329" s="2">
        <f t="shared" si="80"/>
        <v>51.19795110511253</v>
      </c>
      <c r="I329" s="2">
        <f t="shared" si="81"/>
        <v>31536.300414146004</v>
      </c>
      <c r="J329" s="5">
        <f t="shared" si="82"/>
        <v>1.5622267350552652</v>
      </c>
      <c r="K329" s="6">
        <f t="shared" si="70"/>
        <v>3166.7761627662494</v>
      </c>
      <c r="M329">
        <f t="shared" si="71"/>
        <v>126.55393671191204</v>
      </c>
      <c r="N329">
        <f t="shared" si="72"/>
        <v>2.8477632117498555</v>
      </c>
      <c r="O329">
        <f t="shared" si="73"/>
        <v>3153.6300414146003</v>
      </c>
    </row>
    <row r="330" spans="1:15" x14ac:dyDescent="0.2">
      <c r="A330" s="2">
        <v>317</v>
      </c>
      <c r="B330" s="4">
        <f t="shared" si="74"/>
        <v>4.8484562117069769</v>
      </c>
      <c r="C330" s="2">
        <f t="shared" si="75"/>
        <v>-9.2329461309679465E-4</v>
      </c>
      <c r="D330" s="7">
        <f t="shared" si="76"/>
        <v>1035.3442022757315</v>
      </c>
      <c r="E330" s="5">
        <f t="shared" si="77"/>
        <v>4.8769718035142705E-2</v>
      </c>
      <c r="F330" s="2">
        <f t="shared" si="78"/>
        <v>1015.6752938700166</v>
      </c>
      <c r="G330" s="2">
        <f t="shared" si="79"/>
        <v>127569.61200578207</v>
      </c>
      <c r="H330" s="2">
        <f t="shared" si="80"/>
        <v>50.473430874407548</v>
      </c>
      <c r="I330" s="2">
        <f t="shared" si="81"/>
        <v>31586.773845020412</v>
      </c>
      <c r="J330" s="5">
        <f t="shared" si="82"/>
        <v>1.5621377190149175</v>
      </c>
      <c r="K330" s="6">
        <f t="shared" si="70"/>
        <v>3161.6710240408256</v>
      </c>
      <c r="M330">
        <f t="shared" si="71"/>
        <v>127.56961200578206</v>
      </c>
      <c r="N330">
        <f t="shared" si="72"/>
        <v>2.7942990114567308</v>
      </c>
      <c r="O330">
        <f t="shared" si="73"/>
        <v>3158.6773845020411</v>
      </c>
    </row>
    <row r="331" spans="1:15" x14ac:dyDescent="0.2">
      <c r="A331" s="2">
        <v>318</v>
      </c>
      <c r="B331" s="4">
        <f t="shared" si="74"/>
        <v>4.857865650506235</v>
      </c>
      <c r="C331" s="2">
        <f t="shared" si="75"/>
        <v>-9.1350970774294201E-4</v>
      </c>
      <c r="D331" s="7">
        <f t="shared" si="76"/>
        <v>1040.1926584874384</v>
      </c>
      <c r="E331" s="5">
        <f t="shared" si="77"/>
        <v>4.7846423422045911E-2</v>
      </c>
      <c r="F331" s="2">
        <f t="shared" si="78"/>
        <v>1020.4485353766049</v>
      </c>
      <c r="G331" s="2">
        <f t="shared" si="79"/>
        <v>128590.06054115867</v>
      </c>
      <c r="H331" s="2">
        <f t="shared" si="80"/>
        <v>49.750511163825323</v>
      </c>
      <c r="I331" s="2">
        <f t="shared" si="81"/>
        <v>31636.524356184236</v>
      </c>
      <c r="J331" s="5">
        <f t="shared" si="82"/>
        <v>1.5620499853768415</v>
      </c>
      <c r="K331" s="6">
        <f t="shared" si="70"/>
        <v>3156.5658853154027</v>
      </c>
      <c r="M331">
        <f t="shared" si="71"/>
        <v>128.59006054115866</v>
      </c>
      <c r="N331">
        <f t="shared" si="72"/>
        <v>2.7413981268791203</v>
      </c>
      <c r="O331">
        <f t="shared" si="73"/>
        <v>3163.6524356184236</v>
      </c>
    </row>
    <row r="332" spans="1:15" x14ac:dyDescent="0.2">
      <c r="A332" s="2">
        <v>319</v>
      </c>
      <c r="B332" s="4">
        <f t="shared" si="74"/>
        <v>4.8672854685249725</v>
      </c>
      <c r="C332" s="2">
        <f t="shared" si="75"/>
        <v>-9.0377109359812084E-4</v>
      </c>
      <c r="D332" s="7">
        <f t="shared" si="76"/>
        <v>1045.0505241379446</v>
      </c>
      <c r="E332" s="5">
        <f t="shared" si="77"/>
        <v>4.6932913714302971E-2</v>
      </c>
      <c r="F332" s="2">
        <f t="shared" si="78"/>
        <v>1025.2302367138936</v>
      </c>
      <c r="G332" s="2">
        <f t="shared" si="79"/>
        <v>129615.29077787256</v>
      </c>
      <c r="H332" s="2">
        <f t="shared" si="80"/>
        <v>49.029262003776992</v>
      </c>
      <c r="I332" s="2">
        <f t="shared" si="81"/>
        <v>31685.553618188012</v>
      </c>
      <c r="J332" s="5">
        <f t="shared" si="82"/>
        <v>1.5619635308724007</v>
      </c>
      <c r="K332" s="6">
        <f t="shared" si="70"/>
        <v>3151.4607465899794</v>
      </c>
      <c r="M332">
        <f t="shared" si="71"/>
        <v>129.61529077787256</v>
      </c>
      <c r="N332">
        <f t="shared" si="72"/>
        <v>2.6890578760812205</v>
      </c>
      <c r="O332">
        <f t="shared" si="73"/>
        <v>3168.5553618188014</v>
      </c>
    </row>
    <row r="333" spans="1:15" x14ac:dyDescent="0.2">
      <c r="A333" s="2">
        <v>320</v>
      </c>
      <c r="B333" s="4">
        <f t="shared" si="74"/>
        <v>4.8767158666023693</v>
      </c>
      <c r="C333" s="2">
        <f t="shared" si="75"/>
        <v>-8.9407825885302612E-4</v>
      </c>
      <c r="D333" s="7">
        <f t="shared" si="76"/>
        <v>1049.9178096064695</v>
      </c>
      <c r="E333" s="5">
        <f t="shared" si="77"/>
        <v>4.6029142620704851E-2</v>
      </c>
      <c r="F333" s="2">
        <f t="shared" si="78"/>
        <v>1030.0204244107479</v>
      </c>
      <c r="G333" s="2">
        <f t="shared" si="79"/>
        <v>130645.31120228331</v>
      </c>
      <c r="H333" s="2">
        <f t="shared" si="80"/>
        <v>48.309753546884558</v>
      </c>
      <c r="I333" s="2">
        <f t="shared" si="81"/>
        <v>31733.863371734897</v>
      </c>
      <c r="J333" s="5">
        <f t="shared" si="82"/>
        <v>1.5618783521149919</v>
      </c>
      <c r="K333" s="6">
        <f t="shared" si="70"/>
        <v>3146.3556078645561</v>
      </c>
      <c r="M333">
        <f t="shared" si="71"/>
        <v>130.6453112022833</v>
      </c>
      <c r="N333">
        <f t="shared" si="72"/>
        <v>2.6372756067721252</v>
      </c>
      <c r="O333">
        <f t="shared" si="73"/>
        <v>3173.3863371734897</v>
      </c>
    </row>
    <row r="334" spans="1:15" x14ac:dyDescent="0.2">
      <c r="A334" s="2">
        <v>321</v>
      </c>
      <c r="B334" s="4">
        <f t="shared" si="74"/>
        <v>4.8861570456077086</v>
      </c>
      <c r="C334" s="2">
        <f t="shared" si="75"/>
        <v>-8.8443069721749041E-4</v>
      </c>
      <c r="D334" s="7">
        <f t="shared" si="76"/>
        <v>1054.7945254730719</v>
      </c>
      <c r="E334" s="5">
        <f t="shared" si="77"/>
        <v>4.5135064361851822E-2</v>
      </c>
      <c r="F334" s="2">
        <f t="shared" si="78"/>
        <v>1034.8191251438514</v>
      </c>
      <c r="G334" s="2">
        <f t="shared" si="79"/>
        <v>131680.13032742715</v>
      </c>
      <c r="H334" s="2">
        <f t="shared" si="80"/>
        <v>47.592056070961249</v>
      </c>
      <c r="I334" s="2">
        <f t="shared" si="81"/>
        <v>31781.455427805857</v>
      </c>
      <c r="J334" s="5">
        <f t="shared" si="82"/>
        <v>1.5617944455998309</v>
      </c>
      <c r="K334" s="6">
        <f t="shared" ref="K334:K397" si="83">$B$1-($B$7*A334)</f>
        <v>3141.2504691391332</v>
      </c>
      <c r="M334">
        <f t="shared" ref="M334:M397" si="84">G334/1000</f>
        <v>131.68013032742715</v>
      </c>
      <c r="N334">
        <f t="shared" ref="N334:N397" si="85">E334*180/PI()</f>
        <v>2.5860486959854416</v>
      </c>
      <c r="O334">
        <f t="shared" ref="O334:O397" si="86">I334/10</f>
        <v>3178.1455427805859</v>
      </c>
    </row>
    <row r="335" spans="1:15" x14ac:dyDescent="0.2">
      <c r="A335" s="2">
        <v>322</v>
      </c>
      <c r="B335" s="4">
        <f t="shared" si="74"/>
        <v>4.8956092064531322</v>
      </c>
      <c r="C335" s="2">
        <f t="shared" si="75"/>
        <v>-8.7482790784889838E-4</v>
      </c>
      <c r="D335" s="7">
        <f t="shared" si="76"/>
        <v>1059.6806825186795</v>
      </c>
      <c r="E335" s="5">
        <f t="shared" si="77"/>
        <v>4.4250633664634331E-2</v>
      </c>
      <c r="F335" s="2">
        <f t="shared" si="78"/>
        <v>1039.6263657350853</v>
      </c>
      <c r="G335" s="2">
        <f t="shared" si="79"/>
        <v>132719.75669316223</v>
      </c>
      <c r="H335" s="2">
        <f t="shared" si="80"/>
        <v>46.876239981994161</v>
      </c>
      <c r="I335" s="2">
        <f t="shared" si="81"/>
        <v>31828.33166778785</v>
      </c>
      <c r="J335" s="5">
        <f t="shared" si="82"/>
        <v>1.5617118077037386</v>
      </c>
      <c r="K335" s="6">
        <f t="shared" si="83"/>
        <v>3136.1453304137094</v>
      </c>
      <c r="M335">
        <f t="shared" si="84"/>
        <v>132.71975669316222</v>
      </c>
      <c r="N335">
        <f t="shared" si="85"/>
        <v>2.5353745497630666</v>
      </c>
      <c r="O335">
        <f t="shared" si="86"/>
        <v>3182.8331667787852</v>
      </c>
    </row>
    <row r="336" spans="1:15" x14ac:dyDescent="0.2">
      <c r="A336" s="2">
        <v>323</v>
      </c>
      <c r="B336" s="4">
        <f t="shared" si="74"/>
        <v>4.9050725501064196</v>
      </c>
      <c r="C336" s="2">
        <f t="shared" si="75"/>
        <v>-8.6526939528160302E-4</v>
      </c>
      <c r="D336" s="7">
        <f t="shared" si="76"/>
        <v>1064.5762917251327</v>
      </c>
      <c r="E336" s="5">
        <f t="shared" si="77"/>
        <v>4.3375805756785429E-2</v>
      </c>
      <c r="F336" s="2">
        <f t="shared" si="78"/>
        <v>1044.4421731489251</v>
      </c>
      <c r="G336" s="2">
        <f t="shared" si="79"/>
        <v>133764.19886631114</v>
      </c>
      <c r="H336" s="2">
        <f t="shared" si="80"/>
        <v>46.162375817129288</v>
      </c>
      <c r="I336" s="2">
        <f t="shared" si="81"/>
        <v>31874.49404360498</v>
      </c>
      <c r="J336" s="5">
        <f t="shared" si="82"/>
        <v>1.5616304346849135</v>
      </c>
      <c r="K336" s="6">
        <f t="shared" si="83"/>
        <v>3131.0401916882865</v>
      </c>
      <c r="M336">
        <f t="shared" si="84"/>
        <v>133.76419886631115</v>
      </c>
      <c r="N336">
        <f t="shared" si="85"/>
        <v>2.485250602843065</v>
      </c>
      <c r="O336">
        <f t="shared" si="86"/>
        <v>3187.4494043604982</v>
      </c>
    </row>
    <row r="337" spans="1:15" x14ac:dyDescent="0.2">
      <c r="A337" s="2">
        <v>324</v>
      </c>
      <c r="B337" s="4">
        <f t="shared" si="74"/>
        <v>4.9145472776038162</v>
      </c>
      <c r="C337" s="2">
        <f t="shared" si="75"/>
        <v>-8.557546693573429E-4</v>
      </c>
      <c r="D337" s="7">
        <f t="shared" si="76"/>
        <v>1069.4813642752392</v>
      </c>
      <c r="E337" s="5">
        <f t="shared" si="77"/>
        <v>4.2510536361503828E-2</v>
      </c>
      <c r="F337" s="2">
        <f t="shared" si="78"/>
        <v>1049.266574489842</v>
      </c>
      <c r="G337" s="2">
        <f t="shared" si="79"/>
        <v>134813.465440801</v>
      </c>
      <c r="H337" s="2">
        <f t="shared" si="80"/>
        <v>45.450534247658858</v>
      </c>
      <c r="I337" s="2">
        <f t="shared" si="81"/>
        <v>31919.944577852639</v>
      </c>
      <c r="J337" s="5">
        <f t="shared" si="82"/>
        <v>1.5615503226827023</v>
      </c>
      <c r="K337" s="6">
        <f t="shared" si="83"/>
        <v>3125.9350529628628</v>
      </c>
      <c r="M337">
        <f t="shared" si="84"/>
        <v>134.813465440801</v>
      </c>
      <c r="N337">
        <f t="shared" si="85"/>
        <v>2.4356743183515923</v>
      </c>
      <c r="O337">
        <f t="shared" si="86"/>
        <v>3191.9944577852639</v>
      </c>
    </row>
    <row r="338" spans="1:15" x14ac:dyDescent="0.2">
      <c r="A338" s="2">
        <v>325</v>
      </c>
      <c r="B338" s="4">
        <f t="shared" si="74"/>
        <v>4.9240335900628791</v>
      </c>
      <c r="C338" s="2">
        <f t="shared" si="75"/>
        <v>-8.4628324515663975E-4</v>
      </c>
      <c r="D338" s="7">
        <f t="shared" si="76"/>
        <v>1074.395911552843</v>
      </c>
      <c r="E338" s="5">
        <f t="shared" si="77"/>
        <v>4.1654781692146488E-2</v>
      </c>
      <c r="F338" s="2">
        <f t="shared" si="78"/>
        <v>1054.0995969997221</v>
      </c>
      <c r="G338" s="2">
        <f t="shared" si="79"/>
        <v>135867.56503780073</v>
      </c>
      <c r="H338" s="2">
        <f t="shared" si="80"/>
        <v>44.740786082011255</v>
      </c>
      <c r="I338" s="2">
        <f t="shared" si="81"/>
        <v>31964.685363934652</v>
      </c>
      <c r="J338" s="5">
        <f t="shared" si="82"/>
        <v>1.5614714677173622</v>
      </c>
      <c r="K338" s="6">
        <f t="shared" si="83"/>
        <v>3120.8299142374399</v>
      </c>
      <c r="M338">
        <f t="shared" si="84"/>
        <v>135.86756503780072</v>
      </c>
      <c r="N338">
        <f t="shared" si="85"/>
        <v>2.3866431874988034</v>
      </c>
      <c r="O338">
        <f t="shared" si="86"/>
        <v>3196.468536393465</v>
      </c>
    </row>
    <row r="339" spans="1:15" x14ac:dyDescent="0.2">
      <c r="A339" s="2">
        <v>326</v>
      </c>
      <c r="B339" s="4">
        <f t="shared" si="74"/>
        <v>4.9335316886953695</v>
      </c>
      <c r="C339" s="2">
        <f t="shared" si="75"/>
        <v>-8.3685464293116192E-4</v>
      </c>
      <c r="D339" s="7">
        <f t="shared" si="76"/>
        <v>1079.3199451429059</v>
      </c>
      <c r="E339" s="5">
        <f t="shared" si="77"/>
        <v>4.0808498446989847E-2</v>
      </c>
      <c r="F339" s="2">
        <f t="shared" si="78"/>
        <v>1058.9412680552887</v>
      </c>
      <c r="G339" s="2">
        <f t="shared" si="79"/>
        <v>136926.50630585602</v>
      </c>
      <c r="H339" s="2">
        <f t="shared" si="80"/>
        <v>44.033202268743445</v>
      </c>
      <c r="I339" s="2">
        <f t="shared" si="81"/>
        <v>32008.718566203395</v>
      </c>
      <c r="J339" s="5">
        <f t="shared" si="82"/>
        <v>1.5613938656898136</v>
      </c>
      <c r="K339" s="6">
        <f t="shared" si="83"/>
        <v>3115.7247755120165</v>
      </c>
      <c r="M339">
        <f t="shared" si="84"/>
        <v>136.92650630585601</v>
      </c>
      <c r="N339">
        <f t="shared" si="85"/>
        <v>2.3381547292786924</v>
      </c>
      <c r="O339">
        <f t="shared" si="86"/>
        <v>3200.8718566203397</v>
      </c>
    </row>
    <row r="340" spans="1:15" x14ac:dyDescent="0.2">
      <c r="A340" s="2">
        <v>327</v>
      </c>
      <c r="B340" s="4">
        <f t="shared" si="74"/>
        <v>4.9430417748201698</v>
      </c>
      <c r="C340" s="2">
        <f t="shared" si="75"/>
        <v>-8.2746838803704503E-4</v>
      </c>
      <c r="D340" s="7">
        <f t="shared" si="76"/>
        <v>1084.2534768316013</v>
      </c>
      <c r="E340" s="5">
        <f t="shared" si="77"/>
        <v>3.9971643804058682E-2</v>
      </c>
      <c r="F340" s="2">
        <f t="shared" si="78"/>
        <v>1063.7916151655427</v>
      </c>
      <c r="G340" s="2">
        <f t="shared" si="79"/>
        <v>137990.29792102156</v>
      </c>
      <c r="H340" s="2">
        <f t="shared" si="80"/>
        <v>43.327853899536088</v>
      </c>
      <c r="I340" s="2">
        <f t="shared" si="81"/>
        <v>32052.046420102932</v>
      </c>
      <c r="J340" s="5">
        <f t="shared" si="82"/>
        <v>1.5613175123813847</v>
      </c>
      <c r="K340" s="6">
        <f t="shared" si="83"/>
        <v>3110.6196367865932</v>
      </c>
      <c r="M340">
        <f t="shared" si="84"/>
        <v>137.99029792102155</v>
      </c>
      <c r="N340">
        <f t="shared" si="85"/>
        <v>2.2902064901728094</v>
      </c>
      <c r="O340">
        <f t="shared" si="86"/>
        <v>3205.2046420102934</v>
      </c>
    </row>
    <row r="341" spans="1:15" x14ac:dyDescent="0.2">
      <c r="A341" s="2">
        <v>328</v>
      </c>
      <c r="B341" s="4">
        <f t="shared" si="74"/>
        <v>4.9525640498762424</v>
      </c>
      <c r="C341" s="2">
        <f t="shared" si="75"/>
        <v>-8.1812401086915881E-4</v>
      </c>
      <c r="D341" s="7">
        <f t="shared" si="76"/>
        <v>1089.1965186064215</v>
      </c>
      <c r="E341" s="5">
        <f t="shared" si="77"/>
        <v>3.9144175416021637E-2</v>
      </c>
      <c r="F341" s="2">
        <f t="shared" si="78"/>
        <v>1068.6506659692045</v>
      </c>
      <c r="G341" s="2">
        <f t="shared" si="79"/>
        <v>139058.94858699077</v>
      </c>
      <c r="H341" s="2">
        <f t="shared" si="80"/>
        <v>42.62481221219138</v>
      </c>
      <c r="I341" s="2">
        <f t="shared" si="81"/>
        <v>32094.671232315122</v>
      </c>
      <c r="J341" s="5">
        <f t="shared" si="82"/>
        <v>1.5612424034535561</v>
      </c>
      <c r="K341" s="6">
        <f t="shared" si="83"/>
        <v>3105.5144980611703</v>
      </c>
      <c r="M341">
        <f t="shared" si="84"/>
        <v>139.05894858699077</v>
      </c>
      <c r="N341">
        <f t="shared" si="85"/>
        <v>2.2427960438577932</v>
      </c>
      <c r="O341">
        <f t="shared" si="86"/>
        <v>3209.4671232315122</v>
      </c>
    </row>
    <row r="342" spans="1:15" x14ac:dyDescent="0.2">
      <c r="A342" s="2">
        <v>329</v>
      </c>
      <c r="B342" s="4">
        <f t="shared" si="74"/>
        <v>4.9620987154356255</v>
      </c>
      <c r="C342" s="2">
        <f t="shared" si="75"/>
        <v>-8.0882104679629572E-4</v>
      </c>
      <c r="D342" s="7">
        <f t="shared" si="76"/>
        <v>1094.1490826562977</v>
      </c>
      <c r="E342" s="5">
        <f t="shared" si="77"/>
        <v>3.8326051405152481E-2</v>
      </c>
      <c r="F342" s="2">
        <f t="shared" si="78"/>
        <v>1073.5184482321692</v>
      </c>
      <c r="G342" s="2">
        <f t="shared" si="79"/>
        <v>140132.46703522294</v>
      </c>
      <c r="H342" s="2">
        <f t="shared" si="80"/>
        <v>41.924148593633724</v>
      </c>
      <c r="I342" s="2">
        <f t="shared" si="81"/>
        <v>32136.595380908755</v>
      </c>
      <c r="J342" s="5">
        <f t="shared" si="82"/>
        <v>1.56116853444769</v>
      </c>
      <c r="K342" s="6">
        <f t="shared" si="83"/>
        <v>3100.4093593357466</v>
      </c>
      <c r="M342">
        <f t="shared" si="84"/>
        <v>140.13246703522293</v>
      </c>
      <c r="N342">
        <f t="shared" si="85"/>
        <v>2.1959209909166755</v>
      </c>
      <c r="O342">
        <f t="shared" si="86"/>
        <v>3213.6595380908757</v>
      </c>
    </row>
    <row r="343" spans="1:15" x14ac:dyDescent="0.2">
      <c r="A343" s="2">
        <v>330</v>
      </c>
      <c r="B343" s="4">
        <f t="shared" si="74"/>
        <v>4.9716459732164582</v>
      </c>
      <c r="C343" s="2">
        <f t="shared" si="75"/>
        <v>-7.9955903609728047E-4</v>
      </c>
      <c r="D343" s="7">
        <f t="shared" si="76"/>
        <v>1099.1111813717332</v>
      </c>
      <c r="E343" s="5">
        <f t="shared" si="77"/>
        <v>3.7517230358356184E-2</v>
      </c>
      <c r="F343" s="2">
        <f t="shared" si="78"/>
        <v>1078.3949898449689</v>
      </c>
      <c r="G343" s="2">
        <f t="shared" si="79"/>
        <v>141210.86202506791</v>
      </c>
      <c r="H343" s="2">
        <f t="shared" si="80"/>
        <v>41.225934582913226</v>
      </c>
      <c r="I343" s="2">
        <f t="shared" si="81"/>
        <v>32177.821315491667</v>
      </c>
      <c r="J343" s="5">
        <f t="shared" si="82"/>
        <v>1.5610959007847542</v>
      </c>
      <c r="K343" s="6">
        <f t="shared" si="83"/>
        <v>3095.3042206103237</v>
      </c>
      <c r="M343">
        <f t="shared" si="84"/>
        <v>141.21086202506791</v>
      </c>
      <c r="N343">
        <f t="shared" si="85"/>
        <v>2.1495789585538945</v>
      </c>
      <c r="O343">
        <f t="shared" si="86"/>
        <v>3217.7821315491665</v>
      </c>
    </row>
    <row r="344" spans="1:15" x14ac:dyDescent="0.2">
      <c r="A344" s="2">
        <v>331</v>
      </c>
      <c r="B344" s="4">
        <f t="shared" si="74"/>
        <v>4.9812060250960499</v>
      </c>
      <c r="C344" s="2">
        <f t="shared" si="75"/>
        <v>-7.9033752389798533E-4</v>
      </c>
      <c r="D344" s="7">
        <f t="shared" si="76"/>
        <v>1104.0828273449497</v>
      </c>
      <c r="E344" s="5">
        <f t="shared" si="77"/>
        <v>3.67176713222589E-2</v>
      </c>
      <c r="F344" s="2">
        <f t="shared" si="78"/>
        <v>1083.2803188202433</v>
      </c>
      <c r="G344" s="2">
        <f t="shared" si="79"/>
        <v>142294.14234388815</v>
      </c>
      <c r="H344" s="2">
        <f t="shared" si="80"/>
        <v>40.5302418742124</v>
      </c>
      <c r="I344" s="2">
        <f t="shared" si="81"/>
        <v>32218.351557365881</v>
      </c>
      <c r="J344" s="5">
        <f t="shared" si="82"/>
        <v>1.5610244977650434</v>
      </c>
      <c r="K344" s="6">
        <f t="shared" si="83"/>
        <v>3090.1990818849004</v>
      </c>
      <c r="M344">
        <f t="shared" si="84"/>
        <v>142.29414234388815</v>
      </c>
      <c r="N344">
        <f t="shared" si="85"/>
        <v>2.1037676003139718</v>
      </c>
      <c r="O344">
        <f t="shared" si="86"/>
        <v>3221.8351557365881</v>
      </c>
    </row>
    <row r="345" spans="1:15" x14ac:dyDescent="0.2">
      <c r="A345" s="2">
        <v>332</v>
      </c>
      <c r="B345" s="4">
        <f t="shared" si="74"/>
        <v>4.9907790731239858</v>
      </c>
      <c r="C345" s="2">
        <f t="shared" si="75"/>
        <v>-7.8115606010923397E-4</v>
      </c>
      <c r="D345" s="7">
        <f t="shared" si="76"/>
        <v>1109.0640333700458</v>
      </c>
      <c r="E345" s="5">
        <f t="shared" si="77"/>
        <v>3.5927333798360918E-2</v>
      </c>
      <c r="F345" s="2">
        <f t="shared" si="78"/>
        <v>1088.1744632902164</v>
      </c>
      <c r="G345" s="2">
        <f t="shared" si="79"/>
        <v>143382.31680717837</v>
      </c>
      <c r="H345" s="2">
        <f t="shared" si="80"/>
        <v>39.837142319855715</v>
      </c>
      <c r="I345" s="2">
        <f t="shared" si="81"/>
        <v>32258.188699685736</v>
      </c>
      <c r="J345" s="5">
        <f t="shared" si="82"/>
        <v>1.5609543205678875</v>
      </c>
      <c r="K345" s="6">
        <f t="shared" si="83"/>
        <v>3085.093943159477</v>
      </c>
      <c r="M345">
        <f t="shared" si="84"/>
        <v>143.38231680717837</v>
      </c>
      <c r="N345">
        <f t="shared" si="85"/>
        <v>2.0584845958037978</v>
      </c>
      <c r="O345">
        <f t="shared" si="86"/>
        <v>3225.8188699685734</v>
      </c>
    </row>
    <row r="346" spans="1:15" x14ac:dyDescent="0.2">
      <c r="A346" s="2">
        <v>333</v>
      </c>
      <c r="B346" s="4">
        <f t="shared" ref="B346:B409" si="87">(($B$5/K346)-(J346*SIN(E346)))</f>
        <v>5.0003653195352644</v>
      </c>
      <c r="C346" s="2">
        <f t="shared" ref="C346:C409" si="88">-((J346/D346)-(D346/(1740000+(I346))))*COS(E346)</f>
        <v>-7.7201419936558493E-4</v>
      </c>
      <c r="D346" s="7">
        <f t="shared" ref="D346:D409" si="89">D345+B345</f>
        <v>1114.0548124431698</v>
      </c>
      <c r="E346" s="5">
        <f t="shared" ref="E346:E409" si="90">E345+C345</f>
        <v>3.5146177738251683E-2</v>
      </c>
      <c r="F346" s="2">
        <f t="shared" ref="F346:F409" si="91">((1740000/(1740000+(I346)))*D346*COS(E346))</f>
        <v>1093.0774515041803</v>
      </c>
      <c r="G346" s="2">
        <f t="shared" ref="G346:G409" si="92">(F346 + G345)</f>
        <v>144475.39425868256</v>
      </c>
      <c r="H346" s="2">
        <f t="shared" ref="H346:H409" si="93">D346*SIN(E346)</f>
        <v>39.146707933322467</v>
      </c>
      <c r="I346" s="2">
        <f t="shared" ref="I346:I409" si="94">(H346+I345)</f>
        <v>32297.335407619059</v>
      </c>
      <c r="J346" s="5">
        <f t="shared" ref="J346:J409" si="95">((1.619368477)/(1+(I346/1740000))^2)</f>
        <v>1.5608853642513563</v>
      </c>
      <c r="K346" s="6">
        <f t="shared" si="83"/>
        <v>3079.9888044340537</v>
      </c>
      <c r="M346">
        <f t="shared" si="84"/>
        <v>144.47539425868257</v>
      </c>
      <c r="N346">
        <f t="shared" si="85"/>
        <v>2.0137276504184709</v>
      </c>
      <c r="O346">
        <f t="shared" si="86"/>
        <v>3229.7335407619057</v>
      </c>
    </row>
    <row r="347" spans="1:15" x14ac:dyDescent="0.2">
      <c r="A347" s="2">
        <v>334</v>
      </c>
      <c r="B347" s="4">
        <f t="shared" si="87"/>
        <v>5.0099649667634889</v>
      </c>
      <c r="C347" s="2">
        <f t="shared" si="88"/>
        <v>-7.6291150096498284E-4</v>
      </c>
      <c r="D347" s="7">
        <f t="shared" si="89"/>
        <v>1119.0551777627052</v>
      </c>
      <c r="E347" s="5">
        <f t="shared" si="90"/>
        <v>3.4374163538886095E-2</v>
      </c>
      <c r="F347" s="2">
        <f t="shared" si="91"/>
        <v>1097.9893118259865</v>
      </c>
      <c r="G347" s="2">
        <f t="shared" si="92"/>
        <v>145573.38357050854</v>
      </c>
      <c r="H347" s="2">
        <f t="shared" si="93"/>
        <v>38.459010892262931</v>
      </c>
      <c r="I347" s="2">
        <f t="shared" si="94"/>
        <v>32335.794418511323</v>
      </c>
      <c r="J347" s="5">
        <f t="shared" si="95"/>
        <v>1.5608176237519553</v>
      </c>
      <c r="K347" s="6">
        <f t="shared" si="83"/>
        <v>3074.8836657086304</v>
      </c>
      <c r="M347">
        <f t="shared" si="84"/>
        <v>145.57338357050853</v>
      </c>
      <c r="N347">
        <f t="shared" si="85"/>
        <v>1.9694944950706514</v>
      </c>
      <c r="O347">
        <f t="shared" si="86"/>
        <v>3233.5794418511323</v>
      </c>
    </row>
    <row r="348" spans="1:15" x14ac:dyDescent="0.2">
      <c r="A348" s="2">
        <v>335</v>
      </c>
      <c r="B348" s="4">
        <f t="shared" si="87"/>
        <v>5.0195782174540806</v>
      </c>
      <c r="C348" s="2">
        <f t="shared" si="88"/>
        <v>-7.5384752880926654E-4</v>
      </c>
      <c r="D348" s="7">
        <f t="shared" si="89"/>
        <v>1124.0651427294686</v>
      </c>
      <c r="E348" s="5">
        <f t="shared" si="90"/>
        <v>3.3611252037921112E-2</v>
      </c>
      <c r="F348" s="2">
        <f t="shared" si="91"/>
        <v>1102.9100727315404</v>
      </c>
      <c r="G348" s="2">
        <f t="shared" si="92"/>
        <v>146676.29364324009</v>
      </c>
      <c r="H348" s="2">
        <f t="shared" si="93"/>
        <v>37.77412354151776</v>
      </c>
      <c r="I348" s="2">
        <f t="shared" si="94"/>
        <v>32373.568542052839</v>
      </c>
      <c r="J348" s="5">
        <f t="shared" si="95"/>
        <v>1.5607510938843157</v>
      </c>
      <c r="K348" s="6">
        <f t="shared" si="83"/>
        <v>3069.7785269832075</v>
      </c>
      <c r="M348">
        <f t="shared" si="84"/>
        <v>146.67629364324009</v>
      </c>
      <c r="N348">
        <f t="shared" si="85"/>
        <v>1.9257828859233668</v>
      </c>
      <c r="O348">
        <f t="shared" si="86"/>
        <v>3237.356854205284</v>
      </c>
    </row>
    <row r="349" spans="1:15" x14ac:dyDescent="0.2">
      <c r="A349" s="2">
        <v>336</v>
      </c>
      <c r="B349" s="4">
        <f t="shared" si="87"/>
        <v>5.0292052744775555</v>
      </c>
      <c r="C349" s="2">
        <f t="shared" si="88"/>
        <v>-7.448218513455147E-4</v>
      </c>
      <c r="D349" s="7">
        <f t="shared" si="89"/>
        <v>1129.0847209469227</v>
      </c>
      <c r="E349" s="5">
        <f t="shared" si="90"/>
        <v>3.2857404509111843E-2</v>
      </c>
      <c r="F349" s="2">
        <f t="shared" si="91"/>
        <v>1107.8397628063051</v>
      </c>
      <c r="G349" s="2">
        <f t="shared" si="92"/>
        <v>147784.1334060464</v>
      </c>
      <c r="H349" s="2">
        <f t="shared" si="93"/>
        <v>37.092118396141025</v>
      </c>
      <c r="I349" s="2">
        <f t="shared" si="94"/>
        <v>32410.660660448979</v>
      </c>
      <c r="J349" s="5">
        <f t="shared" si="95"/>
        <v>1.5606857693408749</v>
      </c>
      <c r="K349" s="6">
        <f t="shared" si="83"/>
        <v>3064.6733882577837</v>
      </c>
      <c r="M349">
        <f t="shared" si="84"/>
        <v>147.78413340604641</v>
      </c>
      <c r="N349">
        <f t="shared" si="85"/>
        <v>1.882590604126229</v>
      </c>
      <c r="O349">
        <f t="shared" si="86"/>
        <v>3241.066066044898</v>
      </c>
    </row>
    <row r="350" spans="1:15" x14ac:dyDescent="0.2">
      <c r="A350" s="2">
        <v>337</v>
      </c>
      <c r="B350" s="4">
        <f t="shared" si="87"/>
        <v>5.038846340942813</v>
      </c>
      <c r="C350" s="2">
        <f t="shared" si="88"/>
        <v>-7.3583404150823228E-4</v>
      </c>
      <c r="D350" s="7">
        <f t="shared" si="89"/>
        <v>1134.1139262214003</v>
      </c>
      <c r="E350" s="5">
        <f t="shared" si="90"/>
        <v>3.2112582657766328E-2</v>
      </c>
      <c r="F350" s="2">
        <f t="shared" si="91"/>
        <v>1112.7784107428049</v>
      </c>
      <c r="G350" s="2">
        <f t="shared" si="92"/>
        <v>148896.91181678922</v>
      </c>
      <c r="H350" s="2">
        <f t="shared" si="93"/>
        <v>36.413068144426617</v>
      </c>
      <c r="I350" s="2">
        <f t="shared" si="94"/>
        <v>32447.073728593405</v>
      </c>
      <c r="J350" s="5">
        <f t="shared" si="95"/>
        <v>1.5606216446915544</v>
      </c>
      <c r="K350" s="6">
        <f t="shared" si="83"/>
        <v>3059.5682495323608</v>
      </c>
      <c r="M350">
        <f t="shared" si="84"/>
        <v>148.89691181678921</v>
      </c>
      <c r="N350">
        <f t="shared" si="85"/>
        <v>1.8399154555550108</v>
      </c>
      <c r="O350">
        <f t="shared" si="86"/>
        <v>3244.7073728593405</v>
      </c>
    </row>
    <row r="351" spans="1:15" x14ac:dyDescent="0.2">
      <c r="A351" s="2">
        <v>338</v>
      </c>
      <c r="B351" s="4">
        <f t="shared" si="87"/>
        <v>5.0485016202105033</v>
      </c>
      <c r="C351" s="2">
        <f t="shared" si="88"/>
        <v>-7.2688367666234714E-4</v>
      </c>
      <c r="D351" s="7">
        <f t="shared" si="89"/>
        <v>1139.1527725623432</v>
      </c>
      <c r="E351" s="5">
        <f t="shared" si="90"/>
        <v>3.1376748616258096E-2</v>
      </c>
      <c r="F351" s="2">
        <f t="shared" si="91"/>
        <v>1117.7260453381373</v>
      </c>
      <c r="G351" s="2">
        <f t="shared" si="92"/>
        <v>150014.63786212736</v>
      </c>
      <c r="H351" s="2">
        <f t="shared" si="93"/>
        <v>35.73704565093847</v>
      </c>
      <c r="I351" s="2">
        <f t="shared" si="94"/>
        <v>32482.810774244343</v>
      </c>
      <c r="J351" s="5">
        <f t="shared" si="95"/>
        <v>1.5605587143834241</v>
      </c>
      <c r="K351" s="6">
        <f t="shared" si="83"/>
        <v>3054.4631108069375</v>
      </c>
      <c r="M351">
        <f t="shared" si="84"/>
        <v>150.01463786212736</v>
      </c>
      <c r="N351">
        <f t="shared" si="85"/>
        <v>1.7977552705545348</v>
      </c>
      <c r="O351">
        <f t="shared" si="86"/>
        <v>3248.2810774244344</v>
      </c>
    </row>
    <row r="352" spans="1:15" x14ac:dyDescent="0.2">
      <c r="A352" s="2">
        <v>339</v>
      </c>
      <c r="B352" s="4">
        <f t="shared" si="87"/>
        <v>5.0581713159064057</v>
      </c>
      <c r="C352" s="2">
        <f t="shared" si="88"/>
        <v>-7.1797033854702306E-4</v>
      </c>
      <c r="D352" s="7">
        <f t="shared" si="89"/>
        <v>1144.2012741825538</v>
      </c>
      <c r="E352" s="5">
        <f t="shared" si="90"/>
        <v>3.0649864939595747E-2</v>
      </c>
      <c r="F352" s="2">
        <f t="shared" si="91"/>
        <v>1122.6826954914868</v>
      </c>
      <c r="G352" s="2">
        <f t="shared" si="92"/>
        <v>151137.32055761886</v>
      </c>
      <c r="H352" s="2">
        <f t="shared" si="93"/>
        <v>35.064123959544361</v>
      </c>
      <c r="I352" s="2">
        <f t="shared" si="94"/>
        <v>32517.874898203889</v>
      </c>
      <c r="J352" s="5">
        <f t="shared" si="95"/>
        <v>1.5604969727403659</v>
      </c>
      <c r="K352" s="6">
        <f t="shared" si="83"/>
        <v>3049.3579720815142</v>
      </c>
      <c r="M352">
        <f t="shared" si="84"/>
        <v>151.13732055761886</v>
      </c>
      <c r="N352">
        <f t="shared" si="85"/>
        <v>1.7561079036848304</v>
      </c>
      <c r="O352">
        <f t="shared" si="86"/>
        <v>3251.7874898203891</v>
      </c>
    </row>
    <row r="353" spans="1:15" x14ac:dyDescent="0.2">
      <c r="A353" s="2">
        <v>340</v>
      </c>
      <c r="B353" s="4">
        <f t="shared" si="87"/>
        <v>5.0678556319348758</v>
      </c>
      <c r="C353" s="2">
        <f t="shared" si="88"/>
        <v>-7.0909361322026672E-4</v>
      </c>
      <c r="D353" s="7">
        <f t="shared" si="89"/>
        <v>1149.2594454984601</v>
      </c>
      <c r="E353" s="5">
        <f t="shared" si="90"/>
        <v>2.9931894601048725E-2</v>
      </c>
      <c r="F353" s="2">
        <f t="shared" si="91"/>
        <v>1127.6483902016425</v>
      </c>
      <c r="G353" s="2">
        <f t="shared" si="92"/>
        <v>152264.96894782051</v>
      </c>
      <c r="H353" s="2">
        <f t="shared" si="93"/>
        <v>34.394376296453764</v>
      </c>
      <c r="I353" s="2">
        <f t="shared" si="94"/>
        <v>32552.269274500344</v>
      </c>
      <c r="J353" s="5">
        <f t="shared" si="95"/>
        <v>1.5604364139627269</v>
      </c>
      <c r="K353" s="6">
        <f t="shared" si="83"/>
        <v>3044.2528333560908</v>
      </c>
      <c r="M353">
        <f t="shared" si="84"/>
        <v>152.26496894782051</v>
      </c>
      <c r="N353">
        <f t="shared" si="85"/>
        <v>1.714971233470507</v>
      </c>
      <c r="O353">
        <f t="shared" si="86"/>
        <v>3255.2269274500345</v>
      </c>
    </row>
    <row r="354" spans="1:15" x14ac:dyDescent="0.2">
      <c r="A354" s="2">
        <v>341</v>
      </c>
      <c r="B354" s="4">
        <f t="shared" si="87"/>
        <v>5.0775547724923218</v>
      </c>
      <c r="C354" s="2">
        <f t="shared" si="88"/>
        <v>-7.0025309100431809E-4</v>
      </c>
      <c r="D354" s="7">
        <f t="shared" si="89"/>
        <v>1154.327301130395</v>
      </c>
      <c r="E354" s="5">
        <f t="shared" si="90"/>
        <v>2.9222800987828458E-2</v>
      </c>
      <c r="F354" s="2">
        <f t="shared" si="91"/>
        <v>1132.6231585645187</v>
      </c>
      <c r="G354" s="2">
        <f t="shared" si="92"/>
        <v>153397.59210638504</v>
      </c>
      <c r="H354" s="2">
        <f t="shared" si="93"/>
        <v>33.727876073259466</v>
      </c>
      <c r="I354" s="2">
        <f t="shared" si="94"/>
        <v>32585.997150573603</v>
      </c>
      <c r="J354" s="5">
        <f t="shared" si="95"/>
        <v>1.5603770321269634</v>
      </c>
      <c r="K354" s="6">
        <f t="shared" si="83"/>
        <v>3039.1476946306675</v>
      </c>
      <c r="M354">
        <f t="shared" si="84"/>
        <v>153.39759210638505</v>
      </c>
      <c r="N354">
        <f t="shared" si="85"/>
        <v>1.6743431621533036</v>
      </c>
      <c r="O354">
        <f t="shared" si="86"/>
        <v>3258.5997150573603</v>
      </c>
    </row>
    <row r="355" spans="1:15" x14ac:dyDescent="0.2">
      <c r="A355" s="2">
        <v>342</v>
      </c>
      <c r="B355" s="4">
        <f t="shared" si="87"/>
        <v>5.0872689420807378</v>
      </c>
      <c r="C355" s="2">
        <f t="shared" si="88"/>
        <v>-6.9144836643182368E-4</v>
      </c>
      <c r="D355" s="7">
        <f t="shared" si="89"/>
        <v>1159.4048559028872</v>
      </c>
      <c r="E355" s="5">
        <f t="shared" si="90"/>
        <v>2.8522547896824142E-2</v>
      </c>
      <c r="F355" s="2">
        <f t="shared" si="91"/>
        <v>1137.6070297706776</v>
      </c>
      <c r="G355" s="2">
        <f t="shared" si="92"/>
        <v>154535.19913615572</v>
      </c>
      <c r="H355" s="2">
        <f t="shared" si="93"/>
        <v>33.064696889983317</v>
      </c>
      <c r="I355" s="2">
        <f t="shared" si="94"/>
        <v>32619.061847463585</v>
      </c>
      <c r="J355" s="5">
        <f t="shared" si="95"/>
        <v>1.5603188211852834</v>
      </c>
      <c r="K355" s="6">
        <f t="shared" si="83"/>
        <v>3034.0425559052446</v>
      </c>
      <c r="M355">
        <f t="shared" si="84"/>
        <v>154.53519913615571</v>
      </c>
      <c r="N355">
        <f t="shared" si="85"/>
        <v>1.634221615447766</v>
      </c>
      <c r="O355">
        <f t="shared" si="86"/>
        <v>3261.9061847463586</v>
      </c>
    </row>
    <row r="356" spans="1:15" x14ac:dyDescent="0.2">
      <c r="A356" s="2">
        <v>343</v>
      </c>
      <c r="B356" s="4">
        <f t="shared" si="87"/>
        <v>5.0969983455212864</v>
      </c>
      <c r="C356" s="2">
        <f t="shared" si="88"/>
        <v>-6.8267903819276671E-4</v>
      </c>
      <c r="D356" s="7">
        <f t="shared" si="89"/>
        <v>1164.492124844968</v>
      </c>
      <c r="E356" s="5">
        <f t="shared" si="90"/>
        <v>2.7831099530392318E-2</v>
      </c>
      <c r="F356" s="2">
        <f t="shared" si="91"/>
        <v>1142.6000331028542</v>
      </c>
      <c r="G356" s="2">
        <f t="shared" si="92"/>
        <v>155677.79916925856</v>
      </c>
      <c r="H356" s="2">
        <f t="shared" si="93"/>
        <v>32.404912538126112</v>
      </c>
      <c r="I356" s="2">
        <f t="shared" si="94"/>
        <v>32651.466760001709</v>
      </c>
      <c r="J356" s="5">
        <f t="shared" si="95"/>
        <v>1.5602617749652776</v>
      </c>
      <c r="K356" s="6">
        <f t="shared" si="83"/>
        <v>3028.9374171798208</v>
      </c>
      <c r="M356">
        <f t="shared" si="84"/>
        <v>155.67779916925858</v>
      </c>
      <c r="N356">
        <f t="shared" si="85"/>
        <v>1.594604542300007</v>
      </c>
      <c r="O356">
        <f t="shared" si="86"/>
        <v>3265.1466760001708</v>
      </c>
    </row>
    <row r="357" spans="1:15" x14ac:dyDescent="0.2">
      <c r="A357" s="2">
        <v>344</v>
      </c>
      <c r="B357" s="4">
        <f t="shared" si="87"/>
        <v>5.1067431879679148</v>
      </c>
      <c r="C357" s="2">
        <f t="shared" si="88"/>
        <v>-6.7394470908215562E-4</v>
      </c>
      <c r="D357" s="7">
        <f t="shared" si="89"/>
        <v>1169.5891231904893</v>
      </c>
      <c r="E357" s="5">
        <f t="shared" si="90"/>
        <v>2.7148420492199551E-2</v>
      </c>
      <c r="F357" s="2">
        <f t="shared" si="91"/>
        <v>1147.6021979334828</v>
      </c>
      <c r="G357" s="2">
        <f t="shared" si="92"/>
        <v>156825.40136719204</v>
      </c>
      <c r="H357" s="2">
        <f t="shared" si="93"/>
        <v>31.748597003721713</v>
      </c>
      <c r="I357" s="2">
        <f t="shared" si="94"/>
        <v>32683.215357005432</v>
      </c>
      <c r="J357" s="5">
        <f t="shared" si="95"/>
        <v>1.5602058871695437</v>
      </c>
      <c r="K357" s="6">
        <f t="shared" si="83"/>
        <v>3023.832278454398</v>
      </c>
      <c r="M357">
        <f t="shared" si="84"/>
        <v>156.82540136719203</v>
      </c>
      <c r="N357">
        <f t="shared" si="85"/>
        <v>1.5554899146495114</v>
      </c>
      <c r="O357">
        <f t="shared" si="86"/>
        <v>3268.3215357005433</v>
      </c>
    </row>
    <row r="358" spans="1:15" x14ac:dyDescent="0.2">
      <c r="A358" s="2">
        <v>345</v>
      </c>
      <c r="B358" s="4">
        <f t="shared" si="87"/>
        <v>5.1165036749210415</v>
      </c>
      <c r="C358" s="2">
        <f t="shared" si="88"/>
        <v>-6.6524498594845661E-4</v>
      </c>
      <c r="D358" s="7">
        <f t="shared" si="89"/>
        <v>1174.6958663784571</v>
      </c>
      <c r="E358" s="5">
        <f t="shared" si="90"/>
        <v>2.6474475783117395E-2</v>
      </c>
      <c r="F358" s="2">
        <f t="shared" si="91"/>
        <v>1152.6135537222244</v>
      </c>
      <c r="G358" s="2">
        <f t="shared" si="92"/>
        <v>157978.01492091425</v>
      </c>
      <c r="H358" s="2">
        <f t="shared" si="93"/>
        <v>31.095824470395527</v>
      </c>
      <c r="I358" s="2">
        <f t="shared" si="94"/>
        <v>32714.311181475827</v>
      </c>
      <c r="J358" s="5">
        <f t="shared" si="95"/>
        <v>1.5601511513753086</v>
      </c>
      <c r="K358" s="6">
        <f t="shared" si="83"/>
        <v>3018.7271397289746</v>
      </c>
      <c r="M358">
        <f t="shared" si="84"/>
        <v>157.97801492091426</v>
      </c>
      <c r="N358">
        <f t="shared" si="85"/>
        <v>1.5168757271939317</v>
      </c>
      <c r="O358">
        <f t="shared" si="86"/>
        <v>3271.4311181475828</v>
      </c>
    </row>
    <row r="359" spans="1:15" x14ac:dyDescent="0.2">
      <c r="A359" s="2">
        <v>346</v>
      </c>
      <c r="B359" s="4">
        <f t="shared" si="87"/>
        <v>5.1262800122412822</v>
      </c>
      <c r="C359" s="2">
        <f t="shared" si="88"/>
        <v>-6.565794796427511E-4</v>
      </c>
      <c r="D359" s="7">
        <f t="shared" si="89"/>
        <v>1179.8123700533781</v>
      </c>
      <c r="E359" s="5">
        <f t="shared" si="90"/>
        <v>2.5809230797168937E-2</v>
      </c>
      <c r="F359" s="2">
        <f t="shared" si="91"/>
        <v>1157.6341300134948</v>
      </c>
      <c r="G359" s="2">
        <f t="shared" si="92"/>
        <v>159135.64905092775</v>
      </c>
      <c r="H359" s="2">
        <f t="shared" si="93"/>
        <v>30.446669322427429</v>
      </c>
      <c r="I359" s="2">
        <f t="shared" si="94"/>
        <v>32744.757850798254</v>
      </c>
      <c r="J359" s="5">
        <f t="shared" si="95"/>
        <v>1.5600975610340335</v>
      </c>
      <c r="K359" s="6">
        <f t="shared" si="83"/>
        <v>3013.6220010035513</v>
      </c>
      <c r="M359">
        <f t="shared" si="84"/>
        <v>159.13564905092775</v>
      </c>
      <c r="N359">
        <f t="shared" si="85"/>
        <v>1.4787599971568453</v>
      </c>
      <c r="O359">
        <f t="shared" si="86"/>
        <v>3274.4757850798255</v>
      </c>
    </row>
    <row r="360" spans="1:15" x14ac:dyDescent="0.2">
      <c r="A360" s="2">
        <v>347</v>
      </c>
      <c r="B360" s="4">
        <f t="shared" si="87"/>
        <v>5.1360724061632261</v>
      </c>
      <c r="C360" s="2">
        <f t="shared" si="88"/>
        <v>-6.4794780496862752E-4</v>
      </c>
      <c r="D360" s="7">
        <f t="shared" si="89"/>
        <v>1184.9386500656194</v>
      </c>
      <c r="E360" s="5">
        <f t="shared" si="90"/>
        <v>2.5152651317526187E-2</v>
      </c>
      <c r="F360" s="2">
        <f t="shared" si="91"/>
        <v>1162.663956433993</v>
      </c>
      <c r="G360" s="2">
        <f t="shared" si="92"/>
        <v>160298.31300736175</v>
      </c>
      <c r="H360" s="2">
        <f t="shared" si="93"/>
        <v>29.801206147819229</v>
      </c>
      <c r="I360" s="2">
        <f t="shared" si="94"/>
        <v>32774.559056946076</v>
      </c>
      <c r="J360" s="5">
        <f t="shared" si="95"/>
        <v>1.5600451094710228</v>
      </c>
      <c r="K360" s="6">
        <f t="shared" si="83"/>
        <v>3008.516862278128</v>
      </c>
      <c r="M360">
        <f t="shared" si="84"/>
        <v>160.29831300736174</v>
      </c>
      <c r="N360">
        <f t="shared" si="85"/>
        <v>1.44114076405842</v>
      </c>
      <c r="O360">
        <f t="shared" si="86"/>
        <v>3277.4559056946077</v>
      </c>
    </row>
    <row r="361" spans="1:15" x14ac:dyDescent="0.2">
      <c r="A361" s="2">
        <v>348</v>
      </c>
      <c r="B361" s="4">
        <f t="shared" si="87"/>
        <v>5.1458810633092771</v>
      </c>
      <c r="C361" s="2">
        <f t="shared" si="88"/>
        <v>-6.3934958063277796E-4</v>
      </c>
      <c r="D361" s="7">
        <f t="shared" si="89"/>
        <v>1190.0747224717827</v>
      </c>
      <c r="E361" s="5">
        <f t="shared" si="90"/>
        <v>2.4504703512557562E-2</v>
      </c>
      <c r="F361" s="2">
        <f t="shared" si="91"/>
        <v>1167.7030626902283</v>
      </c>
      <c r="G361" s="2">
        <f t="shared" si="92"/>
        <v>161466.01607005199</v>
      </c>
      <c r="H361" s="2">
        <f t="shared" si="93"/>
        <v>29.159509741366815</v>
      </c>
      <c r="I361" s="2">
        <f t="shared" si="94"/>
        <v>32803.718566687443</v>
      </c>
      <c r="J361" s="5">
        <f t="shared" si="95"/>
        <v>1.5599937898850202</v>
      </c>
      <c r="K361" s="6">
        <f t="shared" si="83"/>
        <v>3003.4117235527046</v>
      </c>
      <c r="M361">
        <f t="shared" si="84"/>
        <v>161.46601607005198</v>
      </c>
      <c r="N361">
        <f t="shared" si="85"/>
        <v>1.404016089488952</v>
      </c>
      <c r="O361">
        <f t="shared" si="86"/>
        <v>3280.3718566687444</v>
      </c>
    </row>
    <row r="362" spans="1:15" x14ac:dyDescent="0.2">
      <c r="A362" s="2">
        <v>349</v>
      </c>
      <c r="B362" s="4">
        <f t="shared" si="87"/>
        <v>5.1557061907035369</v>
      </c>
      <c r="C362" s="2">
        <f t="shared" si="88"/>
        <v>-6.3078442919629928E-4</v>
      </c>
      <c r="D362" s="7">
        <f t="shared" si="89"/>
        <v>1195.2206035350921</v>
      </c>
      <c r="E362" s="5">
        <f t="shared" si="90"/>
        <v>2.3865353931924783E-2</v>
      </c>
      <c r="F362" s="2">
        <f t="shared" si="91"/>
        <v>1172.7514785660487</v>
      </c>
      <c r="G362" s="2">
        <f t="shared" si="92"/>
        <v>162638.76754861805</v>
      </c>
      <c r="H362" s="2">
        <f t="shared" si="93"/>
        <v>28.521655107737036</v>
      </c>
      <c r="I362" s="2">
        <f t="shared" si="94"/>
        <v>32832.240221795182</v>
      </c>
      <c r="J362" s="5">
        <f t="shared" si="95"/>
        <v>1.5599435953477985</v>
      </c>
      <c r="K362" s="6">
        <f t="shared" si="83"/>
        <v>2998.3065848272818</v>
      </c>
      <c r="M362">
        <f t="shared" si="84"/>
        <v>162.63876754861806</v>
      </c>
      <c r="N362">
        <f t="shared" si="85"/>
        <v>1.3673840568852345</v>
      </c>
      <c r="O362">
        <f t="shared" si="86"/>
        <v>3283.2240221795182</v>
      </c>
    </row>
    <row r="363" spans="1:15" x14ac:dyDescent="0.2">
      <c r="A363" s="2">
        <v>350</v>
      </c>
      <c r="B363" s="4">
        <f t="shared" si="87"/>
        <v>5.1655479957857562</v>
      </c>
      <c r="C363" s="2">
        <f t="shared" si="88"/>
        <v>-6.2225197702668665E-4</v>
      </c>
      <c r="D363" s="7">
        <f t="shared" si="89"/>
        <v>1200.3763097257956</v>
      </c>
      <c r="E363" s="5">
        <f t="shared" si="90"/>
        <v>2.3234569502728484E-2</v>
      </c>
      <c r="F363" s="2">
        <f t="shared" si="91"/>
        <v>1177.8092339201655</v>
      </c>
      <c r="G363" s="2">
        <f t="shared" si="92"/>
        <v>163816.57678253821</v>
      </c>
      <c r="H363" s="2">
        <f t="shared" si="93"/>
        <v>27.887717464549457</v>
      </c>
      <c r="I363" s="2">
        <f t="shared" si="94"/>
        <v>32860.127939259728</v>
      </c>
      <c r="J363" s="5">
        <f t="shared" si="95"/>
        <v>1.559894518803743</v>
      </c>
      <c r="K363" s="6">
        <f t="shared" si="83"/>
        <v>2993.201446101858</v>
      </c>
      <c r="M363">
        <f t="shared" si="84"/>
        <v>163.81657678253822</v>
      </c>
      <c r="N363">
        <f t="shared" si="85"/>
        <v>1.3312427713097179</v>
      </c>
      <c r="O363">
        <f t="shared" si="86"/>
        <v>3286.0127939259728</v>
      </c>
    </row>
    <row r="364" spans="1:15" x14ac:dyDescent="0.2">
      <c r="A364" s="2">
        <v>351</v>
      </c>
      <c r="B364" s="4">
        <f t="shared" si="87"/>
        <v>5.175406686425327</v>
      </c>
      <c r="C364" s="2">
        <f t="shared" si="88"/>
        <v>-6.1375185425051012E-4</v>
      </c>
      <c r="D364" s="7">
        <f t="shared" si="89"/>
        <v>1205.5418577215814</v>
      </c>
      <c r="E364" s="5">
        <f t="shared" si="90"/>
        <v>2.2612317525701798E-2</v>
      </c>
      <c r="F364" s="2">
        <f t="shared" si="91"/>
        <v>1182.8763586836794</v>
      </c>
      <c r="G364" s="2">
        <f t="shared" si="92"/>
        <v>164999.45314122189</v>
      </c>
      <c r="H364" s="2">
        <f t="shared" si="93"/>
        <v>27.257772245463091</v>
      </c>
      <c r="I364" s="2">
        <f t="shared" si="94"/>
        <v>32887.385711505194</v>
      </c>
      <c r="J364" s="5">
        <f t="shared" si="95"/>
        <v>1.5598465530694265</v>
      </c>
      <c r="K364" s="6">
        <f t="shared" si="83"/>
        <v>2988.0963073764351</v>
      </c>
      <c r="M364">
        <f t="shared" si="84"/>
        <v>164.99945314122189</v>
      </c>
      <c r="N364">
        <f t="shared" si="85"/>
        <v>1.2955903592324174</v>
      </c>
      <c r="O364">
        <f t="shared" si="86"/>
        <v>3288.7385711505194</v>
      </c>
    </row>
    <row r="365" spans="1:15" x14ac:dyDescent="0.2">
      <c r="A365" s="2">
        <v>352</v>
      </c>
      <c r="B365" s="4">
        <f t="shared" si="87"/>
        <v>5.1852824709353564</v>
      </c>
      <c r="C365" s="2">
        <f t="shared" si="88"/>
        <v>-6.0528369470676561E-4</v>
      </c>
      <c r="D365" s="7">
        <f t="shared" si="89"/>
        <v>1210.7172644080067</v>
      </c>
      <c r="E365" s="5">
        <f t="shared" si="90"/>
        <v>2.1998565671451288E-2</v>
      </c>
      <c r="F365" s="2">
        <f t="shared" si="91"/>
        <v>1187.9528828576015</v>
      </c>
      <c r="G365" s="2">
        <f t="shared" si="92"/>
        <v>166187.40602407951</v>
      </c>
      <c r="H365" s="2">
        <f t="shared" si="93"/>
        <v>26.631895103268185</v>
      </c>
      <c r="I365" s="2">
        <f t="shared" si="94"/>
        <v>32914.01760660846</v>
      </c>
      <c r="J365" s="5">
        <f t="shared" si="95"/>
        <v>1.5597996908331802</v>
      </c>
      <c r="K365" s="6">
        <f t="shared" si="83"/>
        <v>2982.9911686510118</v>
      </c>
      <c r="M365">
        <f t="shared" si="84"/>
        <v>166.18740602407951</v>
      </c>
      <c r="N365">
        <f t="shared" si="85"/>
        <v>1.2604249683155349</v>
      </c>
      <c r="O365">
        <f t="shared" si="86"/>
        <v>3291.4017606608459</v>
      </c>
    </row>
    <row r="366" spans="1:15" x14ac:dyDescent="0.2">
      <c r="A366" s="2">
        <v>353</v>
      </c>
      <c r="B366" s="4">
        <f t="shared" si="87"/>
        <v>5.1951755580867802</v>
      </c>
      <c r="C366" s="2">
        <f t="shared" si="88"/>
        <v>-5.9684713590088892E-4</v>
      </c>
      <c r="D366" s="7">
        <f t="shared" si="89"/>
        <v>1215.9025468789421</v>
      </c>
      <c r="E366" s="5">
        <f t="shared" si="90"/>
        <v>2.1393281976744522E-2</v>
      </c>
      <c r="F366" s="2">
        <f t="shared" si="91"/>
        <v>1193.0388365103747</v>
      </c>
      <c r="G366" s="2">
        <f t="shared" si="92"/>
        <v>167380.44486058989</v>
      </c>
      <c r="H366" s="2">
        <f t="shared" si="93"/>
        <v>26.010161912983211</v>
      </c>
      <c r="I366" s="2">
        <f t="shared" si="94"/>
        <v>32940.027768521446</v>
      </c>
      <c r="J366" s="5">
        <f t="shared" si="95"/>
        <v>1.5597539246546555</v>
      </c>
      <c r="K366" s="6">
        <f t="shared" si="83"/>
        <v>2977.8860299255884</v>
      </c>
      <c r="M366">
        <f t="shared" si="84"/>
        <v>167.3804448605899</v>
      </c>
      <c r="N366">
        <f t="shared" si="85"/>
        <v>1.225744767200752</v>
      </c>
      <c r="O366">
        <f t="shared" si="86"/>
        <v>3294.0027768521445</v>
      </c>
    </row>
    <row r="367" spans="1:15" x14ac:dyDescent="0.2">
      <c r="A367" s="2">
        <v>354</v>
      </c>
      <c r="B367" s="4">
        <f t="shared" si="87"/>
        <v>5.2050861571225422</v>
      </c>
      <c r="C367" s="2">
        <f t="shared" si="88"/>
        <v>-5.8844181895942728E-4</v>
      </c>
      <c r="D367" s="7">
        <f t="shared" si="89"/>
        <v>1221.0977224370288</v>
      </c>
      <c r="E367" s="5">
        <f t="shared" si="90"/>
        <v>2.0796434840843633E-2</v>
      </c>
      <c r="F367" s="2">
        <f t="shared" si="91"/>
        <v>1198.134249775389</v>
      </c>
      <c r="G367" s="2">
        <f t="shared" si="92"/>
        <v>168578.57911036527</v>
      </c>
      <c r="H367" s="2">
        <f t="shared" si="93"/>
        <v>25.392648774957092</v>
      </c>
      <c r="I367" s="2">
        <f t="shared" si="94"/>
        <v>32965.420417296402</v>
      </c>
      <c r="J367" s="5">
        <f t="shared" si="95"/>
        <v>1.5597092469643807</v>
      </c>
      <c r="K367" s="6">
        <f t="shared" si="83"/>
        <v>2972.7808912001651</v>
      </c>
      <c r="M367">
        <f t="shared" si="84"/>
        <v>168.57857911036527</v>
      </c>
      <c r="N367">
        <f t="shared" si="85"/>
        <v>1.1915479452991602</v>
      </c>
      <c r="O367">
        <f t="shared" si="86"/>
        <v>3296.54204172964</v>
      </c>
    </row>
    <row r="368" spans="1:15" x14ac:dyDescent="0.2">
      <c r="A368" s="2">
        <v>355</v>
      </c>
      <c r="B368" s="4">
        <f t="shared" si="87"/>
        <v>5.2150144777718488</v>
      </c>
      <c r="C368" s="2">
        <f t="shared" si="88"/>
        <v>-5.8006738858534833E-4</v>
      </c>
      <c r="D368" s="7">
        <f t="shared" si="89"/>
        <v>1226.3028085941514</v>
      </c>
      <c r="E368" s="5">
        <f t="shared" si="90"/>
        <v>2.0207993021884207E-2</v>
      </c>
      <c r="F368" s="2">
        <f t="shared" si="91"/>
        <v>1203.2391528484984</v>
      </c>
      <c r="G368" s="2">
        <f t="shared" si="92"/>
        <v>169781.81826321376</v>
      </c>
      <c r="H368" s="2">
        <f t="shared" si="93"/>
        <v>24.779432017976905</v>
      </c>
      <c r="I368" s="2">
        <f t="shared" si="94"/>
        <v>32990.199849314376</v>
      </c>
      <c r="J368" s="5">
        <f t="shared" si="95"/>
        <v>1.5596656500633066</v>
      </c>
      <c r="K368" s="6">
        <f t="shared" si="83"/>
        <v>2967.6757524747418</v>
      </c>
      <c r="M368">
        <f t="shared" si="84"/>
        <v>169.78181826321375</v>
      </c>
      <c r="N368">
        <f t="shared" si="85"/>
        <v>1.1578327125837837</v>
      </c>
      <c r="O368">
        <f t="shared" si="86"/>
        <v>3299.0199849314376</v>
      </c>
    </row>
    <row r="369" spans="1:15" x14ac:dyDescent="0.2">
      <c r="A369" s="2">
        <v>356</v>
      </c>
      <c r="B369" s="4">
        <f t="shared" si="87"/>
        <v>5.2249607302644669</v>
      </c>
      <c r="C369" s="2">
        <f t="shared" si="88"/>
        <v>-5.7172349301399725E-4</v>
      </c>
      <c r="D369" s="7">
        <f t="shared" si="89"/>
        <v>1231.5178230719232</v>
      </c>
      <c r="E369" s="5">
        <f t="shared" si="90"/>
        <v>1.9627925633298859E-2</v>
      </c>
      <c r="F369" s="2">
        <f t="shared" si="91"/>
        <v>1208.3535759855265</v>
      </c>
      <c r="G369" s="2">
        <f t="shared" si="92"/>
        <v>170990.17183919929</v>
      </c>
      <c r="H369" s="2">
        <f t="shared" si="93"/>
        <v>24.170588202380976</v>
      </c>
      <c r="I369" s="2">
        <f t="shared" si="94"/>
        <v>33014.370437516758</v>
      </c>
      <c r="J369" s="5">
        <f t="shared" si="95"/>
        <v>1.5596231261223494</v>
      </c>
      <c r="K369" s="6">
        <f t="shared" si="83"/>
        <v>2962.5706137493189</v>
      </c>
      <c r="M369">
        <f t="shared" si="84"/>
        <v>170.99017183919929</v>
      </c>
      <c r="N369">
        <f t="shared" si="85"/>
        <v>1.124597299384668</v>
      </c>
      <c r="O369">
        <f t="shared" si="86"/>
        <v>3301.4370437516759</v>
      </c>
    </row>
    <row r="370" spans="1:15" x14ac:dyDescent="0.2">
      <c r="A370" s="2">
        <v>357</v>
      </c>
      <c r="B370" s="4">
        <f t="shared" si="87"/>
        <v>5.234925125345109</v>
      </c>
      <c r="C370" s="2">
        <f t="shared" si="88"/>
        <v>-5.6340978396967267E-4</v>
      </c>
      <c r="D370" s="7">
        <f t="shared" si="89"/>
        <v>1236.7427838021877</v>
      </c>
      <c r="E370" s="5">
        <f t="shared" si="90"/>
        <v>1.9056202140284861E-2</v>
      </c>
      <c r="F370" s="2">
        <f t="shared" si="91"/>
        <v>1213.4775494997775</v>
      </c>
      <c r="G370" s="2">
        <f t="shared" si="92"/>
        <v>172203.64938869906</v>
      </c>
      <c r="H370" s="2">
        <f t="shared" si="93"/>
        <v>23.566194123177652</v>
      </c>
      <c r="I370" s="2">
        <f t="shared" si="94"/>
        <v>33037.936631639939</v>
      </c>
      <c r="J370" s="5">
        <f t="shared" si="95"/>
        <v>1.5595816671819278</v>
      </c>
      <c r="K370" s="6">
        <f t="shared" si="83"/>
        <v>2957.4654750238951</v>
      </c>
      <c r="M370">
        <f t="shared" si="84"/>
        <v>172.20364938869906</v>
      </c>
      <c r="N370">
        <f t="shared" si="85"/>
        <v>1.0918399561864889</v>
      </c>
      <c r="O370">
        <f t="shared" si="86"/>
        <v>3303.7936631639941</v>
      </c>
    </row>
    <row r="371" spans="1:15" x14ac:dyDescent="0.2">
      <c r="A371" s="2">
        <v>358</v>
      </c>
      <c r="B371" s="4">
        <f t="shared" si="87"/>
        <v>5.2449078742878648</v>
      </c>
      <c r="C371" s="2">
        <f t="shared" si="88"/>
        <v>-5.5512591662282458E-4</v>
      </c>
      <c r="D371" s="7">
        <f t="shared" si="89"/>
        <v>1241.9777089275328</v>
      </c>
      <c r="E371" s="5">
        <f t="shared" si="90"/>
        <v>1.849279235631519E-2</v>
      </c>
      <c r="F371" s="2">
        <f t="shared" si="91"/>
        <v>1218.6111037595338</v>
      </c>
      <c r="G371" s="2">
        <f t="shared" si="92"/>
        <v>173422.26049245859</v>
      </c>
      <c r="H371" s="2">
        <f t="shared" si="93"/>
        <v>22.966326813169779</v>
      </c>
      <c r="I371" s="2">
        <f t="shared" si="94"/>
        <v>33060.902958453109</v>
      </c>
      <c r="J371" s="5">
        <f t="shared" si="95"/>
        <v>1.5595412651514866</v>
      </c>
      <c r="K371" s="6">
        <f t="shared" si="83"/>
        <v>2952.3603362984722</v>
      </c>
      <c r="M371">
        <f t="shared" si="84"/>
        <v>173.42226049245858</v>
      </c>
      <c r="N371">
        <f t="shared" si="85"/>
        <v>1.0595589534286491</v>
      </c>
      <c r="O371">
        <f t="shared" si="86"/>
        <v>3306.0902958453107</v>
      </c>
    </row>
    <row r="372" spans="1:15" x14ac:dyDescent="0.2">
      <c r="A372" s="2">
        <v>359</v>
      </c>
      <c r="B372" s="4">
        <f t="shared" si="87"/>
        <v>5.2549091889107187</v>
      </c>
      <c r="C372" s="2">
        <f t="shared" si="88"/>
        <v>-5.4687154954786358E-4</v>
      </c>
      <c r="D372" s="7">
        <f t="shared" si="89"/>
        <v>1247.2226168018208</v>
      </c>
      <c r="E372" s="5">
        <f t="shared" si="90"/>
        <v>1.7937666439692364E-2</v>
      </c>
      <c r="F372" s="2">
        <f t="shared" si="91"/>
        <v>1223.7542691855556</v>
      </c>
      <c r="G372" s="2">
        <f t="shared" si="92"/>
        <v>174646.01476164415</v>
      </c>
      <c r="H372" s="2">
        <f t="shared" si="93"/>
        <v>22.371063546084937</v>
      </c>
      <c r="I372" s="2">
        <f t="shared" si="94"/>
        <v>33083.274021999197</v>
      </c>
      <c r="J372" s="5">
        <f t="shared" si="95"/>
        <v>1.5595019118090228</v>
      </c>
      <c r="K372" s="6">
        <f t="shared" si="83"/>
        <v>2947.2551975730489</v>
      </c>
      <c r="M372">
        <f t="shared" si="84"/>
        <v>174.64601476164415</v>
      </c>
      <c r="N372">
        <f t="shared" si="85"/>
        <v>1.0277525813078301</v>
      </c>
      <c r="O372">
        <f t="shared" si="86"/>
        <v>3308.3274021999196</v>
      </c>
    </row>
    <row r="373" spans="1:15" x14ac:dyDescent="0.2">
      <c r="A373" s="2">
        <v>360</v>
      </c>
      <c r="B373" s="4">
        <f t="shared" si="87"/>
        <v>5.264929281590125</v>
      </c>
      <c r="C373" s="2">
        <f t="shared" si="88"/>
        <v>-5.3864634468156784E-4</v>
      </c>
      <c r="D373" s="7">
        <f t="shared" si="89"/>
        <v>1252.4775259907315</v>
      </c>
      <c r="E373" s="5">
        <f t="shared" si="90"/>
        <v>1.7390794890144501E-2</v>
      </c>
      <c r="F373" s="2">
        <f t="shared" si="91"/>
        <v>1228.9070762485694</v>
      </c>
      <c r="G373" s="2">
        <f t="shared" si="92"/>
        <v>175874.92183789273</v>
      </c>
      <c r="H373" s="2">
        <f t="shared" si="93"/>
        <v>21.780481839711687</v>
      </c>
      <c r="I373" s="2">
        <f t="shared" si="94"/>
        <v>33105.05450383891</v>
      </c>
      <c r="J373" s="5">
        <f t="shared" si="95"/>
        <v>1.5594635988005938</v>
      </c>
      <c r="K373" s="6">
        <f t="shared" si="83"/>
        <v>2942.1500588476256</v>
      </c>
      <c r="M373">
        <f t="shared" si="84"/>
        <v>175.87492183789274</v>
      </c>
      <c r="N373">
        <f t="shared" si="85"/>
        <v>0.99641914958295807</v>
      </c>
      <c r="O373">
        <f t="shared" si="86"/>
        <v>3310.505450383891</v>
      </c>
    </row>
    <row r="374" spans="1:15" x14ac:dyDescent="0.2">
      <c r="A374" s="2">
        <v>361</v>
      </c>
      <c r="B374" s="4">
        <f t="shared" si="87"/>
        <v>5.2749683652756589</v>
      </c>
      <c r="C374" s="2">
        <f t="shared" si="88"/>
        <v>-5.3044996728208917E-4</v>
      </c>
      <c r="D374" s="7">
        <f t="shared" si="89"/>
        <v>1257.7424552723216</v>
      </c>
      <c r="E374" s="5">
        <f t="shared" si="90"/>
        <v>1.6852148545462933E-2</v>
      </c>
      <c r="F374" s="2">
        <f t="shared" si="91"/>
        <v>1234.0695554667564</v>
      </c>
      <c r="G374" s="2">
        <f t="shared" si="92"/>
        <v>177108.99139335949</v>
      </c>
      <c r="H374" s="2">
        <f t="shared" si="93"/>
        <v>21.19465945904177</v>
      </c>
      <c r="I374" s="2">
        <f t="shared" si="94"/>
        <v>33126.249163297951</v>
      </c>
      <c r="J374" s="5">
        <f t="shared" si="95"/>
        <v>1.5594263176398317</v>
      </c>
      <c r="K374" s="6">
        <f t="shared" si="83"/>
        <v>2937.0449201222027</v>
      </c>
      <c r="M374">
        <f t="shared" si="84"/>
        <v>177.1089913933595</v>
      </c>
      <c r="N374">
        <f t="shared" si="85"/>
        <v>0.96555698738255513</v>
      </c>
      <c r="O374">
        <f t="shared" si="86"/>
        <v>3312.6249163297953</v>
      </c>
    </row>
    <row r="375" spans="1:15" x14ac:dyDescent="0.2">
      <c r="A375" s="2">
        <v>362</v>
      </c>
      <c r="B375" s="4">
        <f t="shared" si="87"/>
        <v>5.2850266535047448</v>
      </c>
      <c r="C375" s="2">
        <f t="shared" si="88"/>
        <v>-5.2228208588853673E-4</v>
      </c>
      <c r="D375" s="7">
        <f t="shared" si="89"/>
        <v>1263.0174236375974</v>
      </c>
      <c r="E375" s="5">
        <f t="shared" si="90"/>
        <v>1.6321698578180843E-2</v>
      </c>
      <c r="F375" s="2">
        <f t="shared" si="91"/>
        <v>1239.2417374032289</v>
      </c>
      <c r="G375" s="2">
        <f t="shared" si="92"/>
        <v>178348.23313076273</v>
      </c>
      <c r="H375" s="2">
        <f t="shared" si="93"/>
        <v>20.613674419418505</v>
      </c>
      <c r="I375" s="2">
        <f t="shared" si="94"/>
        <v>33146.862837717366</v>
      </c>
      <c r="J375" s="5">
        <f t="shared" si="95"/>
        <v>1.5593900597074368</v>
      </c>
      <c r="K375" s="6">
        <f t="shared" si="83"/>
        <v>2931.9397813967789</v>
      </c>
      <c r="M375">
        <f t="shared" si="84"/>
        <v>178.34823313076274</v>
      </c>
      <c r="N375">
        <f t="shared" si="85"/>
        <v>0.9351644430144388</v>
      </c>
      <c r="O375">
        <f t="shared" si="86"/>
        <v>3314.6862837717367</v>
      </c>
    </row>
    <row r="376" spans="1:15" x14ac:dyDescent="0.2">
      <c r="A376" s="2">
        <v>363</v>
      </c>
      <c r="B376" s="4">
        <f t="shared" si="87"/>
        <v>5.2951043604174473</v>
      </c>
      <c r="C376" s="2">
        <f t="shared" si="88"/>
        <v>-5.1414237228114611E-4</v>
      </c>
      <c r="D376" s="7">
        <f t="shared" si="89"/>
        <v>1268.3024502911021</v>
      </c>
      <c r="E376" s="5">
        <f t="shared" si="90"/>
        <v>1.5799416492292304E-2</v>
      </c>
      <c r="F376" s="2">
        <f t="shared" si="91"/>
        <v>1244.4236526635052</v>
      </c>
      <c r="G376" s="2">
        <f t="shared" si="92"/>
        <v>179592.65678342624</v>
      </c>
      <c r="H376" s="2">
        <f t="shared" si="93"/>
        <v>20.037604989691388</v>
      </c>
      <c r="I376" s="2">
        <f t="shared" si="94"/>
        <v>33166.900442707061</v>
      </c>
      <c r="J376" s="5">
        <f t="shared" si="95"/>
        <v>1.5593548162506774</v>
      </c>
      <c r="K376" s="6">
        <f t="shared" si="83"/>
        <v>2926.8346426713561</v>
      </c>
      <c r="M376">
        <f t="shared" si="84"/>
        <v>179.59265678342624</v>
      </c>
      <c r="N376">
        <f t="shared" si="85"/>
        <v>0.90523988377773634</v>
      </c>
      <c r="O376">
        <f t="shared" si="86"/>
        <v>3316.690044270706</v>
      </c>
    </row>
    <row r="377" spans="1:15" x14ac:dyDescent="0.2">
      <c r="A377" s="2">
        <v>364</v>
      </c>
      <c r="B377" s="4">
        <f t="shared" si="87"/>
        <v>5.3052017007713577</v>
      </c>
      <c r="C377" s="2">
        <f t="shared" si="88"/>
        <v>-5.0603050144200866E-4</v>
      </c>
      <c r="D377" s="7">
        <f t="shared" si="89"/>
        <v>1273.5975546515197</v>
      </c>
      <c r="E377" s="5">
        <f t="shared" si="90"/>
        <v>1.5285274120011159E-2</v>
      </c>
      <c r="F377" s="2">
        <f t="shared" si="91"/>
        <v>1249.6153318929753</v>
      </c>
      <c r="G377" s="2">
        <f t="shared" si="92"/>
        <v>180842.27211531921</v>
      </c>
      <c r="H377" s="2">
        <f t="shared" si="93"/>
        <v>19.466529695377094</v>
      </c>
      <c r="I377" s="2">
        <f t="shared" si="94"/>
        <v>33186.366972402437</v>
      </c>
      <c r="J377" s="5">
        <f t="shared" si="95"/>
        <v>1.5593205783828734</v>
      </c>
      <c r="K377" s="6">
        <f t="shared" si="83"/>
        <v>2921.7295039459323</v>
      </c>
      <c r="M377">
        <f t="shared" si="84"/>
        <v>180.84227211531922</v>
      </c>
      <c r="N377">
        <f t="shared" si="85"/>
        <v>0.87578169577718279</v>
      </c>
      <c r="O377">
        <f t="shared" si="86"/>
        <v>3318.6366972402438</v>
      </c>
    </row>
    <row r="378" spans="1:15" x14ac:dyDescent="0.2">
      <c r="A378" s="2">
        <v>365</v>
      </c>
      <c r="B378" s="4">
        <f t="shared" si="87"/>
        <v>5.3153188899565293</v>
      </c>
      <c r="C378" s="2">
        <f t="shared" si="88"/>
        <v>-4.9794615151636757E-4</v>
      </c>
      <c r="D378" s="7">
        <f t="shared" si="89"/>
        <v>1278.9027563522909</v>
      </c>
      <c r="E378" s="5">
        <f t="shared" si="90"/>
        <v>1.477924361856915E-2</v>
      </c>
      <c r="F378" s="2">
        <f t="shared" si="91"/>
        <v>1254.816805774358</v>
      </c>
      <c r="G378" s="2">
        <f t="shared" si="92"/>
        <v>182097.08892109356</v>
      </c>
      <c r="H378" s="2">
        <f t="shared" si="93"/>
        <v>18.900527321826893</v>
      </c>
      <c r="I378" s="2">
        <f t="shared" si="94"/>
        <v>33205.267499724265</v>
      </c>
      <c r="J378" s="5">
        <f t="shared" si="95"/>
        <v>1.5592873370828781</v>
      </c>
      <c r="K378" s="6">
        <f t="shared" si="83"/>
        <v>2916.6243652205094</v>
      </c>
      <c r="M378">
        <f t="shared" si="84"/>
        <v>182.09708892109356</v>
      </c>
      <c r="N378">
        <f t="shared" si="85"/>
        <v>0.84678828373966686</v>
      </c>
      <c r="O378">
        <f t="shared" si="86"/>
        <v>3320.5267499724264</v>
      </c>
    </row>
    <row r="379" spans="1:15" x14ac:dyDescent="0.2">
      <c r="A379" s="2">
        <v>366</v>
      </c>
      <c r="B379" s="4">
        <f t="shared" si="87"/>
        <v>5.3254561440105261</v>
      </c>
      <c r="C379" s="2">
        <f t="shared" si="88"/>
        <v>-4.898890037744653E-4</v>
      </c>
      <c r="D379" s="7">
        <f t="shared" si="89"/>
        <v>1284.2180752422473</v>
      </c>
      <c r="E379" s="5">
        <f t="shared" si="90"/>
        <v>1.4281297467052782E-2</v>
      </c>
      <c r="F379" s="2">
        <f t="shared" si="91"/>
        <v>1260.0281050251542</v>
      </c>
      <c r="G379" s="2">
        <f t="shared" si="92"/>
        <v>183357.11702611871</v>
      </c>
      <c r="H379" s="2">
        <f t="shared" si="93"/>
        <v>18.339676917400666</v>
      </c>
      <c r="I379" s="2">
        <f t="shared" si="94"/>
        <v>33223.607176641664</v>
      </c>
      <c r="J379" s="5">
        <f t="shared" si="95"/>
        <v>1.5592550831945524</v>
      </c>
      <c r="K379" s="6">
        <f t="shared" si="83"/>
        <v>2911.5192264950861</v>
      </c>
      <c r="M379">
        <f t="shared" si="84"/>
        <v>183.35711702611871</v>
      </c>
      <c r="N379">
        <f t="shared" si="85"/>
        <v>0.81825807083299729</v>
      </c>
      <c r="O379">
        <f t="shared" si="86"/>
        <v>3322.3607176641663</v>
      </c>
    </row>
    <row r="380" spans="1:15" x14ac:dyDescent="0.2">
      <c r="A380" s="2">
        <v>367</v>
      </c>
      <c r="B380" s="4">
        <f t="shared" si="87"/>
        <v>5.3356136796335258</v>
      </c>
      <c r="C380" s="2">
        <f t="shared" si="88"/>
        <v>-4.8185874257393414E-4</v>
      </c>
      <c r="D380" s="7">
        <f t="shared" si="89"/>
        <v>1289.5435313862579</v>
      </c>
      <c r="E380" s="5">
        <f t="shared" si="90"/>
        <v>1.3791408463278317E-2</v>
      </c>
      <c r="F380" s="2">
        <f t="shared" si="91"/>
        <v>1265.2492603950873</v>
      </c>
      <c r="G380" s="2">
        <f t="shared" si="92"/>
        <v>184622.3662865138</v>
      </c>
      <c r="H380" s="2">
        <f t="shared" si="93"/>
        <v>17.784057796647613</v>
      </c>
      <c r="I380" s="2">
        <f t="shared" si="94"/>
        <v>33241.391234438313</v>
      </c>
      <c r="J380" s="5">
        <f t="shared" si="95"/>
        <v>1.5592238074262299</v>
      </c>
      <c r="K380" s="6">
        <f t="shared" si="83"/>
        <v>2906.4140877696627</v>
      </c>
      <c r="M380">
        <f t="shared" si="84"/>
        <v>184.6223662865138</v>
      </c>
      <c r="N380">
        <f t="shared" si="85"/>
        <v>0.79018949848685194</v>
      </c>
      <c r="O380">
        <f t="shared" si="86"/>
        <v>3324.1391234438315</v>
      </c>
    </row>
    <row r="381" spans="1:15" x14ac:dyDescent="0.2">
      <c r="A381" s="2">
        <v>368</v>
      </c>
      <c r="B381" s="4">
        <f t="shared" si="87"/>
        <v>5.3457917142035178</v>
      </c>
      <c r="C381" s="2">
        <f t="shared" si="88"/>
        <v>-4.7385505532272787E-4</v>
      </c>
      <c r="D381" s="7">
        <f t="shared" si="89"/>
        <v>1294.8791450658914</v>
      </c>
      <c r="E381" s="5">
        <f t="shared" si="90"/>
        <v>1.3309549720704382E-2</v>
      </c>
      <c r="F381" s="2">
        <f t="shared" si="91"/>
        <v>1270.4803026635384</v>
      </c>
      <c r="G381" s="2">
        <f t="shared" si="92"/>
        <v>185892.84658917735</v>
      </c>
      <c r="H381" s="2">
        <f t="shared" si="93"/>
        <v>17.233749543493701</v>
      </c>
      <c r="I381" s="2">
        <f t="shared" si="94"/>
        <v>33258.624983981805</v>
      </c>
      <c r="J381" s="5">
        <f t="shared" si="95"/>
        <v>1.5591935003501789</v>
      </c>
      <c r="K381" s="6">
        <f t="shared" si="83"/>
        <v>2901.3089490442399</v>
      </c>
      <c r="M381">
        <f t="shared" si="84"/>
        <v>185.89284658917734</v>
      </c>
      <c r="N381">
        <f t="shared" si="85"/>
        <v>0.76258102621588464</v>
      </c>
      <c r="O381">
        <f t="shared" si="86"/>
        <v>3325.8624983981804</v>
      </c>
    </row>
    <row r="382" spans="1:15" x14ac:dyDescent="0.2">
      <c r="A382" s="2">
        <v>369</v>
      </c>
      <c r="B382" s="4">
        <f t="shared" si="87"/>
        <v>5.3559904657915851</v>
      </c>
      <c r="C382" s="2">
        <f t="shared" si="88"/>
        <v>-4.6587763244258161E-4</v>
      </c>
      <c r="D382" s="7">
        <f t="shared" si="89"/>
        <v>1300.2249367800948</v>
      </c>
      <c r="E382" s="5">
        <f t="shared" si="90"/>
        <v>1.2835694665381654E-2</v>
      </c>
      <c r="F382" s="2">
        <f t="shared" si="91"/>
        <v>1275.7212626369721</v>
      </c>
      <c r="G382" s="2">
        <f t="shared" si="92"/>
        <v>187168.56785181432</v>
      </c>
      <c r="H382" s="2">
        <f t="shared" si="93"/>
        <v>16.688832014436059</v>
      </c>
      <c r="I382" s="2">
        <f t="shared" si="94"/>
        <v>33275.31381599624</v>
      </c>
      <c r="J382" s="5">
        <f t="shared" si="95"/>
        <v>1.5591641524020554</v>
      </c>
      <c r="K382" s="6">
        <f t="shared" si="83"/>
        <v>2896.2038103188161</v>
      </c>
      <c r="M382">
        <f t="shared" si="84"/>
        <v>187.16856785181432</v>
      </c>
      <c r="N382">
        <f t="shared" si="85"/>
        <v>0.7354311314449542</v>
      </c>
      <c r="O382">
        <f t="shared" si="86"/>
        <v>3327.5313815996242</v>
      </c>
    </row>
    <row r="383" spans="1:15" x14ac:dyDescent="0.2">
      <c r="A383" s="2">
        <v>370</v>
      </c>
      <c r="B383" s="4">
        <f t="shared" si="87"/>
        <v>5.3662101531772635</v>
      </c>
      <c r="C383" s="2">
        <f t="shared" si="88"/>
        <v>-4.5792616733299538E-4</v>
      </c>
      <c r="D383" s="7">
        <f t="shared" si="89"/>
        <v>1305.5809272458864</v>
      </c>
      <c r="E383" s="5">
        <f t="shared" si="90"/>
        <v>1.2369817032939073E-2</v>
      </c>
      <c r="F383" s="2">
        <f t="shared" si="91"/>
        <v>1280.9721711463512</v>
      </c>
      <c r="G383" s="2">
        <f t="shared" si="92"/>
        <v>188449.54002296069</v>
      </c>
      <c r="H383" s="2">
        <f t="shared" si="93"/>
        <v>16.14938534174436</v>
      </c>
      <c r="I383" s="2">
        <f t="shared" si="94"/>
        <v>33291.463201337981</v>
      </c>
      <c r="J383" s="5">
        <f t="shared" si="95"/>
        <v>1.5591357538803512</v>
      </c>
      <c r="K383" s="6">
        <f t="shared" si="83"/>
        <v>2891.0986715933932</v>
      </c>
      <c r="M383">
        <f t="shared" si="84"/>
        <v>188.44954002296069</v>
      </c>
      <c r="N383">
        <f t="shared" si="85"/>
        <v>0.70873830933644733</v>
      </c>
      <c r="O383">
        <f t="shared" si="86"/>
        <v>3329.1463201337983</v>
      </c>
    </row>
    <row r="384" spans="1:15" x14ac:dyDescent="0.2">
      <c r="A384" s="2">
        <v>371</v>
      </c>
      <c r="B384" s="4">
        <f t="shared" si="87"/>
        <v>5.3764509958640048</v>
      </c>
      <c r="C384" s="2">
        <f t="shared" si="88"/>
        <v>-4.5000035633573185E-4</v>
      </c>
      <c r="D384" s="7">
        <f t="shared" si="89"/>
        <v>1310.9471373990636</v>
      </c>
      <c r="E384" s="5">
        <f t="shared" si="90"/>
        <v>1.1911890865606078E-2</v>
      </c>
      <c r="F384" s="2">
        <f t="shared" si="91"/>
        <v>1286.2330590445456</v>
      </c>
      <c r="G384" s="2">
        <f t="shared" si="92"/>
        <v>189735.77308200524</v>
      </c>
      <c r="H384" s="2">
        <f t="shared" si="93"/>
        <v>15.615489936669286</v>
      </c>
      <c r="I384" s="2">
        <f t="shared" si="94"/>
        <v>33307.078691274648</v>
      </c>
      <c r="J384" s="5">
        <f t="shared" si="95"/>
        <v>1.5591082949458324</v>
      </c>
      <c r="K384" s="6">
        <f t="shared" si="83"/>
        <v>2885.9935328679699</v>
      </c>
      <c r="M384">
        <f t="shared" si="84"/>
        <v>189.73577308200524</v>
      </c>
      <c r="N384">
        <f t="shared" si="85"/>
        <v>0.68250107261966519</v>
      </c>
      <c r="O384">
        <f t="shared" si="86"/>
        <v>3330.7078691274646</v>
      </c>
    </row>
    <row r="385" spans="1:15" x14ac:dyDescent="0.2">
      <c r="A385" s="2">
        <v>372</v>
      </c>
      <c r="B385" s="4">
        <f t="shared" si="87"/>
        <v>5.3867132140947156</v>
      </c>
      <c r="C385" s="2">
        <f t="shared" si="88"/>
        <v>-4.420998986998243E-4</v>
      </c>
      <c r="D385" s="7">
        <f t="shared" si="89"/>
        <v>1316.3235883949276</v>
      </c>
      <c r="E385" s="5">
        <f t="shared" si="90"/>
        <v>1.1461890509270345E-2</v>
      </c>
      <c r="F385" s="2">
        <f t="shared" si="91"/>
        <v>1291.5039572037258</v>
      </c>
      <c r="G385" s="2">
        <f t="shared" si="92"/>
        <v>191027.27703920897</v>
      </c>
      <c r="H385" s="2">
        <f t="shared" si="93"/>
        <v>15.087226492658274</v>
      </c>
      <c r="I385" s="2">
        <f t="shared" si="94"/>
        <v>33322.165917767306</v>
      </c>
      <c r="J385" s="5">
        <f t="shared" si="95"/>
        <v>1.5590817656209741</v>
      </c>
      <c r="K385" s="6">
        <f t="shared" si="83"/>
        <v>2880.8883941425465</v>
      </c>
      <c r="M385">
        <f t="shared" si="84"/>
        <v>191.02727703920897</v>
      </c>
      <c r="N385">
        <f t="shared" si="85"/>
        <v>0.65671795142224465</v>
      </c>
      <c r="O385">
        <f t="shared" si="86"/>
        <v>3332.2165917767306</v>
      </c>
    </row>
    <row r="386" spans="1:15" x14ac:dyDescent="0.2">
      <c r="A386" s="2">
        <v>373</v>
      </c>
      <c r="B386" s="4">
        <f t="shared" si="87"/>
        <v>5.3969970288673919</v>
      </c>
      <c r="C386" s="2">
        <f t="shared" si="88"/>
        <v>-4.3422449654708717E-4</v>
      </c>
      <c r="D386" s="7">
        <f t="shared" si="89"/>
        <v>1321.7103016090223</v>
      </c>
      <c r="E386" s="5">
        <f t="shared" si="90"/>
        <v>1.1019790610570521E-2</v>
      </c>
      <c r="F386" s="2">
        <f t="shared" si="91"/>
        <v>1296.7848965127509</v>
      </c>
      <c r="G386" s="2">
        <f t="shared" si="92"/>
        <v>192324.06193572172</v>
      </c>
      <c r="H386" s="2">
        <f t="shared" si="93"/>
        <v>14.56467598857853</v>
      </c>
      <c r="I386" s="2">
        <f t="shared" si="94"/>
        <v>33336.730593755885</v>
      </c>
      <c r="J386" s="5">
        <f t="shared" si="95"/>
        <v>1.5590561557893907</v>
      </c>
      <c r="K386" s="6">
        <f t="shared" si="83"/>
        <v>2875.7832554171232</v>
      </c>
      <c r="M386">
        <f t="shared" si="84"/>
        <v>192.32406193572172</v>
      </c>
      <c r="N386">
        <f t="shared" si="85"/>
        <v>0.63138749310358344</v>
      </c>
      <c r="O386">
        <f t="shared" si="86"/>
        <v>3333.6730593755883</v>
      </c>
    </row>
    <row r="387" spans="1:15" x14ac:dyDescent="0.2">
      <c r="A387" s="2">
        <v>374</v>
      </c>
      <c r="B387" s="4">
        <f t="shared" si="87"/>
        <v>5.4073026619508511</v>
      </c>
      <c r="C387" s="2">
        <f t="shared" si="88"/>
        <v>-4.2637385483811595E-4</v>
      </c>
      <c r="D387" s="7">
        <f t="shared" si="89"/>
        <v>1327.1072986378897</v>
      </c>
      <c r="E387" s="5">
        <f t="shared" si="90"/>
        <v>1.0585566114023434E-2</v>
      </c>
      <c r="F387" s="2">
        <f t="shared" si="91"/>
        <v>1302.0759078745439</v>
      </c>
      <c r="G387" s="2">
        <f t="shared" si="92"/>
        <v>193626.13784359625</v>
      </c>
      <c r="H387" s="2">
        <f t="shared" si="93"/>
        <v>14.047919691947525</v>
      </c>
      <c r="I387" s="2">
        <f t="shared" si="94"/>
        <v>33350.778513447833</v>
      </c>
      <c r="J387" s="5">
        <f t="shared" si="95"/>
        <v>1.5590314551952515</v>
      </c>
      <c r="K387" s="6">
        <f t="shared" si="83"/>
        <v>2870.6781166916999</v>
      </c>
      <c r="M387">
        <f t="shared" si="84"/>
        <v>193.62613784359627</v>
      </c>
      <c r="N387">
        <f t="shared" si="85"/>
        <v>0.60650826209024233</v>
      </c>
      <c r="O387">
        <f t="shared" si="86"/>
        <v>3335.0778513447831</v>
      </c>
    </row>
    <row r="388" spans="1:15" x14ac:dyDescent="0.2">
      <c r="A388" s="2">
        <v>375</v>
      </c>
      <c r="B388" s="4">
        <f t="shared" si="87"/>
        <v>5.41763033590055</v>
      </c>
      <c r="C388" s="2">
        <f t="shared" si="88"/>
        <v>-4.185476813387805E-4</v>
      </c>
      <c r="D388" s="7">
        <f t="shared" si="89"/>
        <v>1332.5146012998405</v>
      </c>
      <c r="E388" s="5">
        <f t="shared" si="90"/>
        <v>1.0159192259185318E-2</v>
      </c>
      <c r="F388" s="2">
        <f t="shared" si="91"/>
        <v>1307.3770222034541</v>
      </c>
      <c r="G388" s="2">
        <f t="shared" si="92"/>
        <v>194933.51486579972</v>
      </c>
      <c r="H388" s="2">
        <f t="shared" si="93"/>
        <v>13.537039162170998</v>
      </c>
      <c r="I388" s="2">
        <f t="shared" si="94"/>
        <v>33364.315552610002</v>
      </c>
      <c r="J388" s="5">
        <f t="shared" si="95"/>
        <v>1.5590076534426986</v>
      </c>
      <c r="K388" s="6">
        <f t="shared" si="83"/>
        <v>2865.572977966277</v>
      </c>
      <c r="M388">
        <f t="shared" si="84"/>
        <v>194.93351486579971</v>
      </c>
      <c r="N388">
        <f t="shared" si="85"/>
        <v>0.58207883971329466</v>
      </c>
      <c r="O388">
        <f t="shared" si="86"/>
        <v>3336.4315552610001</v>
      </c>
    </row>
    <row r="389" spans="1:15" x14ac:dyDescent="0.2">
      <c r="A389" s="2">
        <v>376</v>
      </c>
      <c r="B389" s="4">
        <f t="shared" si="87"/>
        <v>5.4279802740745167</v>
      </c>
      <c r="C389" s="2">
        <f t="shared" si="88"/>
        <v>-4.1074568658719645E-4</v>
      </c>
      <c r="D389" s="7">
        <f t="shared" si="89"/>
        <v>1337.9322316357411</v>
      </c>
      <c r="E389" s="5">
        <f t="shared" si="90"/>
        <v>9.7406445778465377E-3</v>
      </c>
      <c r="F389" s="2">
        <f t="shared" si="91"/>
        <v>1312.6882704226116</v>
      </c>
      <c r="G389" s="2">
        <f t="shared" si="92"/>
        <v>196246.20313622232</v>
      </c>
      <c r="H389" s="2">
        <f t="shared" si="93"/>
        <v>13.032116253788672</v>
      </c>
      <c r="I389" s="2">
        <f t="shared" si="94"/>
        <v>33377.347668863789</v>
      </c>
      <c r="J389" s="5">
        <f t="shared" si="95"/>
        <v>1.5589847399952541</v>
      </c>
      <c r="K389" s="6">
        <f t="shared" si="83"/>
        <v>2860.4678392408532</v>
      </c>
      <c r="M389">
        <f t="shared" si="84"/>
        <v>196.24620313622233</v>
      </c>
      <c r="N389">
        <f t="shared" si="85"/>
        <v>0.55809782404759611</v>
      </c>
      <c r="O389">
        <f t="shared" si="86"/>
        <v>3337.734766886379</v>
      </c>
    </row>
    <row r="390" spans="1:15" x14ac:dyDescent="0.2">
      <c r="A390" s="2">
        <v>377</v>
      </c>
      <c r="B390" s="4">
        <f t="shared" si="87"/>
        <v>5.4383527006493546</v>
      </c>
      <c r="C390" s="2">
        <f t="shared" si="88"/>
        <v>-4.0296758386117269E-4</v>
      </c>
      <c r="D390" s="7">
        <f t="shared" si="89"/>
        <v>1343.3602119098157</v>
      </c>
      <c r="E390" s="5">
        <f t="shared" si="90"/>
        <v>9.329898891259342E-3</v>
      </c>
      <c r="F390" s="2">
        <f t="shared" si="91"/>
        <v>1318.009683461268</v>
      </c>
      <c r="G390" s="2">
        <f t="shared" si="92"/>
        <v>197564.2128196836</v>
      </c>
      <c r="H390" s="2">
        <f t="shared" si="93"/>
        <v>12.53323311972766</v>
      </c>
      <c r="I390" s="2">
        <f t="shared" si="94"/>
        <v>33389.880901983517</v>
      </c>
      <c r="J390" s="5">
        <f t="shared" si="95"/>
        <v>1.5589627041752225</v>
      </c>
      <c r="K390" s="6">
        <f t="shared" si="83"/>
        <v>2855.3627005154303</v>
      </c>
      <c r="M390">
        <f t="shared" si="84"/>
        <v>197.5642128196836</v>
      </c>
      <c r="N390">
        <f t="shared" si="85"/>
        <v>0.53456382975294647</v>
      </c>
      <c r="O390">
        <f t="shared" si="86"/>
        <v>3338.9880901983515</v>
      </c>
    </row>
    <row r="391" spans="1:15" x14ac:dyDescent="0.2">
      <c r="A391" s="2">
        <v>378</v>
      </c>
      <c r="B391" s="4">
        <f t="shared" si="87"/>
        <v>5.4487478406363801</v>
      </c>
      <c r="C391" s="2">
        <f t="shared" si="88"/>
        <v>-3.9521308914612191E-4</v>
      </c>
      <c r="D391" s="7">
        <f t="shared" si="89"/>
        <v>1348.7985646104651</v>
      </c>
      <c r="E391" s="5">
        <f t="shared" si="90"/>
        <v>8.9269313073981685E-3</v>
      </c>
      <c r="F391" s="2">
        <f t="shared" si="91"/>
        <v>1323.3412922521229</v>
      </c>
      <c r="G391" s="2">
        <f t="shared" si="92"/>
        <v>198887.55411193572</v>
      </c>
      <c r="H391" s="2">
        <f t="shared" si="93"/>
        <v>12.040472214563787</v>
      </c>
      <c r="I391" s="2">
        <f t="shared" si="94"/>
        <v>33401.921374198078</v>
      </c>
      <c r="J391" s="5">
        <f t="shared" si="95"/>
        <v>1.5589415351630815</v>
      </c>
      <c r="K391" s="6">
        <f t="shared" si="83"/>
        <v>2850.257561790007</v>
      </c>
      <c r="M391">
        <f t="shared" si="84"/>
        <v>198.88755411193571</v>
      </c>
      <c r="N391">
        <f t="shared" si="85"/>
        <v>0.51147548791711717</v>
      </c>
      <c r="O391">
        <f t="shared" si="86"/>
        <v>3340.1921374198078</v>
      </c>
    </row>
    <row r="392" spans="1:15" x14ac:dyDescent="0.2">
      <c r="A392" s="2">
        <v>379</v>
      </c>
      <c r="B392" s="4">
        <f t="shared" si="87"/>
        <v>5.4591659198978348</v>
      </c>
      <c r="C392" s="2">
        <f t="shared" si="88"/>
        <v>-3.874819211034418E-4</v>
      </c>
      <c r="D392" s="7">
        <f t="shared" si="89"/>
        <v>1354.2473124511014</v>
      </c>
      <c r="E392" s="5">
        <f t="shared" si="90"/>
        <v>8.5317182182520473E-3</v>
      </c>
      <c r="F392" s="2">
        <f t="shared" si="91"/>
        <v>1328.6831277286421</v>
      </c>
      <c r="G392" s="2">
        <f t="shared" si="92"/>
        <v>200216.23723966436</v>
      </c>
      <c r="H392" s="2">
        <f t="shared" si="93"/>
        <v>11.553916297790895</v>
      </c>
      <c r="I392" s="2">
        <f t="shared" si="94"/>
        <v>33413.475290495866</v>
      </c>
      <c r="J392" s="5">
        <f t="shared" si="95"/>
        <v>1.558921221996878</v>
      </c>
      <c r="K392" s="6">
        <f t="shared" si="83"/>
        <v>2845.1524230645837</v>
      </c>
      <c r="M392">
        <f t="shared" si="84"/>
        <v>200.21623723966437</v>
      </c>
      <c r="N392">
        <f t="shared" si="85"/>
        <v>0.48883144590071692</v>
      </c>
      <c r="O392">
        <f t="shared" si="86"/>
        <v>3341.3475290495867</v>
      </c>
    </row>
    <row r="393" spans="1:15" x14ac:dyDescent="0.2">
      <c r="A393" s="2">
        <v>380</v>
      </c>
      <c r="B393" s="4">
        <f t="shared" si="87"/>
        <v>5.4696071651632199</v>
      </c>
      <c r="C393" s="2">
        <f t="shared" si="88"/>
        <v>-3.7977380103933813E-4</v>
      </c>
      <c r="D393" s="7">
        <f t="shared" si="89"/>
        <v>1359.7064783709993</v>
      </c>
      <c r="E393" s="5">
        <f t="shared" si="90"/>
        <v>8.1442362971486052E-3</v>
      </c>
      <c r="F393" s="2">
        <f t="shared" si="91"/>
        <v>1334.0352208223596</v>
      </c>
      <c r="G393" s="2">
        <f t="shared" si="92"/>
        <v>201550.27246048671</v>
      </c>
      <c r="H393" s="2">
        <f t="shared" si="93"/>
        <v>11.073648437098205</v>
      </c>
      <c r="I393" s="2">
        <f t="shared" si="94"/>
        <v>33424.548938932967</v>
      </c>
      <c r="J393" s="5">
        <f t="shared" si="95"/>
        <v>1.5589017535716014</v>
      </c>
      <c r="K393" s="6">
        <f t="shared" si="83"/>
        <v>2840.0472843391603</v>
      </c>
      <c r="M393">
        <f t="shared" si="84"/>
        <v>201.55027246048672</v>
      </c>
      <c r="N393">
        <f t="shared" si="85"/>
        <v>0.46663036718386852</v>
      </c>
      <c r="O393">
        <f t="shared" si="86"/>
        <v>3342.4548938932967</v>
      </c>
    </row>
    <row r="394" spans="1:15" x14ac:dyDescent="0.2">
      <c r="A394" s="2">
        <v>381</v>
      </c>
      <c r="B394" s="4">
        <f t="shared" si="87"/>
        <v>5.4800718040457284</v>
      </c>
      <c r="C394" s="2">
        <f t="shared" si="88"/>
        <v>-3.7208845287411301E-4</v>
      </c>
      <c r="D394" s="7">
        <f t="shared" si="89"/>
        <v>1365.1760855361626</v>
      </c>
      <c r="E394" s="5">
        <f t="shared" si="90"/>
        <v>7.7644624961092671E-3</v>
      </c>
      <c r="F394" s="2">
        <f t="shared" si="91"/>
        <v>1339.3976024601668</v>
      </c>
      <c r="G394" s="2">
        <f t="shared" si="92"/>
        <v>202889.67006294688</v>
      </c>
      <c r="H394" s="2">
        <f t="shared" si="93"/>
        <v>10.599752011655891</v>
      </c>
      <c r="I394" s="2">
        <f t="shared" si="94"/>
        <v>33435.148690944625</v>
      </c>
      <c r="J394" s="5">
        <f t="shared" si="95"/>
        <v>1.5588831186385694</v>
      </c>
      <c r="K394" s="6">
        <f t="shared" si="83"/>
        <v>2834.942145613737</v>
      </c>
      <c r="M394">
        <f t="shared" si="84"/>
        <v>202.88967006294689</v>
      </c>
      <c r="N394">
        <f t="shared" si="85"/>
        <v>0.44487093121467342</v>
      </c>
      <c r="O394">
        <f t="shared" si="86"/>
        <v>3343.5148690944625</v>
      </c>
    </row>
    <row r="395" spans="1:15" x14ac:dyDescent="0.2">
      <c r="A395" s="2">
        <v>382</v>
      </c>
      <c r="B395" s="4">
        <f t="shared" si="87"/>
        <v>5.4905600650587933</v>
      </c>
      <c r="C395" s="2">
        <f t="shared" si="88"/>
        <v>-3.6442560311187878E-4</v>
      </c>
      <c r="D395" s="7">
        <f t="shared" si="89"/>
        <v>1370.6561573402084</v>
      </c>
      <c r="E395" s="5">
        <f t="shared" si="90"/>
        <v>7.3923740432351543E-3</v>
      </c>
      <c r="F395" s="2">
        <f t="shared" si="91"/>
        <v>1344.7703035615893</v>
      </c>
      <c r="G395" s="2">
        <f t="shared" si="92"/>
        <v>204234.44036650847</v>
      </c>
      <c r="H395" s="2">
        <f t="shared" si="93"/>
        <v>10.132310715408957</v>
      </c>
      <c r="I395" s="2">
        <f t="shared" si="94"/>
        <v>33445.281001660034</v>
      </c>
      <c r="J395" s="5">
        <f t="shared" si="95"/>
        <v>1.5588653058047874</v>
      </c>
      <c r="K395" s="6">
        <f t="shared" si="83"/>
        <v>2829.8370068883141</v>
      </c>
      <c r="M395">
        <f t="shared" si="84"/>
        <v>204.23444036650847</v>
      </c>
      <c r="N395">
        <f t="shared" si="85"/>
        <v>0.4235518332594343</v>
      </c>
      <c r="O395">
        <f t="shared" si="86"/>
        <v>3344.5281001660032</v>
      </c>
    </row>
    <row r="396" spans="1:15" x14ac:dyDescent="0.2">
      <c r="A396" s="2">
        <v>383</v>
      </c>
      <c r="B396" s="4">
        <f t="shared" si="87"/>
        <v>5.5010721776327429</v>
      </c>
      <c r="C396" s="2">
        <f t="shared" si="88"/>
        <v>-3.567849808107227E-4</v>
      </c>
      <c r="D396" s="7">
        <f t="shared" si="89"/>
        <v>1376.1467174052673</v>
      </c>
      <c r="E396" s="5">
        <f t="shared" si="90"/>
        <v>7.0279484401232755E-3</v>
      </c>
      <c r="F396" s="2">
        <f t="shared" si="91"/>
        <v>1350.153355036048</v>
      </c>
      <c r="G396" s="2">
        <f t="shared" si="92"/>
        <v>205584.59372154452</v>
      </c>
      <c r="H396" s="2">
        <f t="shared" si="93"/>
        <v>9.6714085603795201</v>
      </c>
      <c r="I396" s="2">
        <f t="shared" si="94"/>
        <v>33454.952410220416</v>
      </c>
      <c r="J396" s="5">
        <f t="shared" si="95"/>
        <v>1.5588483035323211</v>
      </c>
      <c r="K396" s="6">
        <f t="shared" si="83"/>
        <v>2824.7318681628904</v>
      </c>
      <c r="M396">
        <f t="shared" si="84"/>
        <v>205.58459372154451</v>
      </c>
      <c r="N396">
        <f t="shared" si="85"/>
        <v>0.40267178425461408</v>
      </c>
      <c r="O396">
        <f t="shared" si="86"/>
        <v>3345.4952410220417</v>
      </c>
    </row>
    <row r="397" spans="1:15" x14ac:dyDescent="0.2">
      <c r="A397" s="2">
        <v>384</v>
      </c>
      <c r="B397" s="4">
        <f t="shared" si="87"/>
        <v>5.5116083721315654</v>
      </c>
      <c r="C397" s="2">
        <f t="shared" si="88"/>
        <v>-3.4916631755329251E-4</v>
      </c>
      <c r="D397" s="7">
        <f t="shared" si="89"/>
        <v>1381.6477895829</v>
      </c>
      <c r="E397" s="5">
        <f t="shared" si="90"/>
        <v>6.6711634593125532E-3</v>
      </c>
      <c r="F397" s="2">
        <f t="shared" si="91"/>
        <v>1355.5467877801073</v>
      </c>
      <c r="G397" s="2">
        <f t="shared" si="92"/>
        <v>206940.14050932461</v>
      </c>
      <c r="H397" s="2">
        <f t="shared" si="93"/>
        <v>9.2171298799776107</v>
      </c>
      <c r="I397" s="2">
        <f t="shared" si="94"/>
        <v>33464.169540100396</v>
      </c>
      <c r="J397" s="5">
        <f t="shared" si="95"/>
        <v>1.5588321001376471</v>
      </c>
      <c r="K397" s="6">
        <f t="shared" si="83"/>
        <v>2819.6267294374675</v>
      </c>
      <c r="M397">
        <f t="shared" si="84"/>
        <v>206.94014050932461</v>
      </c>
      <c r="N397">
        <f t="shared" si="85"/>
        <v>0.38222951066050359</v>
      </c>
      <c r="O397">
        <f t="shared" si="86"/>
        <v>3346.4169540100397</v>
      </c>
    </row>
    <row r="398" spans="1:15" x14ac:dyDescent="0.2">
      <c r="A398" s="2">
        <v>385</v>
      </c>
      <c r="B398" s="4">
        <f t="shared" si="87"/>
        <v>5.5221688798697981</v>
      </c>
      <c r="C398" s="2">
        <f t="shared" si="88"/>
        <v>-3.4156934741781371E-4</v>
      </c>
      <c r="D398" s="7">
        <f t="shared" si="89"/>
        <v>1387.1593979550316</v>
      </c>
      <c r="E398" s="5">
        <f t="shared" si="90"/>
        <v>6.3219971417592608E-3</v>
      </c>
      <c r="F398" s="2">
        <f t="shared" si="91"/>
        <v>1360.9506326747075</v>
      </c>
      <c r="G398" s="2">
        <f t="shared" si="92"/>
        <v>208301.09114199932</v>
      </c>
      <c r="H398" s="2">
        <f t="shared" si="93"/>
        <v>8.7695593323206023</v>
      </c>
      <c r="I398" s="2">
        <f t="shared" si="94"/>
        <v>33472.939099432719</v>
      </c>
      <c r="J398" s="5">
        <f t="shared" si="95"/>
        <v>1.5588166837910074</v>
      </c>
      <c r="K398" s="6">
        <f t="shared" ref="K398:K461" si="96">$B$1-($B$7*A398)</f>
        <v>2814.5215907120441</v>
      </c>
      <c r="M398">
        <f t="shared" ref="M398:M461" si="97">G398/1000</f>
        <v>208.30109114199931</v>
      </c>
      <c r="N398">
        <f t="shared" ref="N398:N461" si="98">E398*180/PI()</f>
        <v>0.36222375431657527</v>
      </c>
      <c r="O398">
        <f t="shared" ref="O398:O461" si="99">I398/10</f>
        <v>3347.293909943272</v>
      </c>
    </row>
    <row r="399" spans="1:15" x14ac:dyDescent="0.2">
      <c r="A399" s="2">
        <v>386</v>
      </c>
      <c r="B399" s="4">
        <f t="shared" si="87"/>
        <v>5.532753933129527</v>
      </c>
      <c r="C399" s="2">
        <f t="shared" si="88"/>
        <v>-3.3399380694952135E-4</v>
      </c>
      <c r="D399" s="7">
        <f t="shared" si="89"/>
        <v>1392.6815668349013</v>
      </c>
      <c r="E399" s="5">
        <f t="shared" si="90"/>
        <v>5.9804277943414468E-3</v>
      </c>
      <c r="F399" s="2">
        <f t="shared" si="91"/>
        <v>1366.3649205823824</v>
      </c>
      <c r="G399" s="2">
        <f t="shared" si="92"/>
        <v>209667.45606258171</v>
      </c>
      <c r="H399" s="2">
        <f t="shared" si="93"/>
        <v>8.328781903561369</v>
      </c>
      <c r="I399" s="2">
        <f t="shared" si="94"/>
        <v>33481.26788133628</v>
      </c>
      <c r="J399" s="5">
        <f t="shared" si="95"/>
        <v>1.5588020425157534</v>
      </c>
      <c r="K399" s="6">
        <f t="shared" si="96"/>
        <v>2809.4164519866208</v>
      </c>
      <c r="M399">
        <f t="shared" si="97"/>
        <v>209.66745606258172</v>
      </c>
      <c r="N399">
        <f t="shared" si="98"/>
        <v>0.34265327229849674</v>
      </c>
      <c r="O399">
        <f t="shared" si="99"/>
        <v>3348.126788133628</v>
      </c>
    </row>
    <row r="400" spans="1:15" x14ac:dyDescent="0.2">
      <c r="A400" s="2">
        <v>387</v>
      </c>
      <c r="B400" s="4">
        <f t="shared" si="87"/>
        <v>5.5433637651775083</v>
      </c>
      <c r="C400" s="2">
        <f t="shared" si="88"/>
        <v>-3.2643943513250564E-4</v>
      </c>
      <c r="D400" s="7">
        <f t="shared" si="89"/>
        <v>1398.2143207680308</v>
      </c>
      <c r="E400" s="5">
        <f t="shared" si="90"/>
        <v>5.6464339873919253E-3</v>
      </c>
      <c r="F400" s="2">
        <f t="shared" si="91"/>
        <v>1371.7896823444617</v>
      </c>
      <c r="G400" s="2">
        <f t="shared" si="92"/>
        <v>211039.24574492619</v>
      </c>
      <c r="H400" s="2">
        <f t="shared" si="93"/>
        <v>7.8948829112252863</v>
      </c>
      <c r="I400" s="2">
        <f t="shared" si="94"/>
        <v>33489.162764247507</v>
      </c>
      <c r="J400" s="5">
        <f t="shared" si="95"/>
        <v>1.558788164187682</v>
      </c>
      <c r="K400" s="6">
        <f t="shared" si="96"/>
        <v>2804.3113132611975</v>
      </c>
      <c r="M400">
        <f t="shared" si="97"/>
        <v>211.03924574492618</v>
      </c>
      <c r="N400">
        <f t="shared" si="98"/>
        <v>0.323516836776782</v>
      </c>
      <c r="O400">
        <f t="shared" si="99"/>
        <v>3348.9162764247508</v>
      </c>
    </row>
    <row r="401" spans="1:15" x14ac:dyDescent="0.2">
      <c r="A401" s="2">
        <v>388</v>
      </c>
      <c r="B401" s="4">
        <f t="shared" si="87"/>
        <v>5.5539986102824068</v>
      </c>
      <c r="C401" s="2">
        <f t="shared" si="88"/>
        <v>-3.189059733619708E-4</v>
      </c>
      <c r="D401" s="7">
        <f t="shared" si="89"/>
        <v>1403.7576845332082</v>
      </c>
      <c r="E401" s="5">
        <f t="shared" si="90"/>
        <v>5.3199945522594194E-3</v>
      </c>
      <c r="F401" s="2">
        <f t="shared" si="91"/>
        <v>1377.2249487782569</v>
      </c>
      <c r="G401" s="2">
        <f t="shared" si="92"/>
        <v>212416.47069370444</v>
      </c>
      <c r="H401" s="2">
        <f t="shared" si="93"/>
        <v>7.4679480075561786</v>
      </c>
      <c r="I401" s="2">
        <f t="shared" si="94"/>
        <v>33496.630712255064</v>
      </c>
      <c r="J401" s="5">
        <f t="shared" si="95"/>
        <v>1.5587750365343735</v>
      </c>
      <c r="K401" s="6">
        <f t="shared" si="96"/>
        <v>2799.2061745357742</v>
      </c>
      <c r="M401">
        <f t="shared" si="97"/>
        <v>212.41647069370444</v>
      </c>
      <c r="N401">
        <f t="shared" si="98"/>
        <v>0.30481323487705481</v>
      </c>
      <c r="O401">
        <f t="shared" si="99"/>
        <v>3349.6630712255064</v>
      </c>
    </row>
    <row r="402" spans="1:15" x14ac:dyDescent="0.2">
      <c r="A402" s="2">
        <v>389</v>
      </c>
      <c r="B402" s="4">
        <f t="shared" si="87"/>
        <v>5.56465870373217</v>
      </c>
      <c r="C402" s="2">
        <f t="shared" si="88"/>
        <v>-3.1139316541688752E-4</v>
      </c>
      <c r="D402" s="7">
        <f t="shared" si="89"/>
        <v>1409.3116831434907</v>
      </c>
      <c r="E402" s="5">
        <f t="shared" si="90"/>
        <v>5.001088578897449E-3</v>
      </c>
      <c r="F402" s="2">
        <f t="shared" si="91"/>
        <v>1382.6707506742332</v>
      </c>
      <c r="G402" s="2">
        <f t="shared" si="92"/>
        <v>213799.14144437868</v>
      </c>
      <c r="H402" s="2">
        <f t="shared" si="93"/>
        <v>7.0480631828713145</v>
      </c>
      <c r="I402" s="2">
        <f t="shared" si="94"/>
        <v>33503.678775437933</v>
      </c>
      <c r="J402" s="5">
        <f t="shared" si="95"/>
        <v>1.5587626471345135</v>
      </c>
      <c r="K402" s="6">
        <f t="shared" si="96"/>
        <v>2794.1010358103513</v>
      </c>
      <c r="M402">
        <f t="shared" si="97"/>
        <v>213.79914144437868</v>
      </c>
      <c r="N402">
        <f t="shared" si="98"/>
        <v>0.28654126854190243</v>
      </c>
      <c r="O402">
        <f t="shared" si="99"/>
        <v>3350.3678775437934</v>
      </c>
    </row>
    <row r="403" spans="1:15" x14ac:dyDescent="0.2">
      <c r="A403" s="2">
        <v>390</v>
      </c>
      <c r="B403" s="4">
        <f t="shared" si="87"/>
        <v>5.5753442818515202</v>
      </c>
      <c r="C403" s="2">
        <f t="shared" si="88"/>
        <v>-3.0390075743304902E-4</v>
      </c>
      <c r="D403" s="7">
        <f t="shared" si="89"/>
        <v>1414.8763418472229</v>
      </c>
      <c r="E403" s="5">
        <f t="shared" si="90"/>
        <v>4.6896954134805612E-3</v>
      </c>
      <c r="F403" s="2">
        <f t="shared" si="91"/>
        <v>1388.1271187931609</v>
      </c>
      <c r="G403" s="2">
        <f t="shared" si="92"/>
        <v>215187.26856317185</v>
      </c>
      <c r="H403" s="2">
        <f t="shared" si="93"/>
        <v>6.635314768925574</v>
      </c>
      <c r="I403" s="2">
        <f t="shared" si="94"/>
        <v>33510.314090206855</v>
      </c>
      <c r="J403" s="5">
        <f t="shared" si="95"/>
        <v>1.5587509834172146</v>
      </c>
      <c r="K403" s="6">
        <f t="shared" si="96"/>
        <v>2788.9958970849275</v>
      </c>
      <c r="M403">
        <f t="shared" si="97"/>
        <v>215.18726856317184</v>
      </c>
      <c r="N403">
        <f t="shared" si="98"/>
        <v>0.26869975439429566</v>
      </c>
      <c r="O403">
        <f t="shared" si="99"/>
        <v>3351.0314090206857</v>
      </c>
    </row>
    <row r="404" spans="1:15" x14ac:dyDescent="0.2">
      <c r="A404" s="2">
        <v>391</v>
      </c>
      <c r="B404" s="4">
        <f t="shared" si="87"/>
        <v>5.586055582019565</v>
      </c>
      <c r="C404" s="2">
        <f t="shared" si="88"/>
        <v>-2.9642849787651449E-4</v>
      </c>
      <c r="D404" s="7">
        <f t="shared" si="89"/>
        <v>1420.4516861290745</v>
      </c>
      <c r="E404" s="5">
        <f t="shared" si="90"/>
        <v>4.3857946560475125E-3</v>
      </c>
      <c r="F404" s="2">
        <f t="shared" si="91"/>
        <v>1393.5940838632541</v>
      </c>
      <c r="G404" s="2">
        <f t="shared" si="92"/>
        <v>216580.8626470351</v>
      </c>
      <c r="H404" s="2">
        <f t="shared" si="93"/>
        <v>6.2297894422848756</v>
      </c>
      <c r="I404" s="2">
        <f t="shared" si="94"/>
        <v>33516.543879649143</v>
      </c>
      <c r="J404" s="5">
        <f t="shared" si="95"/>
        <v>1.5587400326613297</v>
      </c>
      <c r="K404" s="6">
        <f t="shared" si="96"/>
        <v>2783.8907583595046</v>
      </c>
      <c r="M404">
        <f t="shared" si="97"/>
        <v>216.5808626470351</v>
      </c>
      <c r="N404">
        <f t="shared" si="98"/>
        <v>0.25128752360255296</v>
      </c>
      <c r="O404">
        <f t="shared" si="99"/>
        <v>3351.6543879649143</v>
      </c>
    </row>
    <row r="405" spans="1:15" x14ac:dyDescent="0.2">
      <c r="A405" s="2">
        <v>392</v>
      </c>
      <c r="B405" s="4">
        <f t="shared" si="87"/>
        <v>5.5967928426875675</v>
      </c>
      <c r="C405" s="2">
        <f t="shared" si="88"/>
        <v>-2.889761375174456E-4</v>
      </c>
      <c r="D405" s="7">
        <f t="shared" si="89"/>
        <v>1426.037741711094</v>
      </c>
      <c r="E405" s="5">
        <f t="shared" si="90"/>
        <v>4.0893661581709977E-3</v>
      </c>
      <c r="F405" s="2">
        <f t="shared" si="91"/>
        <v>1399.07167657729</v>
      </c>
      <c r="G405" s="2">
        <f t="shared" si="92"/>
        <v>217979.9343236124</v>
      </c>
      <c r="H405" s="2">
        <f t="shared" si="93"/>
        <v>5.8315742277089839</v>
      </c>
      <c r="I405" s="2">
        <f t="shared" si="94"/>
        <v>33522.375453876855</v>
      </c>
      <c r="J405" s="5">
        <f t="shared" si="95"/>
        <v>1.5587297819947654</v>
      </c>
      <c r="K405" s="6">
        <f t="shared" si="96"/>
        <v>2778.7856196340813</v>
      </c>
      <c r="M405">
        <f t="shared" si="97"/>
        <v>217.97993432361238</v>
      </c>
      <c r="N405">
        <f t="shared" si="98"/>
        <v>0.23430342174682603</v>
      </c>
      <c r="O405">
        <f t="shared" si="99"/>
        <v>3352.2375453876857</v>
      </c>
    </row>
    <row r="406" spans="1:15" x14ac:dyDescent="0.2">
      <c r="A406" s="2">
        <v>393</v>
      </c>
      <c r="B406" s="4">
        <f t="shared" si="87"/>
        <v>5.6075563033968168</v>
      </c>
      <c r="C406" s="2">
        <f t="shared" si="88"/>
        <v>-2.8154342940431255E-4</v>
      </c>
      <c r="D406" s="7">
        <f t="shared" si="89"/>
        <v>1431.6345345537816</v>
      </c>
      <c r="E406" s="5">
        <f t="shared" si="90"/>
        <v>3.8003900206535521E-3</v>
      </c>
      <c r="F406" s="2">
        <f t="shared" si="91"/>
        <v>1404.5599275897114</v>
      </c>
      <c r="G406" s="2">
        <f t="shared" si="92"/>
        <v>219384.49425120212</v>
      </c>
      <c r="H406" s="2">
        <f t="shared" si="93"/>
        <v>5.4407565015437882</v>
      </c>
      <c r="I406" s="2">
        <f t="shared" si="94"/>
        <v>33527.816210378398</v>
      </c>
      <c r="J406" s="5">
        <f t="shared" si="95"/>
        <v>1.5587202183937781</v>
      </c>
      <c r="K406" s="6">
        <f t="shared" si="96"/>
        <v>2773.680480908658</v>
      </c>
      <c r="M406">
        <f t="shared" si="97"/>
        <v>219.38449425120211</v>
      </c>
      <c r="N406">
        <f t="shared" si="98"/>
        <v>0.21774630868708431</v>
      </c>
      <c r="O406">
        <f t="shared" si="99"/>
        <v>3352.7816210378396</v>
      </c>
    </row>
    <row r="407" spans="1:15" x14ac:dyDescent="0.2">
      <c r="A407" s="2">
        <v>394</v>
      </c>
      <c r="B407" s="4">
        <f t="shared" si="87"/>
        <v>5.6183462047966568</v>
      </c>
      <c r="C407" s="2">
        <f t="shared" si="88"/>
        <v>-2.741301288384869E-4</v>
      </c>
      <c r="D407" s="7">
        <f t="shared" si="89"/>
        <v>1437.2420908571785</v>
      </c>
      <c r="E407" s="5">
        <f t="shared" si="90"/>
        <v>3.5188465912492396E-3</v>
      </c>
      <c r="F407" s="2">
        <f t="shared" si="91"/>
        <v>1410.0588675137114</v>
      </c>
      <c r="G407" s="2">
        <f t="shared" si="92"/>
        <v>220794.55311871582</v>
      </c>
      <c r="H407" s="2">
        <f t="shared" si="93"/>
        <v>5.0574239951231812</v>
      </c>
      <c r="I407" s="2">
        <f t="shared" si="94"/>
        <v>33532.873634373522</v>
      </c>
      <c r="J407" s="5">
        <f t="shared" si="95"/>
        <v>1.5587113286822742</v>
      </c>
      <c r="K407" s="6">
        <f t="shared" si="96"/>
        <v>2768.5753421832351</v>
      </c>
      <c r="M407">
        <f t="shared" si="97"/>
        <v>220.79455311871581</v>
      </c>
      <c r="N407">
        <f t="shared" si="98"/>
        <v>0.20161505843257777</v>
      </c>
      <c r="O407">
        <f t="shared" si="99"/>
        <v>3353.2873634373523</v>
      </c>
    </row>
    <row r="408" spans="1:15" x14ac:dyDescent="0.2">
      <c r="A408" s="2">
        <v>395</v>
      </c>
      <c r="B408" s="4">
        <f t="shared" si="87"/>
        <v>5.6291627886626454</v>
      </c>
      <c r="C408" s="2">
        <f t="shared" si="88"/>
        <v>-2.6673599334920171E-4</v>
      </c>
      <c r="D408" s="7">
        <f t="shared" si="89"/>
        <v>1442.8604370619751</v>
      </c>
      <c r="E408" s="5">
        <f t="shared" si="90"/>
        <v>3.2447164624107528E-3</v>
      </c>
      <c r="F408" s="2">
        <f t="shared" si="91"/>
        <v>1415.5685269182986</v>
      </c>
      <c r="G408" s="2">
        <f t="shared" si="92"/>
        <v>222210.12164563412</v>
      </c>
      <c r="H408" s="2">
        <f t="shared" si="93"/>
        <v>4.6816647981806181</v>
      </c>
      <c r="I408" s="2">
        <f t="shared" si="94"/>
        <v>33537.555299171705</v>
      </c>
      <c r="J408" s="5">
        <f t="shared" si="95"/>
        <v>1.5587030995311015</v>
      </c>
      <c r="K408" s="6">
        <f t="shared" si="96"/>
        <v>2763.4702034578113</v>
      </c>
      <c r="M408">
        <f t="shared" si="97"/>
        <v>222.21012164563413</v>
      </c>
      <c r="N408">
        <f t="shared" si="98"/>
        <v>0.18590855901275496</v>
      </c>
      <c r="O408">
        <f t="shared" si="99"/>
        <v>3353.7555299171704</v>
      </c>
    </row>
    <row r="409" spans="1:15" x14ac:dyDescent="0.2">
      <c r="A409" s="2">
        <v>396</v>
      </c>
      <c r="B409" s="4">
        <f t="shared" si="87"/>
        <v>5.640006297914848</v>
      </c>
      <c r="C409" s="2">
        <f t="shared" si="88"/>
        <v>-2.5936078266887555E-4</v>
      </c>
      <c r="D409" s="7">
        <f t="shared" si="89"/>
        <v>1448.4895998506377</v>
      </c>
      <c r="E409" s="5">
        <f t="shared" si="90"/>
        <v>2.9779804690615512E-3</v>
      </c>
      <c r="F409" s="2">
        <f t="shared" si="91"/>
        <v>1421.0889363253466</v>
      </c>
      <c r="G409" s="2">
        <f t="shared" si="92"/>
        <v>223631.21058195946</v>
      </c>
      <c r="H409" s="2">
        <f t="shared" si="93"/>
        <v>4.3135673622704909</v>
      </c>
      <c r="I409" s="2">
        <f t="shared" si="94"/>
        <v>33541.868866533972</v>
      </c>
      <c r="J409" s="5">
        <f t="shared" si="95"/>
        <v>1.5586955174573327</v>
      </c>
      <c r="K409" s="6">
        <f t="shared" si="96"/>
        <v>2758.3650647323884</v>
      </c>
      <c r="M409">
        <f t="shared" si="97"/>
        <v>223.63121058195946</v>
      </c>
      <c r="N409">
        <f t="shared" si="98"/>
        <v>0.1706257123496161</v>
      </c>
      <c r="O409">
        <f t="shared" si="99"/>
        <v>3354.1868866533973</v>
      </c>
    </row>
    <row r="410" spans="1:15" x14ac:dyDescent="0.2">
      <c r="A410" s="2">
        <v>397</v>
      </c>
      <c r="B410" s="4">
        <f t="shared" ref="B410:B453" si="100">(($B$5/K410)-(J410*SIN(E410)))</f>
        <v>5.6508769766362921</v>
      </c>
      <c r="C410" s="2">
        <f t="shared" ref="C410:C473" si="101">-((J410/D410)-(D410/(1740000+(I410))))*COS(E410)</f>
        <v>-2.5200425870879918E-4</v>
      </c>
      <c r="D410" s="7">
        <f t="shared" ref="D410:D473" si="102">D409+B409</f>
        <v>1454.1296061485525</v>
      </c>
      <c r="E410" s="5">
        <f t="shared" ref="E410:E473" si="103">E409+C409</f>
        <v>2.7186196863926756E-3</v>
      </c>
      <c r="F410" s="2">
        <f t="shared" ref="F410:F473" si="104">((1740000/(1740000+(I410)))*D410*COS(E410))</f>
        <v>1426.6201262066215</v>
      </c>
      <c r="G410" s="2">
        <f t="shared" ref="G410:G473" si="105">(F410 + G409)</f>
        <v>225057.83070816609</v>
      </c>
      <c r="H410" s="2">
        <f t="shared" ref="H410:H473" si="106">D410*SIN(E410)</f>
        <v>3.9532205041993924</v>
      </c>
      <c r="I410" s="2">
        <f t="shared" ref="I410:I473" si="107">(H410+I409)</f>
        <v>33545.82208703817</v>
      </c>
      <c r="J410" s="5">
        <f t="shared" ref="J410:J473" si="108">((1.619368477)/(1+(I410/1740000))^2)</f>
        <v>1.5586885688235446</v>
      </c>
      <c r="K410" s="6">
        <f t="shared" si="96"/>
        <v>2753.2599260069646</v>
      </c>
      <c r="M410">
        <f t="shared" si="97"/>
        <v>225.05783070816608</v>
      </c>
      <c r="N410">
        <f t="shared" si="98"/>
        <v>0.15576543413147975</v>
      </c>
      <c r="O410">
        <f t="shared" si="99"/>
        <v>3354.5822087038168</v>
      </c>
    </row>
    <row r="411" spans="1:15" x14ac:dyDescent="0.2">
      <c r="A411" s="2">
        <v>398</v>
      </c>
      <c r="B411" s="4">
        <f t="shared" si="100"/>
        <v>5.6617750700915392</v>
      </c>
      <c r="C411" s="2">
        <f t="shared" si="101"/>
        <v>-2.446661855351815E-4</v>
      </c>
      <c r="D411" s="7">
        <f t="shared" si="102"/>
        <v>1459.7804831251888</v>
      </c>
      <c r="E411" s="5">
        <f t="shared" si="103"/>
        <v>2.4666154276838763E-3</v>
      </c>
      <c r="F411" s="2">
        <f t="shared" si="104"/>
        <v>1432.1621269807927</v>
      </c>
      <c r="G411" s="2">
        <f t="shared" si="105"/>
        <v>226489.99283514687</v>
      </c>
      <c r="H411" s="2">
        <f t="shared" si="106"/>
        <v>3.6007134094674007</v>
      </c>
      <c r="I411" s="2">
        <f t="shared" si="107"/>
        <v>33549.422800447639</v>
      </c>
      <c r="J411" s="5">
        <f t="shared" si="108"/>
        <v>1.558682239837093</v>
      </c>
      <c r="K411" s="6">
        <f t="shared" si="96"/>
        <v>2748.1547872815418</v>
      </c>
      <c r="M411">
        <f t="shared" si="97"/>
        <v>226.48999283514686</v>
      </c>
      <c r="N411">
        <f t="shared" si="98"/>
        <v>0.14132665368814262</v>
      </c>
      <c r="O411">
        <f t="shared" si="99"/>
        <v>3354.9422800447637</v>
      </c>
    </row>
    <row r="412" spans="1:15" x14ac:dyDescent="0.2">
      <c r="A412" s="2">
        <v>399</v>
      </c>
      <c r="B412" s="4">
        <f t="shared" si="100"/>
        <v>5.6727008247454327</v>
      </c>
      <c r="C412" s="2">
        <f t="shared" si="101"/>
        <v>-2.3734632934554309E-4</v>
      </c>
      <c r="D412" s="7">
        <f t="shared" si="102"/>
        <v>1465.4422581952804</v>
      </c>
      <c r="E412" s="5">
        <f t="shared" si="103"/>
        <v>2.2219492421486947E-3</v>
      </c>
      <c r="F412" s="2">
        <f t="shared" si="104"/>
        <v>1437.7149690104234</v>
      </c>
      <c r="G412" s="2">
        <f t="shared" si="105"/>
        <v>227927.70780415728</v>
      </c>
      <c r="H412" s="2">
        <f t="shared" si="106"/>
        <v>3.2561356357194806</v>
      </c>
      <c r="I412" s="2">
        <f t="shared" si="107"/>
        <v>33552.678936083357</v>
      </c>
      <c r="J412" s="5">
        <f t="shared" si="108"/>
        <v>1.5586765165493814</v>
      </c>
      <c r="K412" s="6">
        <f t="shared" si="96"/>
        <v>2743.0496485561184</v>
      </c>
      <c r="M412">
        <f t="shared" si="97"/>
        <v>227.92770780415728</v>
      </c>
      <c r="N412">
        <f t="shared" si="98"/>
        <v>0.12730831386741198</v>
      </c>
      <c r="O412">
        <f t="shared" si="99"/>
        <v>3355.2678936083357</v>
      </c>
    </row>
    <row r="413" spans="1:15" x14ac:dyDescent="0.2">
      <c r="A413" s="2">
        <v>400</v>
      </c>
      <c r="B413" s="4">
        <f t="shared" si="100"/>
        <v>5.6836544882819826</v>
      </c>
      <c r="C413" s="2">
        <f t="shared" si="101"/>
        <v>-2.3004445844545786E-4</v>
      </c>
      <c r="D413" s="7">
        <f t="shared" si="102"/>
        <v>1471.1149590200257</v>
      </c>
      <c r="E413" s="5">
        <f t="shared" si="103"/>
        <v>1.9846029128031514E-3</v>
      </c>
      <c r="F413" s="2">
        <f t="shared" si="104"/>
        <v>1443.278682598939</v>
      </c>
      <c r="G413" s="2">
        <f t="shared" si="105"/>
        <v>229370.98648675621</v>
      </c>
      <c r="H413" s="2">
        <f t="shared" si="106"/>
        <v>2.9195771162071051</v>
      </c>
      <c r="I413" s="2">
        <f t="shared" si="107"/>
        <v>33555.598513199562</v>
      </c>
      <c r="J413" s="5">
        <f t="shared" si="108"/>
        <v>1.5586713848551197</v>
      </c>
      <c r="K413" s="6">
        <f t="shared" si="96"/>
        <v>2737.9445098306951</v>
      </c>
      <c r="M413">
        <f t="shared" si="97"/>
        <v>229.37098648675621</v>
      </c>
      <c r="N413">
        <f t="shared" si="98"/>
        <v>0.11370937091299031</v>
      </c>
      <c r="O413">
        <f t="shared" si="99"/>
        <v>3355.5598513199561</v>
      </c>
    </row>
    <row r="414" spans="1:15" x14ac:dyDescent="0.2">
      <c r="A414" s="2">
        <v>401</v>
      </c>
      <c r="B414" s="4">
        <f t="shared" si="100"/>
        <v>5.6946363096233998</v>
      </c>
      <c r="C414" s="2">
        <f t="shared" si="101"/>
        <v>-2.2276034322563939E-4</v>
      </c>
      <c r="D414" s="7">
        <f t="shared" si="102"/>
        <v>1476.7986135083077</v>
      </c>
      <c r="E414" s="5">
        <f t="shared" si="103"/>
        <v>1.7545584543576936E-3</v>
      </c>
      <c r="F414" s="2">
        <f t="shared" si="104"/>
        <v>1448.8532979875815</v>
      </c>
      <c r="G414" s="2">
        <f t="shared" si="105"/>
        <v>230819.83978474379</v>
      </c>
      <c r="H414" s="2">
        <f t="shared" si="106"/>
        <v>2.5911281632602052</v>
      </c>
      <c r="I414" s="2">
        <f t="shared" si="107"/>
        <v>33558.18964136282</v>
      </c>
      <c r="J414" s="5">
        <f t="shared" si="108"/>
        <v>1.5586668304915852</v>
      </c>
      <c r="K414" s="6">
        <f t="shared" si="96"/>
        <v>2732.8393711052722</v>
      </c>
      <c r="M414">
        <f t="shared" si="97"/>
        <v>230.81983978474378</v>
      </c>
      <c r="N414">
        <f t="shared" si="98"/>
        <v>0.10052879434369293</v>
      </c>
      <c r="O414">
        <f t="shared" si="99"/>
        <v>3355.8189641362819</v>
      </c>
    </row>
    <row r="415" spans="1:15" x14ac:dyDescent="0.2">
      <c r="A415" s="2">
        <v>402</v>
      </c>
      <c r="B415" s="4">
        <f t="shared" si="100"/>
        <v>5.7056465389492947</v>
      </c>
      <c r="C415" s="2">
        <f t="shared" si="101"/>
        <v>-2.1549375613936353E-4</v>
      </c>
      <c r="D415" s="7">
        <f t="shared" si="102"/>
        <v>1482.493249817931</v>
      </c>
      <c r="E415" s="5">
        <f t="shared" si="103"/>
        <v>1.5317981111320543E-3</v>
      </c>
      <c r="F415" s="2">
        <f t="shared" si="104"/>
        <v>1454.4388453523347</v>
      </c>
      <c r="G415" s="2">
        <f t="shared" si="105"/>
        <v>232274.27863009612</v>
      </c>
      <c r="H415" s="2">
        <f t="shared" si="106"/>
        <v>2.2708794717695548</v>
      </c>
      <c r="I415" s="2">
        <f t="shared" si="107"/>
        <v>33560.460520834589</v>
      </c>
      <c r="J415" s="5">
        <f t="shared" si="108"/>
        <v>1.5586628390378725</v>
      </c>
      <c r="K415" s="6">
        <f t="shared" si="96"/>
        <v>2727.7342323798484</v>
      </c>
      <c r="M415">
        <f t="shared" si="97"/>
        <v>232.27427863009612</v>
      </c>
      <c r="N415">
        <f t="shared" si="98"/>
        <v>8.7765566833978167E-2</v>
      </c>
      <c r="O415">
        <f t="shared" si="99"/>
        <v>3356.046052083459</v>
      </c>
    </row>
    <row r="416" spans="1:15" x14ac:dyDescent="0.2">
      <c r="A416" s="2">
        <v>403</v>
      </c>
      <c r="B416" s="4">
        <f t="shared" si="100"/>
        <v>5.7166854277160297</v>
      </c>
      <c r="C416" s="2">
        <f t="shared" si="101"/>
        <v>-2.0824447168022283E-4</v>
      </c>
      <c r="D416" s="7">
        <f t="shared" si="102"/>
        <v>1488.1988963568804</v>
      </c>
      <c r="E416" s="5">
        <f t="shared" si="103"/>
        <v>1.3163043549926908E-3</v>
      </c>
      <c r="F416" s="2">
        <f t="shared" si="104"/>
        <v>1460.0353548008377</v>
      </c>
      <c r="G416" s="2">
        <f t="shared" si="105"/>
        <v>233734.31398489696</v>
      </c>
      <c r="H416" s="2">
        <f t="shared" si="106"/>
        <v>1.9589221226796911</v>
      </c>
      <c r="I416" s="2">
        <f t="shared" si="107"/>
        <v>33562.419442957267</v>
      </c>
      <c r="J416" s="5">
        <f t="shared" si="108"/>
        <v>1.5586593959141375</v>
      </c>
      <c r="K416" s="6">
        <f t="shared" si="96"/>
        <v>2722.6290936544256</v>
      </c>
      <c r="M416">
        <f t="shared" si="97"/>
        <v>233.73431398489697</v>
      </c>
      <c r="N416">
        <f t="shared" si="98"/>
        <v>7.5418684095771252E-2</v>
      </c>
      <c r="O416">
        <f t="shared" si="99"/>
        <v>3356.2419442957266</v>
      </c>
    </row>
    <row r="417" spans="1:15" x14ac:dyDescent="0.2">
      <c r="A417" s="2">
        <v>404</v>
      </c>
      <c r="B417" s="4">
        <f t="shared" si="100"/>
        <v>5.7277532286762369</v>
      </c>
      <c r="C417" s="2">
        <f t="shared" si="101"/>
        <v>-2.0101226636021473E-4</v>
      </c>
      <c r="D417" s="7">
        <f t="shared" si="102"/>
        <v>1493.9155817845965</v>
      </c>
      <c r="E417" s="5">
        <f t="shared" si="103"/>
        <v>1.1080598833124679E-3</v>
      </c>
      <c r="F417" s="2">
        <f t="shared" si="104"/>
        <v>1465.64285636927</v>
      </c>
      <c r="G417" s="2">
        <f t="shared" si="105"/>
        <v>235199.95684126622</v>
      </c>
      <c r="H417" s="2">
        <f t="shared" si="106"/>
        <v>1.6553475864924836</v>
      </c>
      <c r="I417" s="2">
        <f t="shared" si="107"/>
        <v>33564.07479054376</v>
      </c>
      <c r="J417" s="5">
        <f t="shared" si="108"/>
        <v>1.5586564863808403</v>
      </c>
      <c r="K417" s="6">
        <f t="shared" si="96"/>
        <v>2717.5239549290022</v>
      </c>
      <c r="M417">
        <f t="shared" si="97"/>
        <v>235.19995684126621</v>
      </c>
      <c r="N417">
        <f t="shared" si="98"/>
        <v>6.3487154761562886E-2</v>
      </c>
      <c r="O417">
        <f t="shared" si="99"/>
        <v>3356.4074790543759</v>
      </c>
    </row>
    <row r="418" spans="1:15" x14ac:dyDescent="0.2">
      <c r="A418" s="2">
        <v>405</v>
      </c>
      <c r="B418" s="4">
        <f t="shared" si="100"/>
        <v>5.7388501958984914</v>
      </c>
      <c r="C418" s="2">
        <f t="shared" si="101"/>
        <v>-1.9379691868815134E-4</v>
      </c>
      <c r="D418" s="7">
        <f t="shared" si="102"/>
        <v>1499.6433350132727</v>
      </c>
      <c r="E418" s="5">
        <f t="shared" si="103"/>
        <v>9.0704761695225319E-4</v>
      </c>
      <c r="F418" s="2">
        <f t="shared" si="104"/>
        <v>1471.2613800192187</v>
      </c>
      <c r="G418" s="2">
        <f t="shared" si="105"/>
        <v>236671.21822128544</v>
      </c>
      <c r="H418" s="2">
        <f t="shared" si="106"/>
        <v>1.3602477267814457</v>
      </c>
      <c r="I418" s="2">
        <f t="shared" si="107"/>
        <v>33565.435038270545</v>
      </c>
      <c r="J418" s="5">
        <f t="shared" si="108"/>
        <v>1.5586540955379791</v>
      </c>
      <c r="K418" s="6">
        <f t="shared" si="96"/>
        <v>2712.4188162035789</v>
      </c>
      <c r="M418">
        <f t="shared" si="97"/>
        <v>236.67121822128544</v>
      </c>
      <c r="N418">
        <f t="shared" si="98"/>
        <v>5.1970000268763049E-2</v>
      </c>
      <c r="O418">
        <f t="shared" si="99"/>
        <v>3356.5435038270543</v>
      </c>
    </row>
    <row r="419" spans="1:15" x14ac:dyDescent="0.2">
      <c r="A419" s="2">
        <v>406</v>
      </c>
      <c r="B419" s="4">
        <f t="shared" si="100"/>
        <v>5.7499765847871585</v>
      </c>
      <c r="C419" s="2">
        <f t="shared" si="101"/>
        <v>-1.865982091483901E-4</v>
      </c>
      <c r="D419" s="7">
        <f t="shared" si="102"/>
        <v>1505.3821852091712</v>
      </c>
      <c r="E419" s="5">
        <f t="shared" si="103"/>
        <v>7.1325069826410183E-4</v>
      </c>
      <c r="F419" s="2">
        <f t="shared" si="104"/>
        <v>1476.8909556345243</v>
      </c>
      <c r="G419" s="2">
        <f t="shared" si="105"/>
        <v>238148.10917691997</v>
      </c>
      <c r="H419" s="2">
        <f t="shared" si="106"/>
        <v>1.0737148037169024</v>
      </c>
      <c r="I419" s="2">
        <f t="shared" si="107"/>
        <v>33566.50875307426</v>
      </c>
      <c r="J419" s="5">
        <f t="shared" si="108"/>
        <v>1.5586522083243211</v>
      </c>
      <c r="K419" s="6">
        <f t="shared" si="96"/>
        <v>2707.3136774781556</v>
      </c>
      <c r="M419">
        <f t="shared" si="97"/>
        <v>238.14810917691997</v>
      </c>
      <c r="N419">
        <f t="shared" si="98"/>
        <v>4.0866254745291986E-2</v>
      </c>
      <c r="O419">
        <f t="shared" si="99"/>
        <v>3356.6508753074258</v>
      </c>
    </row>
    <row r="420" spans="1:15" x14ac:dyDescent="0.2">
      <c r="A420" s="2">
        <v>407</v>
      </c>
      <c r="B420" s="4">
        <f t="shared" si="100"/>
        <v>5.7611326521024075</v>
      </c>
      <c r="C420" s="2">
        <f t="shared" si="101"/>
        <v>-1.7941592017988242E-4</v>
      </c>
      <c r="D420" s="7">
        <f t="shared" si="102"/>
        <v>1511.1321617939584</v>
      </c>
      <c r="E420" s="5">
        <f t="shared" si="103"/>
        <v>5.2665248911571176E-4</v>
      </c>
      <c r="F420" s="2">
        <f t="shared" si="104"/>
        <v>1482.5316130181031</v>
      </c>
      <c r="G420" s="2">
        <f t="shared" si="105"/>
        <v>239630.64078993807</v>
      </c>
      <c r="H420" s="2">
        <f t="shared" si="106"/>
        <v>0.79584147760211754</v>
      </c>
      <c r="I420" s="2">
        <f t="shared" si="107"/>
        <v>33567.304594551861</v>
      </c>
      <c r="J420" s="5">
        <f t="shared" si="108"/>
        <v>1.5586508095166243</v>
      </c>
      <c r="K420" s="6">
        <f t="shared" si="96"/>
        <v>2702.2085387527322</v>
      </c>
      <c r="M420">
        <f t="shared" si="97"/>
        <v>239.63064078993807</v>
      </c>
      <c r="N420">
        <f t="shared" si="98"/>
        <v>3.0174964896389808E-2</v>
      </c>
      <c r="O420">
        <f t="shared" si="99"/>
        <v>3356.7304594551861</v>
      </c>
    </row>
    <row r="421" spans="1:15" x14ac:dyDescent="0.2">
      <c r="A421" s="2">
        <v>408</v>
      </c>
      <c r="B421" s="4">
        <f t="shared" si="100"/>
        <v>5.7723186559804009</v>
      </c>
      <c r="C421" s="2">
        <f t="shared" si="101"/>
        <v>-1.7224983615553397E-4</v>
      </c>
      <c r="D421" s="7">
        <f t="shared" si="102"/>
        <v>1516.8932944460607</v>
      </c>
      <c r="E421" s="5">
        <f t="shared" si="103"/>
        <v>3.4723656893582934E-4</v>
      </c>
      <c r="F421" s="2">
        <f t="shared" si="104"/>
        <v>1488.1833818887478</v>
      </c>
      <c r="G421" s="2">
        <f t="shared" si="105"/>
        <v>241118.82417182683</v>
      </c>
      <c r="H421" s="2">
        <f t="shared" si="106"/>
        <v>0.52672081242047808</v>
      </c>
      <c r="I421" s="2">
        <f t="shared" si="107"/>
        <v>33567.831315364281</v>
      </c>
      <c r="J421" s="5">
        <f t="shared" si="108"/>
        <v>1.5586498837288598</v>
      </c>
      <c r="K421" s="6">
        <f t="shared" si="96"/>
        <v>2697.1034000273089</v>
      </c>
      <c r="M421">
        <f t="shared" si="97"/>
        <v>241.11882417182682</v>
      </c>
      <c r="N421">
        <f t="shared" si="98"/>
        <v>1.9895189892626487E-2</v>
      </c>
      <c r="O421">
        <f t="shared" si="99"/>
        <v>3356.7831315364283</v>
      </c>
    </row>
    <row r="422" spans="1:15" x14ac:dyDescent="0.2">
      <c r="A422" s="2">
        <v>409</v>
      </c>
      <c r="B422" s="4">
        <f t="shared" si="100"/>
        <v>5.7835348559536506</v>
      </c>
      <c r="C422" s="2">
        <f t="shared" si="101"/>
        <v>-1.6509974336187418E-4</v>
      </c>
      <c r="D422" s="7">
        <f t="shared" si="102"/>
        <v>1522.6656131020411</v>
      </c>
      <c r="E422" s="5">
        <f t="shared" si="103"/>
        <v>1.7498673278029537E-4</v>
      </c>
      <c r="F422" s="2">
        <f t="shared" si="104"/>
        <v>1493.8462918779051</v>
      </c>
      <c r="G422" s="2">
        <f t="shared" si="105"/>
        <v>242612.67046370474</v>
      </c>
      <c r="H422" s="2">
        <f t="shared" si="106"/>
        <v>0.26644627939385146</v>
      </c>
      <c r="I422" s="2">
        <f t="shared" si="107"/>
        <v>33568.097761643672</v>
      </c>
      <c r="J422" s="5">
        <f t="shared" si="108"/>
        <v>1.558649415411425</v>
      </c>
      <c r="K422" s="6">
        <f t="shared" si="96"/>
        <v>2691.998261301886</v>
      </c>
      <c r="M422">
        <f t="shared" si="97"/>
        <v>242.61267046370475</v>
      </c>
      <c r="N422">
        <f t="shared" si="98"/>
        <v>1.0026001259094457E-2</v>
      </c>
      <c r="O422">
        <f t="shared" si="99"/>
        <v>3356.8097761643671</v>
      </c>
    </row>
    <row r="423" spans="1:15" x14ac:dyDescent="0.2">
      <c r="A423" s="2">
        <v>410</v>
      </c>
      <c r="B423" s="4">
        <f t="shared" si="100"/>
        <v>5.7947815129715661</v>
      </c>
      <c r="C423" s="2">
        <f t="shared" si="101"/>
        <v>-1.5796542997902838E-4</v>
      </c>
      <c r="D423" s="7">
        <f t="shared" si="102"/>
        <v>1528.4491479579947</v>
      </c>
      <c r="E423" s="5">
        <f t="shared" si="103"/>
        <v>9.8869894184211828E-6</v>
      </c>
      <c r="F423" s="2">
        <f t="shared" si="104"/>
        <v>1499.5203725264298</v>
      </c>
      <c r="G423" s="2">
        <f t="shared" si="105"/>
        <v>244112.19083623117</v>
      </c>
      <c r="H423" s="2">
        <f t="shared" si="106"/>
        <v>1.5111760552209363E-2</v>
      </c>
      <c r="I423" s="2">
        <f t="shared" si="107"/>
        <v>33568.112873404221</v>
      </c>
      <c r="J423" s="5">
        <f t="shared" si="108"/>
        <v>1.5586493888503512</v>
      </c>
      <c r="K423" s="6">
        <f t="shared" si="96"/>
        <v>2686.8931225764627</v>
      </c>
      <c r="M423">
        <f t="shared" si="97"/>
        <v>244.11219083623118</v>
      </c>
      <c r="N423">
        <f t="shared" si="98"/>
        <v>5.6648276576603813E-4</v>
      </c>
      <c r="O423">
        <f t="shared" si="99"/>
        <v>3356.811287340422</v>
      </c>
    </row>
    <row r="424" spans="1:15" x14ac:dyDescent="0.2">
      <c r="A424" s="2">
        <v>411</v>
      </c>
      <c r="B424" s="4">
        <f t="shared" si="100"/>
        <v>5.8060588894211635</v>
      </c>
      <c r="C424" s="2">
        <f t="shared" si="101"/>
        <v>-1.5084668606099328E-4</v>
      </c>
      <c r="D424" s="7">
        <f t="shared" si="102"/>
        <v>1534.2439294709663</v>
      </c>
      <c r="E424" s="5">
        <f t="shared" si="103"/>
        <v>-1.480784405606072E-4</v>
      </c>
      <c r="F424" s="2">
        <f t="shared" si="104"/>
        <v>1505.2056532813192</v>
      </c>
      <c r="G424" s="2">
        <f t="shared" si="105"/>
        <v>245617.3964895125</v>
      </c>
      <c r="H424" s="2">
        <f t="shared" si="106"/>
        <v>-0.22718844768537022</v>
      </c>
      <c r="I424" s="2">
        <f t="shared" si="107"/>
        <v>33567.885684956535</v>
      </c>
      <c r="J424" s="5">
        <f t="shared" si="108"/>
        <v>1.5586497881665098</v>
      </c>
      <c r="K424" s="6">
        <f t="shared" si="96"/>
        <v>2681.7879838510394</v>
      </c>
      <c r="M424">
        <f t="shared" si="97"/>
        <v>245.61739648951249</v>
      </c>
      <c r="N424">
        <f t="shared" si="98"/>
        <v>-8.4842696810016171E-3</v>
      </c>
      <c r="O424">
        <f t="shared" si="99"/>
        <v>3356.7885684956536</v>
      </c>
    </row>
    <row r="425" spans="1:15" x14ac:dyDescent="0.2">
      <c r="A425" s="2">
        <v>412</v>
      </c>
      <c r="B425" s="4">
        <f t="shared" si="100"/>
        <v>5.8173672491479795</v>
      </c>
      <c r="C425" s="2">
        <f t="shared" si="101"/>
        <v>-1.4374330351620847E-4</v>
      </c>
      <c r="D425" s="7">
        <f t="shared" si="102"/>
        <v>1540.0499883603875</v>
      </c>
      <c r="E425" s="5">
        <f t="shared" si="103"/>
        <v>-2.9892512662160048E-4</v>
      </c>
      <c r="F425" s="2">
        <f t="shared" si="104"/>
        <v>1510.902163492417</v>
      </c>
      <c r="G425" s="2">
        <f t="shared" si="105"/>
        <v>247128.29865300492</v>
      </c>
      <c r="H425" s="2">
        <f t="shared" si="106"/>
        <v>-0.4603596309182228</v>
      </c>
      <c r="I425" s="2">
        <f t="shared" si="107"/>
        <v>33567.425325325617</v>
      </c>
      <c r="J425" s="5">
        <f t="shared" si="108"/>
        <v>1.5586505973148106</v>
      </c>
      <c r="K425" s="6">
        <f t="shared" si="96"/>
        <v>2676.682845125616</v>
      </c>
      <c r="M425">
        <f t="shared" si="97"/>
        <v>247.12829865300492</v>
      </c>
      <c r="N425">
        <f t="shared" si="98"/>
        <v>-1.7127148145831435E-2</v>
      </c>
      <c r="O425">
        <f t="shared" si="99"/>
        <v>3356.7425325325617</v>
      </c>
    </row>
    <row r="426" spans="1:15" x14ac:dyDescent="0.2">
      <c r="A426" s="2">
        <v>413</v>
      </c>
      <c r="B426" s="4">
        <f t="shared" si="100"/>
        <v>5.828706857477159</v>
      </c>
      <c r="C426" s="2">
        <f t="shared" si="101"/>
        <v>-1.3665507608841778E-4</v>
      </c>
      <c r="D426" s="7">
        <f t="shared" si="102"/>
        <v>1545.8673556095355</v>
      </c>
      <c r="E426" s="5">
        <f t="shared" si="103"/>
        <v>-4.4266843013780895E-4</v>
      </c>
      <c r="F426" s="2">
        <f t="shared" si="104"/>
        <v>1516.6099324091015</v>
      </c>
      <c r="G426" s="2">
        <f t="shared" si="105"/>
        <v>248644.90858541403</v>
      </c>
      <c r="H426" s="2">
        <f t="shared" si="106"/>
        <v>-0.68430665316003492</v>
      </c>
      <c r="I426" s="2">
        <f t="shared" si="107"/>
        <v>33566.741018672459</v>
      </c>
      <c r="J426" s="5">
        <f t="shared" si="108"/>
        <v>1.5586518000833953</v>
      </c>
      <c r="K426" s="6">
        <f t="shared" si="96"/>
        <v>2671.5777064001927</v>
      </c>
      <c r="M426">
        <f t="shared" si="97"/>
        <v>248.64490858541402</v>
      </c>
      <c r="N426">
        <f t="shared" si="98"/>
        <v>-2.5363032770578185E-2</v>
      </c>
      <c r="O426">
        <f t="shared" si="99"/>
        <v>3356.674101867246</v>
      </c>
    </row>
    <row r="427" spans="1:15" x14ac:dyDescent="0.2">
      <c r="A427" s="2">
        <v>414</v>
      </c>
      <c r="B427" s="4">
        <f t="shared" si="100"/>
        <v>5.840077981234737</v>
      </c>
      <c r="C427" s="2">
        <f t="shared" si="101"/>
        <v>-1.2958179933782545E-4</v>
      </c>
      <c r="D427" s="7">
        <f t="shared" si="102"/>
        <v>1551.6960624670126</v>
      </c>
      <c r="E427" s="5">
        <f t="shared" si="103"/>
        <v>-5.7932350622622671E-4</v>
      </c>
      <c r="F427" s="2">
        <f t="shared" si="104"/>
        <v>1522.3289891769425</v>
      </c>
      <c r="G427" s="2">
        <f t="shared" si="105"/>
        <v>250167.23757459098</v>
      </c>
      <c r="H427" s="2">
        <f t="shared" si="106"/>
        <v>-0.89893395322308955</v>
      </c>
      <c r="I427" s="2">
        <f t="shared" si="107"/>
        <v>33565.842084719239</v>
      </c>
      <c r="J427" s="5">
        <f t="shared" si="108"/>
        <v>1.5586533800928279</v>
      </c>
      <c r="K427" s="6">
        <f t="shared" si="96"/>
        <v>2666.4725676747694</v>
      </c>
      <c r="M427">
        <f t="shared" si="97"/>
        <v>250.16723757459098</v>
      </c>
      <c r="N427">
        <f t="shared" si="98"/>
        <v>-3.3192791879483659E-2</v>
      </c>
      <c r="O427">
        <f t="shared" si="99"/>
        <v>3356.5842084719238</v>
      </c>
    </row>
    <row r="428" spans="1:15" x14ac:dyDescent="0.2">
      <c r="A428" s="2">
        <v>415</v>
      </c>
      <c r="B428" s="4">
        <f t="shared" si="100"/>
        <v>5.8514808887691121</v>
      </c>
      <c r="C428" s="2">
        <f t="shared" si="101"/>
        <v>-1.225232706225319E-4</v>
      </c>
      <c r="D428" s="7">
        <f t="shared" si="102"/>
        <v>1557.5361404482474</v>
      </c>
      <c r="E428" s="5">
        <f t="shared" si="103"/>
        <v>-7.0890530556405216E-4</v>
      </c>
      <c r="F428" s="2">
        <f t="shared" si="104"/>
        <v>1528.059362834339</v>
      </c>
      <c r="G428" s="2">
        <f t="shared" si="105"/>
        <v>251695.29693742533</v>
      </c>
      <c r="H428" s="2">
        <f t="shared" si="106"/>
        <v>-1.1041455410907248</v>
      </c>
      <c r="I428" s="2">
        <f t="shared" si="107"/>
        <v>33564.737939178151</v>
      </c>
      <c r="J428" s="5">
        <f t="shared" si="108"/>
        <v>1.5586553207952765</v>
      </c>
      <c r="K428" s="6">
        <f t="shared" si="96"/>
        <v>2661.367428949346</v>
      </c>
      <c r="M428">
        <f t="shared" si="97"/>
        <v>251.69529693742533</v>
      </c>
      <c r="N428">
        <f t="shared" si="98"/>
        <v>-4.0617282083252181E-2</v>
      </c>
      <c r="O428">
        <f t="shared" si="99"/>
        <v>3356.4737939178149</v>
      </c>
    </row>
    <row r="429" spans="1:15" x14ac:dyDescent="0.2">
      <c r="A429" s="2">
        <v>416</v>
      </c>
      <c r="B429" s="4">
        <f t="shared" si="100"/>
        <v>5.8629158499727207</v>
      </c>
      <c r="C429" s="2">
        <f t="shared" si="101"/>
        <v>-1.1547928908025928E-4</v>
      </c>
      <c r="D429" s="7">
        <f t="shared" si="102"/>
        <v>1563.3876213370165</v>
      </c>
      <c r="E429" s="5">
        <f t="shared" si="103"/>
        <v>-8.3142857618658406E-4</v>
      </c>
      <c r="F429" s="2">
        <f t="shared" si="104"/>
        <v>1533.8010823091281</v>
      </c>
      <c r="G429" s="2">
        <f t="shared" si="105"/>
        <v>253229.09801973446</v>
      </c>
      <c r="H429" s="2">
        <f t="shared" si="106"/>
        <v>-1.2998449942778925</v>
      </c>
      <c r="I429" s="2">
        <f t="shared" si="107"/>
        <v>33563.438094183875</v>
      </c>
      <c r="J429" s="5">
        <f t="shared" si="108"/>
        <v>1.5586576054736994</v>
      </c>
      <c r="K429" s="6">
        <f t="shared" si="96"/>
        <v>2656.2622902239232</v>
      </c>
      <c r="M429">
        <f t="shared" si="97"/>
        <v>253.22909801973447</v>
      </c>
      <c r="N429">
        <f t="shared" si="98"/>
        <v>-4.7637348382062489E-2</v>
      </c>
      <c r="O429">
        <f t="shared" si="99"/>
        <v>3356.3438094183875</v>
      </c>
    </row>
    <row r="430" spans="1:15" x14ac:dyDescent="0.2">
      <c r="A430" s="2">
        <v>417</v>
      </c>
      <c r="B430" s="4">
        <f t="shared" si="100"/>
        <v>5.8743831363039059</v>
      </c>
      <c r="C430" s="2">
        <f t="shared" si="101"/>
        <v>-1.084496556103469E-4</v>
      </c>
      <c r="D430" s="7">
        <f t="shared" si="102"/>
        <v>1569.2505371869893</v>
      </c>
      <c r="E430" s="5">
        <f t="shared" si="103"/>
        <v>-9.4690786526684329E-4</v>
      </c>
      <c r="F430" s="2">
        <f t="shared" si="104"/>
        <v>1539.5541764151715</v>
      </c>
      <c r="G430" s="2">
        <f t="shared" si="105"/>
        <v>254768.65219614963</v>
      </c>
      <c r="H430" s="2">
        <f t="shared" si="106"/>
        <v>-1.4859354541797225</v>
      </c>
      <c r="I430" s="2">
        <f t="shared" si="107"/>
        <v>33561.952158729699</v>
      </c>
      <c r="J430" s="5">
        <f t="shared" si="108"/>
        <v>1.5586602172410127</v>
      </c>
      <c r="K430" s="6">
        <f t="shared" si="96"/>
        <v>2651.1571514984998</v>
      </c>
      <c r="M430">
        <f t="shared" si="97"/>
        <v>254.76865219614965</v>
      </c>
      <c r="N430">
        <f t="shared" si="98"/>
        <v>-5.4253824267532516E-2</v>
      </c>
      <c r="O430">
        <f t="shared" si="99"/>
        <v>3356.19521587297</v>
      </c>
    </row>
    <row r="431" spans="1:15" x14ac:dyDescent="0.2">
      <c r="A431" s="2">
        <v>418</v>
      </c>
      <c r="B431" s="4">
        <f t="shared" si="100"/>
        <v>5.8858830208089881</v>
      </c>
      <c r="C431" s="2">
        <f t="shared" si="101"/>
        <v>-1.0143417285602574E-4</v>
      </c>
      <c r="D431" s="7">
        <f t="shared" si="102"/>
        <v>1575.1249203232933</v>
      </c>
      <c r="E431" s="5">
        <f t="shared" si="103"/>
        <v>-1.0553575208771902E-3</v>
      </c>
      <c r="F431" s="2">
        <f t="shared" si="104"/>
        <v>1545.3186738489169</v>
      </c>
      <c r="G431" s="2">
        <f t="shared" si="105"/>
        <v>256313.97086999856</v>
      </c>
      <c r="H431" s="2">
        <f t="shared" si="106"/>
        <v>-1.6623196224079804</v>
      </c>
      <c r="I431" s="2">
        <f t="shared" si="107"/>
        <v>33560.289839107289</v>
      </c>
      <c r="J431" s="5">
        <f t="shared" si="108"/>
        <v>1.5586631390392649</v>
      </c>
      <c r="K431" s="6">
        <f t="shared" si="96"/>
        <v>2646.0520127730765</v>
      </c>
      <c r="M431">
        <f t="shared" si="97"/>
        <v>256.31397086999857</v>
      </c>
      <c r="N431">
        <f t="shared" si="98"/>
        <v>-6.0467531823652658E-2</v>
      </c>
      <c r="O431">
        <f t="shared" si="99"/>
        <v>3356.028983910729</v>
      </c>
    </row>
    <row r="432" spans="1:15" x14ac:dyDescent="0.2">
      <c r="A432" s="2">
        <v>419</v>
      </c>
      <c r="B432" s="4">
        <f t="shared" si="100"/>
        <v>5.8974157781445502</v>
      </c>
      <c r="C432" s="2">
        <f t="shared" si="101"/>
        <v>-9.4432645186969192E-5</v>
      </c>
      <c r="D432" s="7">
        <f t="shared" si="102"/>
        <v>1581.0108033441022</v>
      </c>
      <c r="E432" s="5">
        <f t="shared" si="103"/>
        <v>-1.156791693733216E-3</v>
      </c>
      <c r="F432" s="2">
        <f t="shared" si="104"/>
        <v>1551.0946031859305</v>
      </c>
      <c r="G432" s="2">
        <f t="shared" si="105"/>
        <v>257865.06547318448</v>
      </c>
      <c r="H432" s="2">
        <f t="shared" si="106"/>
        <v>-1.8288997571153154</v>
      </c>
      <c r="I432" s="2">
        <f t="shared" si="107"/>
        <v>33558.460939350174</v>
      </c>
      <c r="J432" s="5">
        <f t="shared" si="108"/>
        <v>1.5586663536388048</v>
      </c>
      <c r="K432" s="6">
        <f t="shared" si="96"/>
        <v>2640.9468740476532</v>
      </c>
      <c r="M432">
        <f t="shared" si="97"/>
        <v>257.86506547318447</v>
      </c>
      <c r="N432">
        <f t="shared" si="98"/>
        <v>-6.6279281826703396E-2</v>
      </c>
      <c r="O432">
        <f t="shared" si="99"/>
        <v>3355.8460939350175</v>
      </c>
    </row>
    <row r="433" spans="1:15" x14ac:dyDescent="0.2">
      <c r="A433" s="2">
        <v>420</v>
      </c>
      <c r="B433" s="4">
        <f t="shared" si="100"/>
        <v>5.9089816845999197</v>
      </c>
      <c r="C433" s="2">
        <f t="shared" si="101"/>
        <v>-8.7444878682101795E-5</v>
      </c>
      <c r="D433" s="7">
        <f t="shared" si="102"/>
        <v>1586.9082191222467</v>
      </c>
      <c r="E433" s="5">
        <f t="shared" si="103"/>
        <v>-1.2512243389201851E-3</v>
      </c>
      <c r="F433" s="2">
        <f t="shared" si="104"/>
        <v>1556.8819928774076</v>
      </c>
      <c r="G433" s="2">
        <f t="shared" si="105"/>
        <v>259421.94746606189</v>
      </c>
      <c r="H433" s="2">
        <f t="shared" si="106"/>
        <v>-1.9855776693072076</v>
      </c>
      <c r="I433" s="2">
        <f t="shared" si="107"/>
        <v>33556.475361680867</v>
      </c>
      <c r="J433" s="5">
        <f t="shared" si="108"/>
        <v>1.5586698436374391</v>
      </c>
      <c r="K433" s="6">
        <f t="shared" si="96"/>
        <v>2635.8417353222299</v>
      </c>
      <c r="M433">
        <f t="shared" si="97"/>
        <v>259.42194746606191</v>
      </c>
      <c r="N433">
        <f t="shared" si="98"/>
        <v>-7.1689873844173121E-2</v>
      </c>
      <c r="O433">
        <f t="shared" si="99"/>
        <v>3355.6475361680868</v>
      </c>
    </row>
    <row r="434" spans="1:15" x14ac:dyDescent="0.2">
      <c r="A434" s="2">
        <v>421</v>
      </c>
      <c r="B434" s="4">
        <f t="shared" si="100"/>
        <v>5.9205810181198739</v>
      </c>
      <c r="C434" s="2">
        <f t="shared" si="101"/>
        <v>-8.0470681112680722E-5</v>
      </c>
      <c r="D434" s="7">
        <f t="shared" si="102"/>
        <v>1592.8172008068466</v>
      </c>
      <c r="E434" s="5">
        <f t="shared" si="103"/>
        <v>-1.3386692176022869E-3</v>
      </c>
      <c r="F434" s="2">
        <f t="shared" si="104"/>
        <v>1562.6808712466539</v>
      </c>
      <c r="G434" s="2">
        <f t="shared" si="105"/>
        <v>260984.62833730853</v>
      </c>
      <c r="H434" s="2">
        <f t="shared" si="106"/>
        <v>-2.1322547191414882</v>
      </c>
      <c r="I434" s="2">
        <f t="shared" si="107"/>
        <v>33554.343106961722</v>
      </c>
      <c r="J434" s="5">
        <f t="shared" si="108"/>
        <v>1.5586735914595906</v>
      </c>
      <c r="K434" s="6">
        <f t="shared" si="96"/>
        <v>2630.7365965968065</v>
      </c>
      <c r="M434">
        <f t="shared" si="97"/>
        <v>260.98462833730855</v>
      </c>
      <c r="N434">
        <f t="shared" si="98"/>
        <v>-7.6700096332691051E-2</v>
      </c>
      <c r="O434">
        <f t="shared" si="99"/>
        <v>3355.4343106961724</v>
      </c>
    </row>
    <row r="435" spans="1:15" x14ac:dyDescent="0.2">
      <c r="A435" s="2">
        <v>422</v>
      </c>
      <c r="B435" s="4">
        <f t="shared" si="100"/>
        <v>5.9322140583275562</v>
      </c>
      <c r="C435" s="2">
        <f t="shared" si="101"/>
        <v>-7.3509861925638641E-5</v>
      </c>
      <c r="D435" s="7">
        <f t="shared" si="102"/>
        <v>1598.7377818249665</v>
      </c>
      <c r="E435" s="5">
        <f t="shared" si="103"/>
        <v>-1.4191398987149677E-3</v>
      </c>
      <c r="F435" s="2">
        <f t="shared" si="104"/>
        <v>1568.4912664855428</v>
      </c>
      <c r="G435" s="2">
        <f t="shared" si="105"/>
        <v>262553.11960379407</v>
      </c>
      <c r="H435" s="2">
        <f t="shared" si="106"/>
        <v>-2.2688318122153466</v>
      </c>
      <c r="I435" s="2">
        <f t="shared" si="107"/>
        <v>33552.074275149505</v>
      </c>
      <c r="J435" s="5">
        <f t="shared" si="108"/>
        <v>1.5586775793554555</v>
      </c>
      <c r="K435" s="6">
        <f t="shared" si="96"/>
        <v>2625.6314578713832</v>
      </c>
      <c r="M435">
        <f t="shared" si="97"/>
        <v>262.55311960379407</v>
      </c>
      <c r="N435">
        <f t="shared" si="98"/>
        <v>-8.1310726734990763E-2</v>
      </c>
      <c r="O435">
        <f t="shared" si="99"/>
        <v>3355.2074275149507</v>
      </c>
    </row>
    <row r="436" spans="1:15" x14ac:dyDescent="0.2">
      <c r="A436" s="2">
        <v>423</v>
      </c>
      <c r="B436" s="4">
        <f t="shared" si="100"/>
        <v>5.9438810865476146</v>
      </c>
      <c r="C436" s="2">
        <f t="shared" si="101"/>
        <v>-6.6562232227179358E-5</v>
      </c>
      <c r="D436" s="7">
        <f t="shared" si="102"/>
        <v>1604.6699958832942</v>
      </c>
      <c r="E436" s="5">
        <f t="shared" si="103"/>
        <v>-1.4926497606406065E-3</v>
      </c>
      <c r="F436" s="2">
        <f t="shared" si="104"/>
        <v>1574.3132066509434</v>
      </c>
      <c r="G436" s="2">
        <f t="shared" si="105"/>
        <v>264127.43281044503</v>
      </c>
      <c r="H436" s="2">
        <f t="shared" si="106"/>
        <v>-2.3952093958397214</v>
      </c>
      <c r="I436" s="2">
        <f t="shared" si="107"/>
        <v>33549.679065753662</v>
      </c>
      <c r="J436" s="5">
        <f t="shared" si="108"/>
        <v>1.5586817894001448</v>
      </c>
      <c r="K436" s="6">
        <f t="shared" si="96"/>
        <v>2620.5263191459603</v>
      </c>
      <c r="M436">
        <f t="shared" si="97"/>
        <v>264.12743281044504</v>
      </c>
      <c r="N436">
        <f t="shared" si="98"/>
        <v>-8.5522531575919297E-2</v>
      </c>
      <c r="O436">
        <f t="shared" si="99"/>
        <v>3354.9679065753662</v>
      </c>
    </row>
    <row r="437" spans="1:15" x14ac:dyDescent="0.2">
      <c r="A437" s="2">
        <v>424</v>
      </c>
      <c r="B437" s="4">
        <f t="shared" si="100"/>
        <v>5.9555823858295618</v>
      </c>
      <c r="C437" s="2">
        <f t="shared" si="101"/>
        <v>-5.9627604766635354E-5</v>
      </c>
      <c r="D437" s="7">
        <f t="shared" si="102"/>
        <v>1610.6138769698418</v>
      </c>
      <c r="E437" s="5">
        <f t="shared" si="103"/>
        <v>-1.5592119928677858E-3</v>
      </c>
      <c r="F437" s="2">
        <f t="shared" si="104"/>
        <v>1580.1467196611234</v>
      </c>
      <c r="G437" s="2">
        <f t="shared" si="105"/>
        <v>265707.57953010616</v>
      </c>
      <c r="H437" s="2">
        <f t="shared" si="106"/>
        <v>-2.5112874553009519</v>
      </c>
      <c r="I437" s="2">
        <f t="shared" si="107"/>
        <v>33547.167778298361</v>
      </c>
      <c r="J437" s="5">
        <f t="shared" si="108"/>
        <v>1.5586862034928368</v>
      </c>
      <c r="K437" s="6">
        <f t="shared" si="96"/>
        <v>2615.421180420537</v>
      </c>
      <c r="M437">
        <f t="shared" si="97"/>
        <v>265.70757953010616</v>
      </c>
      <c r="N437">
        <f t="shared" si="98"/>
        <v>-8.9336266557506358E-2</v>
      </c>
      <c r="O437">
        <f t="shared" si="99"/>
        <v>3354.7167778298362</v>
      </c>
    </row>
    <row r="438" spans="1:15" x14ac:dyDescent="0.2">
      <c r="A438" s="2">
        <v>425</v>
      </c>
      <c r="B438" s="4">
        <f t="shared" si="100"/>
        <v>5.9673182409713581</v>
      </c>
      <c r="C438" s="2">
        <f t="shared" si="101"/>
        <v>-5.2705793920572307E-5</v>
      </c>
      <c r="D438" s="7">
        <f t="shared" si="102"/>
        <v>1616.5694593556714</v>
      </c>
      <c r="E438" s="5">
        <f t="shared" si="103"/>
        <v>-1.6188395976344213E-3</v>
      </c>
      <c r="F438" s="2">
        <f t="shared" si="104"/>
        <v>1585.9918332921243</v>
      </c>
      <c r="G438" s="2">
        <f t="shared" si="105"/>
        <v>267293.57136339828</v>
      </c>
      <c r="H438" s="2">
        <f t="shared" si="106"/>
        <v>-2.6169655101096141</v>
      </c>
      <c r="I438" s="2">
        <f t="shared" si="107"/>
        <v>33544.550812788249</v>
      </c>
      <c r="J438" s="5">
        <f t="shared" si="108"/>
        <v>1.5586908033559113</v>
      </c>
      <c r="K438" s="6">
        <f t="shared" si="96"/>
        <v>2610.3160416951137</v>
      </c>
      <c r="M438">
        <f t="shared" si="97"/>
        <v>267.29357136339826</v>
      </c>
      <c r="N438">
        <f t="shared" si="98"/>
        <v>-9.2752676653108712E-2</v>
      </c>
      <c r="O438">
        <f t="shared" si="99"/>
        <v>3354.4550812788248</v>
      </c>
    </row>
    <row r="439" spans="1:15" x14ac:dyDescent="0.2">
      <c r="A439" s="2">
        <v>426</v>
      </c>
      <c r="B439" s="4">
        <f t="shared" si="100"/>
        <v>5.9790889385432342</v>
      </c>
      <c r="C439" s="2">
        <f t="shared" si="101"/>
        <v>-4.5796615677145903E-5</v>
      </c>
      <c r="D439" s="7">
        <f t="shared" si="102"/>
        <v>1622.5367775966427</v>
      </c>
      <c r="E439" s="5">
        <f t="shared" si="103"/>
        <v>-1.6715453915549937E-3</v>
      </c>
      <c r="F439" s="2">
        <f t="shared" si="104"/>
        <v>1591.8485751741084</v>
      </c>
      <c r="G439" s="2">
        <f t="shared" si="105"/>
        <v>268885.41993857239</v>
      </c>
      <c r="H439" s="2">
        <f t="shared" si="106"/>
        <v>-2.7121426102364095</v>
      </c>
      <c r="I439" s="2">
        <f t="shared" si="107"/>
        <v>33541.838670178011</v>
      </c>
      <c r="J439" s="5">
        <f t="shared" si="108"/>
        <v>1.5586955705340904</v>
      </c>
      <c r="K439" s="6">
        <f t="shared" si="96"/>
        <v>2605.2109029696903</v>
      </c>
      <c r="M439">
        <f t="shared" si="97"/>
        <v>268.8854199385724</v>
      </c>
      <c r="N439">
        <f t="shared" si="98"/>
        <v>-9.5772496200643764E-2</v>
      </c>
      <c r="O439">
        <f t="shared" si="99"/>
        <v>3354.1838670178013</v>
      </c>
    </row>
    <row r="440" spans="1:15" x14ac:dyDescent="0.2">
      <c r="A440" s="2">
        <v>427</v>
      </c>
      <c r="B440" s="4">
        <f t="shared" si="100"/>
        <v>5.9908947669117376</v>
      </c>
      <c r="C440" s="2">
        <f t="shared" si="101"/>
        <v>-3.8899887620702404E-5</v>
      </c>
      <c r="D440" s="7">
        <f t="shared" si="102"/>
        <v>1628.515866535186</v>
      </c>
      <c r="E440" s="5">
        <f t="shared" si="103"/>
        <v>-1.7173420072321395E-3</v>
      </c>
      <c r="F440" s="2">
        <f t="shared" si="104"/>
        <v>1597.7169727876785</v>
      </c>
      <c r="G440" s="2">
        <f t="shared" si="105"/>
        <v>270483.13691136008</v>
      </c>
      <c r="H440" s="2">
        <f t="shared" si="106"/>
        <v>-2.7967173323350263</v>
      </c>
      <c r="I440" s="2">
        <f t="shared" si="107"/>
        <v>33539.041952845677</v>
      </c>
      <c r="J440" s="5">
        <f t="shared" si="108"/>
        <v>1.5587004863935685</v>
      </c>
      <c r="K440" s="6">
        <f t="shared" si="96"/>
        <v>2600.105764244267</v>
      </c>
      <c r="M440">
        <f t="shared" si="97"/>
        <v>270.48313691136008</v>
      </c>
      <c r="N440">
        <f t="shared" si="98"/>
        <v>-9.8396448994926902E-2</v>
      </c>
      <c r="O440">
        <f t="shared" si="99"/>
        <v>3353.9041952845678</v>
      </c>
    </row>
    <row r="441" spans="1:15" x14ac:dyDescent="0.2">
      <c r="A441" s="2">
        <v>428</v>
      </c>
      <c r="B441" s="4">
        <f t="shared" si="100"/>
        <v>6.0027360162640226</v>
      </c>
      <c r="C441" s="2">
        <f t="shared" si="101"/>
        <v>-3.2015428916625799E-5</v>
      </c>
      <c r="D441" s="7">
        <f t="shared" si="102"/>
        <v>1634.5067613020976</v>
      </c>
      <c r="E441" s="5">
        <f t="shared" si="103"/>
        <v>-1.756241894852842E-3</v>
      </c>
      <c r="F441" s="2">
        <f t="shared" si="104"/>
        <v>1603.5970534601686</v>
      </c>
      <c r="G441" s="2">
        <f t="shared" si="105"/>
        <v>272086.73396482028</v>
      </c>
      <c r="H441" s="2">
        <f t="shared" si="106"/>
        <v>-2.8705877759518503</v>
      </c>
      <c r="I441" s="2">
        <f t="shared" si="107"/>
        <v>33536.171365069727</v>
      </c>
      <c r="J441" s="5">
        <f t="shared" si="108"/>
        <v>1.5587055321211449</v>
      </c>
      <c r="K441" s="6">
        <f t="shared" si="96"/>
        <v>2595.0006255188437</v>
      </c>
      <c r="M441">
        <f t="shared" si="97"/>
        <v>272.08673396482027</v>
      </c>
      <c r="N441">
        <f t="shared" si="98"/>
        <v>-0.10062524837912634</v>
      </c>
      <c r="O441">
        <f t="shared" si="99"/>
        <v>3353.6171365069727</v>
      </c>
    </row>
    <row r="442" spans="1:15" x14ac:dyDescent="0.2">
      <c r="A442" s="2">
        <v>429</v>
      </c>
      <c r="B442" s="4">
        <f t="shared" si="100"/>
        <v>6.0146129786323828</v>
      </c>
      <c r="C442" s="2">
        <f t="shared" si="101"/>
        <v>-2.5143060296419448E-5</v>
      </c>
      <c r="D442" s="7">
        <f t="shared" si="102"/>
        <v>1640.5094973183616</v>
      </c>
      <c r="E442" s="5">
        <f t="shared" si="103"/>
        <v>-1.7882573237694677E-3</v>
      </c>
      <c r="F442" s="2">
        <f t="shared" si="104"/>
        <v>1609.4888443619084</v>
      </c>
      <c r="G442" s="2">
        <f t="shared" si="105"/>
        <v>273696.22280918219</v>
      </c>
      <c r="H442" s="2">
        <f t="shared" si="106"/>
        <v>-2.9336515597224344</v>
      </c>
      <c r="I442" s="2">
        <f t="shared" si="107"/>
        <v>33533.237713510003</v>
      </c>
      <c r="J442" s="5">
        <f t="shared" si="108"/>
        <v>1.5587106887233444</v>
      </c>
      <c r="K442" s="6">
        <f t="shared" si="96"/>
        <v>2589.8954867934208</v>
      </c>
      <c r="M442">
        <f t="shared" si="97"/>
        <v>273.69622280918219</v>
      </c>
      <c r="N442">
        <f t="shared" si="98"/>
        <v>-0.10245959733535008</v>
      </c>
      <c r="O442">
        <f t="shared" si="99"/>
        <v>3353.3237713510002</v>
      </c>
    </row>
    <row r="443" spans="1:15" x14ac:dyDescent="0.2">
      <c r="A443" s="2">
        <v>430</v>
      </c>
      <c r="B443" s="4">
        <f t="shared" si="100"/>
        <v>6.0265259479190263</v>
      </c>
      <c r="C443" s="2">
        <f t="shared" si="101"/>
        <v>-1.8282604043030481E-5</v>
      </c>
      <c r="D443" s="7">
        <f t="shared" si="102"/>
        <v>1646.524110296994</v>
      </c>
      <c r="E443" s="5">
        <f t="shared" si="103"/>
        <v>-1.8134003840658871E-3</v>
      </c>
      <c r="F443" s="2">
        <f t="shared" si="104"/>
        <v>1615.3923725024563</v>
      </c>
      <c r="G443" s="2">
        <f t="shared" si="105"/>
        <v>275311.61518168467</v>
      </c>
      <c r="H443" s="2">
        <f t="shared" si="106"/>
        <v>-2.9858058175546156</v>
      </c>
      <c r="I443" s="2">
        <f t="shared" si="107"/>
        <v>33530.251907692451</v>
      </c>
      <c r="J443" s="5">
        <f t="shared" si="108"/>
        <v>1.5587159370255428</v>
      </c>
      <c r="K443" s="6">
        <f t="shared" si="96"/>
        <v>2584.7903480679975</v>
      </c>
      <c r="M443">
        <f t="shared" si="97"/>
        <v>275.31161518168466</v>
      </c>
      <c r="N443">
        <f t="shared" si="98"/>
        <v>-0.10390018857437787</v>
      </c>
      <c r="O443">
        <f t="shared" si="99"/>
        <v>3353.025190769245</v>
      </c>
    </row>
    <row r="444" spans="1:15" x14ac:dyDescent="0.2">
      <c r="A444" s="2">
        <v>431</v>
      </c>
      <c r="B444" s="4">
        <f t="shared" si="100"/>
        <v>6.0384752199210929</v>
      </c>
      <c r="C444" s="2">
        <f t="shared" si="101"/>
        <v>-1.1433883976404529E-5</v>
      </c>
      <c r="D444" s="7">
        <f t="shared" si="102"/>
        <v>1652.550636244913</v>
      </c>
      <c r="E444" s="5">
        <f t="shared" si="103"/>
        <v>-1.8316829881089177E-3</v>
      </c>
      <c r="F444" s="2">
        <f t="shared" si="104"/>
        <v>1621.3076647268056</v>
      </c>
      <c r="G444" s="2">
        <f t="shared" si="105"/>
        <v>276932.92284641147</v>
      </c>
      <c r="H444" s="2">
        <f t="shared" si="106"/>
        <v>-3.0269471947981739</v>
      </c>
      <c r="I444" s="2">
        <f t="shared" si="107"/>
        <v>33527.224960497653</v>
      </c>
      <c r="J444" s="5">
        <f t="shared" si="108"/>
        <v>1.5587212576710823</v>
      </c>
      <c r="K444" s="6">
        <f t="shared" si="96"/>
        <v>2579.6852093425741</v>
      </c>
      <c r="M444">
        <f t="shared" si="97"/>
        <v>276.93292284641149</v>
      </c>
      <c r="N444">
        <f t="shared" si="98"/>
        <v>-0.10494770462455234</v>
      </c>
      <c r="O444">
        <f t="shared" si="99"/>
        <v>3352.7224960497651</v>
      </c>
    </row>
    <row r="445" spans="1:15" x14ac:dyDescent="0.2">
      <c r="A445" s="2">
        <v>432</v>
      </c>
      <c r="B445" s="4">
        <f t="shared" si="100"/>
        <v>6.0504610923559383</v>
      </c>
      <c r="C445" s="2">
        <f t="shared" si="101"/>
        <v>-4.5967254392762124E-6</v>
      </c>
      <c r="D445" s="7">
        <f t="shared" si="102"/>
        <v>1658.5891114648341</v>
      </c>
      <c r="E445" s="5">
        <f t="shared" si="103"/>
        <v>-1.8431168720853223E-3</v>
      </c>
      <c r="F445" s="2">
        <f t="shared" si="104"/>
        <v>1627.2347477115595</v>
      </c>
      <c r="G445" s="2">
        <f t="shared" si="105"/>
        <v>278560.15759412304</v>
      </c>
      <c r="H445" s="2">
        <f t="shared" si="106"/>
        <v>-3.0569718444009339</v>
      </c>
      <c r="I445" s="2">
        <f t="shared" si="107"/>
        <v>33524.167988653251</v>
      </c>
      <c r="J445" s="5">
        <f t="shared" si="108"/>
        <v>1.5587266311203878</v>
      </c>
      <c r="K445" s="6">
        <f t="shared" si="96"/>
        <v>2574.5800706171508</v>
      </c>
      <c r="M445">
        <f t="shared" si="97"/>
        <v>278.56015759412304</v>
      </c>
      <c r="N445">
        <f t="shared" si="98"/>
        <v>-0.10560281791984259</v>
      </c>
      <c r="O445">
        <f t="shared" si="99"/>
        <v>3352.4167988653253</v>
      </c>
    </row>
    <row r="446" spans="1:15" x14ac:dyDescent="0.2">
      <c r="A446" s="2">
        <v>433</v>
      </c>
      <c r="B446" s="4">
        <f t="shared" si="100"/>
        <v>6.0624838648866692</v>
      </c>
      <c r="C446" s="2">
        <f t="shared" si="101"/>
        <v>2.2290447168166962E-6</v>
      </c>
      <c r="D446" s="7">
        <f t="shared" si="102"/>
        <v>1664.6395725571901</v>
      </c>
      <c r="E446" s="5">
        <f t="shared" si="103"/>
        <v>-1.8477135975245986E-3</v>
      </c>
      <c r="F446" s="2">
        <f t="shared" si="104"/>
        <v>1633.1736479610806</v>
      </c>
      <c r="G446" s="2">
        <f t="shared" si="105"/>
        <v>280193.3312420841</v>
      </c>
      <c r="H446" s="2">
        <f t="shared" si="106"/>
        <v>-3.0757754230511987</v>
      </c>
      <c r="I446" s="2">
        <f t="shared" si="107"/>
        <v>33521.0922132302</v>
      </c>
      <c r="J446" s="5">
        <f t="shared" si="108"/>
        <v>1.558732037650078</v>
      </c>
      <c r="K446" s="6">
        <f t="shared" si="96"/>
        <v>2569.4749318917275</v>
      </c>
      <c r="M446">
        <f t="shared" si="97"/>
        <v>280.19333124208407</v>
      </c>
      <c r="N446">
        <f t="shared" si="98"/>
        <v>-0.10586619088709352</v>
      </c>
      <c r="O446">
        <f t="shared" si="99"/>
        <v>3352.1092213230199</v>
      </c>
    </row>
    <row r="447" spans="1:15" x14ac:dyDescent="0.2">
      <c r="A447" s="2">
        <v>434</v>
      </c>
      <c r="B447" s="4">
        <f t="shared" si="100"/>
        <v>6.0745438391479336</v>
      </c>
      <c r="C447" s="2">
        <f t="shared" si="101"/>
        <v>9.0435981452878723E-6</v>
      </c>
      <c r="D447" s="7">
        <f t="shared" si="102"/>
        <v>1670.7020564220768</v>
      </c>
      <c r="E447" s="5">
        <f t="shared" si="103"/>
        <v>-1.8454845528077819E-3</v>
      </c>
      <c r="F447" s="2">
        <f t="shared" si="104"/>
        <v>1639.1243918036059</v>
      </c>
      <c r="G447" s="2">
        <f t="shared" si="105"/>
        <v>281832.45563388773</v>
      </c>
      <c r="H447" s="2">
        <f t="shared" si="106"/>
        <v>-3.0832530873064141</v>
      </c>
      <c r="I447" s="2">
        <f t="shared" si="107"/>
        <v>33518.008960142892</v>
      </c>
      <c r="J447" s="5">
        <f t="shared" si="108"/>
        <v>1.558737457352072</v>
      </c>
      <c r="K447" s="6">
        <f t="shared" si="96"/>
        <v>2564.3697931663041</v>
      </c>
      <c r="M447">
        <f t="shared" si="97"/>
        <v>281.83245563388772</v>
      </c>
      <c r="N447">
        <f t="shared" si="98"/>
        <v>-0.10573847603247401</v>
      </c>
      <c r="O447">
        <f t="shared" si="99"/>
        <v>3351.8008960142893</v>
      </c>
    </row>
    <row r="448" spans="1:15" x14ac:dyDescent="0.2">
      <c r="A448" s="2">
        <v>435</v>
      </c>
      <c r="B448" s="4">
        <f t="shared" si="100"/>
        <v>6.0866413187719806</v>
      </c>
      <c r="C448" s="2">
        <f t="shared" si="101"/>
        <v>1.5847105018037292E-5</v>
      </c>
      <c r="D448" s="7">
        <f t="shared" si="102"/>
        <v>1676.7766002612248</v>
      </c>
      <c r="E448" s="5">
        <f t="shared" si="103"/>
        <v>-1.836440954662494E-3</v>
      </c>
      <c r="F448" s="2">
        <f t="shared" si="104"/>
        <v>1645.087005387335</v>
      </c>
      <c r="G448" s="2">
        <f t="shared" si="105"/>
        <v>283477.54263927508</v>
      </c>
      <c r="H448" s="2">
        <f t="shared" si="106"/>
        <v>-3.0792994897079589</v>
      </c>
      <c r="I448" s="2">
        <f t="shared" si="107"/>
        <v>33514.929660653186</v>
      </c>
      <c r="J448" s="5">
        <f t="shared" si="108"/>
        <v>1.5587428701326964</v>
      </c>
      <c r="K448" s="6">
        <f t="shared" si="96"/>
        <v>2559.2646544408808</v>
      </c>
      <c r="M448">
        <f t="shared" si="97"/>
        <v>283.4775426392751</v>
      </c>
      <c r="N448">
        <f t="shared" si="98"/>
        <v>-0.10522031602713668</v>
      </c>
      <c r="O448">
        <f t="shared" si="99"/>
        <v>3351.4929660653188</v>
      </c>
    </row>
    <row r="449" spans="1:15" x14ac:dyDescent="0.2">
      <c r="A449" s="2">
        <v>436</v>
      </c>
      <c r="B449" s="4">
        <f t="shared" si="100"/>
        <v>6.0987766094149949</v>
      </c>
      <c r="C449" s="2">
        <f t="shared" si="101"/>
        <v>2.2639734038763842E-5</v>
      </c>
      <c r="D449" s="7">
        <f t="shared" si="102"/>
        <v>1682.8632415799968</v>
      </c>
      <c r="E449" s="5">
        <f t="shared" si="103"/>
        <v>-1.8205938496444567E-3</v>
      </c>
      <c r="F449" s="2">
        <f t="shared" si="104"/>
        <v>1651.0615146764876</v>
      </c>
      <c r="G449" s="2">
        <f t="shared" si="105"/>
        <v>285128.60415395157</v>
      </c>
      <c r="H449" s="2">
        <f t="shared" si="106"/>
        <v>-3.0638087748819491</v>
      </c>
      <c r="I449" s="2">
        <f t="shared" si="107"/>
        <v>33511.865851878305</v>
      </c>
      <c r="J449" s="5">
        <f t="shared" si="108"/>
        <v>1.5587482557117842</v>
      </c>
      <c r="K449" s="6">
        <f t="shared" si="96"/>
        <v>2554.1595157154579</v>
      </c>
      <c r="M449">
        <f t="shared" si="97"/>
        <v>285.12860415395158</v>
      </c>
      <c r="N449">
        <f t="shared" si="98"/>
        <v>-0.10431234379210254</v>
      </c>
      <c r="O449">
        <f t="shared" si="99"/>
        <v>3351.1865851878306</v>
      </c>
    </row>
    <row r="450" spans="1:15" x14ac:dyDescent="0.2">
      <c r="A450" s="2">
        <v>437</v>
      </c>
      <c r="B450" s="4">
        <f t="shared" si="100"/>
        <v>6.1109500187836963</v>
      </c>
      <c r="C450" s="2">
        <f t="shared" si="101"/>
        <v>2.9421652456057594E-5</v>
      </c>
      <c r="D450" s="7">
        <f t="shared" si="102"/>
        <v>1688.9620181894118</v>
      </c>
      <c r="E450" s="5">
        <f t="shared" si="103"/>
        <v>-1.7979541156056928E-3</v>
      </c>
      <c r="F450" s="2">
        <f t="shared" si="104"/>
        <v>1657.0479454473289</v>
      </c>
      <c r="G450" s="2">
        <f t="shared" si="105"/>
        <v>286785.6520993989</v>
      </c>
      <c r="H450" s="2">
        <f t="shared" si="106"/>
        <v>-3.0366745756259546</v>
      </c>
      <c r="I450" s="2">
        <f t="shared" si="107"/>
        <v>33508.829177302679</v>
      </c>
      <c r="J450" s="5">
        <f t="shared" si="108"/>
        <v>1.5587535936217767</v>
      </c>
      <c r="K450" s="6">
        <f t="shared" si="96"/>
        <v>2549.0543769900346</v>
      </c>
      <c r="M450">
        <f t="shared" si="97"/>
        <v>286.78565209939887</v>
      </c>
      <c r="N450">
        <f t="shared" si="98"/>
        <v>-0.10301518258238269</v>
      </c>
      <c r="O450">
        <f t="shared" si="99"/>
        <v>3350.8829177302678</v>
      </c>
    </row>
    <row r="451" spans="1:15" x14ac:dyDescent="0.2">
      <c r="A451" s="2">
        <v>438</v>
      </c>
      <c r="B451" s="4">
        <f t="shared" si="100"/>
        <v>6.1231618566622208</v>
      </c>
      <c r="C451" s="2">
        <f t="shared" si="101"/>
        <v>3.619302607628141E-5</v>
      </c>
      <c r="D451" s="7">
        <f t="shared" si="102"/>
        <v>1695.0729682081956</v>
      </c>
      <c r="E451" s="5">
        <f t="shared" si="103"/>
        <v>-1.7685324631496351E-3</v>
      </c>
      <c r="F451" s="2">
        <f t="shared" si="104"/>
        <v>1663.0463232841696</v>
      </c>
      <c r="G451" s="2">
        <f t="shared" si="105"/>
        <v>288448.69842268305</v>
      </c>
      <c r="H451" s="2">
        <f t="shared" si="106"/>
        <v>-2.9977900089815304</v>
      </c>
      <c r="I451" s="2">
        <f t="shared" si="107"/>
        <v>33505.8313872937</v>
      </c>
      <c r="J451" s="5">
        <f t="shared" si="108"/>
        <v>1.5587588632068168</v>
      </c>
      <c r="K451" s="6">
        <f t="shared" si="96"/>
        <v>2543.9492382646113</v>
      </c>
      <c r="M451">
        <f t="shared" si="97"/>
        <v>288.44869842268304</v>
      </c>
      <c r="N451">
        <f t="shared" si="98"/>
        <v>-0.10132944607034988</v>
      </c>
      <c r="O451">
        <f t="shared" si="99"/>
        <v>3350.5831387293701</v>
      </c>
    </row>
    <row r="452" spans="1:15" x14ac:dyDescent="0.2">
      <c r="A452" s="2">
        <v>439</v>
      </c>
      <c r="B452" s="4">
        <f t="shared" si="100"/>
        <v>6.1354124349392798</v>
      </c>
      <c r="C452" s="2">
        <f t="shared" si="101"/>
        <v>4.2954019276233559E-5</v>
      </c>
      <c r="D452" s="7">
        <f t="shared" si="102"/>
        <v>1701.1961300648577</v>
      </c>
      <c r="E452" s="5">
        <f t="shared" si="103"/>
        <v>-1.7323394370733537E-3</v>
      </c>
      <c r="F452" s="2">
        <f t="shared" si="104"/>
        <v>1669.0566735753255</v>
      </c>
      <c r="G452" s="2">
        <f t="shared" si="105"/>
        <v>290117.75509625836</v>
      </c>
      <c r="H452" s="2">
        <f t="shared" si="106"/>
        <v>-2.9470476722924333</v>
      </c>
      <c r="I452" s="2">
        <f t="shared" si="107"/>
        <v>33502.884339621407</v>
      </c>
      <c r="J452" s="5">
        <f t="shared" si="108"/>
        <v>1.5587640436218435</v>
      </c>
      <c r="K452" s="6">
        <f t="shared" si="96"/>
        <v>2538.8440995391879</v>
      </c>
      <c r="M452">
        <f t="shared" si="97"/>
        <v>290.11775509625835</v>
      </c>
      <c r="N452">
        <f t="shared" si="98"/>
        <v>-9.9255738428372028E-2</v>
      </c>
      <c r="O452">
        <f t="shared" si="99"/>
        <v>3350.2884339621405</v>
      </c>
    </row>
    <row r="453" spans="1:15" x14ac:dyDescent="0.2">
      <c r="A453" s="2">
        <v>440</v>
      </c>
      <c r="B453" s="4">
        <f t="shared" si="100"/>
        <v>6.1477020676356151</v>
      </c>
      <c r="C453" s="2">
        <f t="shared" si="101"/>
        <v>4.9704795015602989E-5</v>
      </c>
      <c r="D453" s="7">
        <f t="shared" si="102"/>
        <v>1707.331542499797</v>
      </c>
      <c r="E453" s="5">
        <f t="shared" si="103"/>
        <v>-1.6893854177971201E-3</v>
      </c>
      <c r="F453" s="2">
        <f t="shared" si="104"/>
        <v>1675.0790215090581</v>
      </c>
      <c r="G453" s="2">
        <f t="shared" si="105"/>
        <v>291792.8341177674</v>
      </c>
      <c r="H453" s="2">
        <f t="shared" si="106"/>
        <v>-2.8843396392484428</v>
      </c>
      <c r="I453" s="2">
        <f t="shared" si="107"/>
        <v>33499.999999982159</v>
      </c>
      <c r="J453" s="5">
        <f t="shared" si="108"/>
        <v>1.5587691138316833</v>
      </c>
      <c r="K453" s="6">
        <f t="shared" si="96"/>
        <v>2533.7389608137646</v>
      </c>
      <c r="M453">
        <f t="shared" si="97"/>
        <v>291.79283411776743</v>
      </c>
      <c r="N453">
        <f t="shared" si="98"/>
        <v>-9.6794654410720257E-2</v>
      </c>
      <c r="O453">
        <f t="shared" si="99"/>
        <v>3349.999999998216</v>
      </c>
    </row>
    <row r="454" spans="1:15" x14ac:dyDescent="0.2">
      <c r="A454" s="2">
        <v>441</v>
      </c>
      <c r="B454" s="4">
        <f>((0/K454)-(J454*SIN(E454)))</f>
        <v>2.5558904640847948E-3</v>
      </c>
      <c r="C454" s="2">
        <f t="shared" si="101"/>
        <v>5.6445514849216136E-5</v>
      </c>
      <c r="D454" s="7">
        <f t="shared" si="102"/>
        <v>1713.4792445674327</v>
      </c>
      <c r="E454" s="5">
        <f t="shared" si="103"/>
        <v>-1.639680622781517E-3</v>
      </c>
      <c r="F454" s="2">
        <f t="shared" si="104"/>
        <v>1681.1133920694731</v>
      </c>
      <c r="G454" s="2">
        <f t="shared" si="105"/>
        <v>293473.94750983687</v>
      </c>
      <c r="H454" s="2">
        <f t="shared" si="106"/>
        <v>-2.8095574559146619</v>
      </c>
      <c r="I454" s="2">
        <f t="shared" si="107"/>
        <v>33497.190442526247</v>
      </c>
      <c r="J454" s="5">
        <f t="shared" si="108"/>
        <v>1.5587740526101355</v>
      </c>
      <c r="K454" s="6">
        <f t="shared" si="96"/>
        <v>2528.6338220883413</v>
      </c>
      <c r="M454">
        <f t="shared" si="97"/>
        <v>293.47394750983688</v>
      </c>
      <c r="N454">
        <f t="shared" si="98"/>
        <v>-9.3946779434763303E-2</v>
      </c>
      <c r="O454">
        <f t="shared" si="99"/>
        <v>3349.7190442526248</v>
      </c>
    </row>
    <row r="455" spans="1:15" x14ac:dyDescent="0.2">
      <c r="A455" s="2">
        <v>442</v>
      </c>
      <c r="B455" s="4">
        <f t="shared" ref="B455:B502" si="109">((0/K455)-(J455*SIN(E455)))</f>
        <v>2.4679123245196686E-3</v>
      </c>
      <c r="C455" s="2">
        <f t="shared" si="101"/>
        <v>5.6447012895644429E-5</v>
      </c>
      <c r="D455" s="7">
        <f t="shared" si="102"/>
        <v>1713.4818004578967</v>
      </c>
      <c r="E455" s="5">
        <f t="shared" si="103"/>
        <v>-1.5832351079323008E-3</v>
      </c>
      <c r="F455" s="2">
        <f t="shared" si="104"/>
        <v>1681.1186241313601</v>
      </c>
      <c r="G455" s="2">
        <f t="shared" si="105"/>
        <v>295155.06613396824</v>
      </c>
      <c r="H455" s="2">
        <f t="shared" si="106"/>
        <v>-2.7128434099370065</v>
      </c>
      <c r="I455" s="2">
        <f t="shared" si="107"/>
        <v>33494.477599116311</v>
      </c>
      <c r="J455" s="5">
        <f t="shared" si="108"/>
        <v>1.5587788214021494</v>
      </c>
      <c r="K455" s="6">
        <f t="shared" si="96"/>
        <v>2523.5286833629179</v>
      </c>
      <c r="M455">
        <f t="shared" si="97"/>
        <v>295.15506613396826</v>
      </c>
      <c r="N455">
        <f t="shared" si="98"/>
        <v>-9.0712689661460205E-2</v>
      </c>
      <c r="O455">
        <f t="shared" si="99"/>
        <v>3349.4477599116312</v>
      </c>
    </row>
    <row r="456" spans="1:15" x14ac:dyDescent="0.2">
      <c r="A456" s="2">
        <v>443</v>
      </c>
      <c r="B456" s="4">
        <f t="shared" si="109"/>
        <v>2.3799310440661115E-3</v>
      </c>
      <c r="C456" s="2">
        <f t="shared" si="101"/>
        <v>5.6448460979584927E-5</v>
      </c>
      <c r="D456" s="7">
        <f t="shared" si="102"/>
        <v>1713.4842683702213</v>
      </c>
      <c r="E456" s="5">
        <f t="shared" si="103"/>
        <v>-1.5267880950366563E-3</v>
      </c>
      <c r="F456" s="2">
        <f t="shared" si="104"/>
        <v>1681.1236728609629</v>
      </c>
      <c r="G456" s="2">
        <f t="shared" si="105"/>
        <v>296836.18980682921</v>
      </c>
      <c r="H456" s="2">
        <f t="shared" si="106"/>
        <v>-2.6161263655791749</v>
      </c>
      <c r="I456" s="2">
        <f t="shared" si="107"/>
        <v>33491.86147275073</v>
      </c>
      <c r="J456" s="5">
        <f t="shared" si="108"/>
        <v>1.5587834202001132</v>
      </c>
      <c r="K456" s="6">
        <f t="shared" si="96"/>
        <v>2518.4235446374951</v>
      </c>
      <c r="M456">
        <f t="shared" si="97"/>
        <v>296.83618980682922</v>
      </c>
      <c r="N456">
        <f t="shared" si="98"/>
        <v>-8.7478514056419238E-2</v>
      </c>
      <c r="O456">
        <f t="shared" si="99"/>
        <v>3349.1861472750729</v>
      </c>
    </row>
    <row r="457" spans="1:15" x14ac:dyDescent="0.2">
      <c r="A457" s="2">
        <v>444</v>
      </c>
      <c r="B457" s="4">
        <f t="shared" si="109"/>
        <v>2.2919467296400871E-3</v>
      </c>
      <c r="C457" s="2">
        <f t="shared" si="101"/>
        <v>5.6449859098913076E-5</v>
      </c>
      <c r="D457" s="7">
        <f t="shared" si="102"/>
        <v>1713.4866483012654</v>
      </c>
      <c r="E457" s="5">
        <f t="shared" si="103"/>
        <v>-1.4703396340570714E-3</v>
      </c>
      <c r="F457" s="2">
        <f t="shared" si="104"/>
        <v>1681.1285382502192</v>
      </c>
      <c r="G457" s="2">
        <f t="shared" si="105"/>
        <v>298517.31834507943</v>
      </c>
      <c r="H457" s="2">
        <f t="shared" si="106"/>
        <v>-2.5194064236411782</v>
      </c>
      <c r="I457" s="2">
        <f t="shared" si="107"/>
        <v>33489.342066327088</v>
      </c>
      <c r="J457" s="5">
        <f t="shared" si="108"/>
        <v>1.5587878489966758</v>
      </c>
      <c r="K457" s="6">
        <f t="shared" si="96"/>
        <v>2513.3184059120717</v>
      </c>
      <c r="M457">
        <f t="shared" si="97"/>
        <v>298.51731834507945</v>
      </c>
      <c r="N457">
        <f t="shared" si="98"/>
        <v>-8.4244255482280123E-2</v>
      </c>
      <c r="O457">
        <f t="shared" si="99"/>
        <v>3348.934206632709</v>
      </c>
    </row>
    <row r="458" spans="1:15" x14ac:dyDescent="0.2">
      <c r="A458" s="2">
        <v>445</v>
      </c>
      <c r="B458" s="4">
        <f t="shared" si="109"/>
        <v>2.203959488165359E-3</v>
      </c>
      <c r="C458" s="2">
        <f t="shared" si="101"/>
        <v>5.6451207251575086E-5</v>
      </c>
      <c r="D458" s="7">
        <f t="shared" si="102"/>
        <v>1713.4889402479951</v>
      </c>
      <c r="E458" s="5">
        <f t="shared" si="103"/>
        <v>-1.4138897749581582E-3</v>
      </c>
      <c r="F458" s="2">
        <f t="shared" si="104"/>
        <v>1681.1332202913486</v>
      </c>
      <c r="G458" s="2">
        <f t="shared" si="105"/>
        <v>300198.45156537078</v>
      </c>
      <c r="H458" s="2">
        <f t="shared" si="106"/>
        <v>-2.4226836849288578</v>
      </c>
      <c r="I458" s="2">
        <f t="shared" si="107"/>
        <v>33486.919382642162</v>
      </c>
      <c r="J458" s="5">
        <f t="shared" si="108"/>
        <v>1.558792107784748</v>
      </c>
      <c r="K458" s="6">
        <f t="shared" si="96"/>
        <v>2508.2132671866484</v>
      </c>
      <c r="M458">
        <f t="shared" si="97"/>
        <v>300.19845156537076</v>
      </c>
      <c r="N458">
        <f t="shared" si="98"/>
        <v>-8.1009916801804208E-2</v>
      </c>
      <c r="O458">
        <f t="shared" si="99"/>
        <v>3348.6919382642163</v>
      </c>
    </row>
    <row r="459" spans="1:15" x14ac:dyDescent="0.2">
      <c r="A459" s="2">
        <v>446</v>
      </c>
      <c r="B459" s="4">
        <f t="shared" si="109"/>
        <v>2.1159694265732148E-3</v>
      </c>
      <c r="C459" s="2">
        <f t="shared" si="101"/>
        <v>5.6452505435588139E-5</v>
      </c>
      <c r="D459" s="7">
        <f t="shared" si="102"/>
        <v>1713.4911442074833</v>
      </c>
      <c r="E459" s="5">
        <f t="shared" si="103"/>
        <v>-1.357438567706583E-3</v>
      </c>
      <c r="F459" s="2">
        <f t="shared" si="104"/>
        <v>1681.1377189768509</v>
      </c>
      <c r="G459" s="2">
        <f t="shared" si="105"/>
        <v>301879.5892843476</v>
      </c>
      <c r="H459" s="2">
        <f t="shared" si="106"/>
        <v>-2.3259582502536889</v>
      </c>
      <c r="I459" s="2">
        <f t="shared" si="107"/>
        <v>33484.593424391911</v>
      </c>
      <c r="J459" s="5">
        <f t="shared" si="108"/>
        <v>1.5587961965575008</v>
      </c>
      <c r="K459" s="6">
        <f t="shared" si="96"/>
        <v>2503.1081284612251</v>
      </c>
      <c r="M459">
        <f t="shared" si="97"/>
        <v>301.87958928434762</v>
      </c>
      <c r="N459">
        <f t="shared" si="98"/>
        <v>-7.7775500877870649E-2</v>
      </c>
      <c r="O459">
        <f t="shared" si="99"/>
        <v>3348.459342439191</v>
      </c>
    </row>
    <row r="460" spans="1:15" x14ac:dyDescent="0.2">
      <c r="A460" s="2">
        <v>447</v>
      </c>
      <c r="B460" s="4">
        <f t="shared" si="109"/>
        <v>2.0279766518021946E-3</v>
      </c>
      <c r="C460" s="2">
        <f t="shared" si="101"/>
        <v>5.6453753649041479E-5</v>
      </c>
      <c r="D460" s="7">
        <f t="shared" si="102"/>
        <v>1713.4932601769099</v>
      </c>
      <c r="E460" s="5">
        <f t="shared" si="103"/>
        <v>-1.3009860622709949E-3</v>
      </c>
      <c r="F460" s="2">
        <f t="shared" si="104"/>
        <v>1681.1420342995073</v>
      </c>
      <c r="G460" s="2">
        <f t="shared" si="105"/>
        <v>303560.7313186471</v>
      </c>
      <c r="H460" s="2">
        <f t="shared" si="106"/>
        <v>-2.2292302204325805</v>
      </c>
      <c r="I460" s="2">
        <f t="shared" si="107"/>
        <v>33482.364194171481</v>
      </c>
      <c r="J460" s="5">
        <f t="shared" si="108"/>
        <v>1.5588001153083642</v>
      </c>
      <c r="K460" s="6">
        <f t="shared" si="96"/>
        <v>2498.0029897358017</v>
      </c>
      <c r="M460">
        <f t="shared" si="97"/>
        <v>303.56073131864707</v>
      </c>
      <c r="N460">
        <f t="shared" si="98"/>
        <v>-7.4541010573472108E-2</v>
      </c>
      <c r="O460">
        <f t="shared" si="99"/>
        <v>3348.2364194171482</v>
      </c>
    </row>
    <row r="461" spans="1:15" x14ac:dyDescent="0.2">
      <c r="A461" s="2">
        <v>448</v>
      </c>
      <c r="B461" s="4">
        <f t="shared" si="109"/>
        <v>1.9399812707978209E-3</v>
      </c>
      <c r="C461" s="2">
        <f t="shared" si="101"/>
        <v>5.6454951890094889E-5</v>
      </c>
      <c r="D461" s="7">
        <f t="shared" si="102"/>
        <v>1713.4952881535617</v>
      </c>
      <c r="E461" s="5">
        <f t="shared" si="103"/>
        <v>-1.2445323086219533E-3</v>
      </c>
      <c r="F461" s="2">
        <f t="shared" si="104"/>
        <v>1681.1461662523798</v>
      </c>
      <c r="G461" s="2">
        <f t="shared" si="105"/>
        <v>305241.87748489948</v>
      </c>
      <c r="H461" s="2">
        <f t="shared" si="106"/>
        <v>-2.1324996962876748</v>
      </c>
      <c r="I461" s="2">
        <f t="shared" si="107"/>
        <v>33480.231694475195</v>
      </c>
      <c r="J461" s="5">
        <f t="shared" si="108"/>
        <v>1.5588038640310298</v>
      </c>
      <c r="K461" s="6">
        <f t="shared" si="96"/>
        <v>2492.8978510103784</v>
      </c>
      <c r="M461">
        <f t="shared" si="97"/>
        <v>305.24187748489948</v>
      </c>
      <c r="N461">
        <f t="shared" si="98"/>
        <v>-7.1306448751710758E-2</v>
      </c>
      <c r="O461">
        <f t="shared" si="99"/>
        <v>3348.0231694475196</v>
      </c>
    </row>
    <row r="462" spans="1:15" x14ac:dyDescent="0.2">
      <c r="A462" s="2">
        <v>449</v>
      </c>
      <c r="B462" s="4">
        <f t="shared" si="109"/>
        <v>1.8519833905123258E-3</v>
      </c>
      <c r="C462" s="2">
        <f t="shared" si="101"/>
        <v>5.6456100156979244E-5</v>
      </c>
      <c r="D462" s="7">
        <f t="shared" si="102"/>
        <v>1713.4972281348325</v>
      </c>
      <c r="E462" s="5">
        <f t="shared" si="103"/>
        <v>-1.1880773567318585E-3</v>
      </c>
      <c r="F462" s="2">
        <f t="shared" si="104"/>
        <v>1681.1501148288121</v>
      </c>
      <c r="G462" s="2">
        <f t="shared" si="105"/>
        <v>306923.02759972832</v>
      </c>
      <c r="H462" s="2">
        <f t="shared" si="106"/>
        <v>-2.0357667786461504</v>
      </c>
      <c r="I462" s="2">
        <f t="shared" si="107"/>
        <v>33478.19592769655</v>
      </c>
      <c r="J462" s="5">
        <f t="shared" si="108"/>
        <v>1.5588074427194505</v>
      </c>
      <c r="K462" s="6">
        <f t="shared" ref="K462:K477" si="110">$B$1-($B$7*A462)</f>
        <v>2487.7927122849555</v>
      </c>
      <c r="M462">
        <f t="shared" ref="M462:M502" si="111">G462/1000</f>
        <v>306.9230275997283</v>
      </c>
      <c r="N462">
        <f t="shared" ref="N462:N502" si="112">E462*180/PI()</f>
        <v>-6.8071818275794227E-2</v>
      </c>
      <c r="O462">
        <f t="shared" ref="O462:O502" si="113">I462/10</f>
        <v>3347.8195927696552</v>
      </c>
    </row>
    <row r="463" spans="1:15" x14ac:dyDescent="0.2">
      <c r="A463" s="2">
        <v>450</v>
      </c>
      <c r="B463" s="4">
        <f t="shared" si="109"/>
        <v>1.7639831179043779E-3</v>
      </c>
      <c r="C463" s="2">
        <f t="shared" si="101"/>
        <v>5.6457198447996268E-5</v>
      </c>
      <c r="D463" s="7">
        <f t="shared" si="102"/>
        <v>1713.499080118223</v>
      </c>
      <c r="E463" s="5">
        <f t="shared" si="103"/>
        <v>-1.1316212565748794E-3</v>
      </c>
      <c r="F463" s="2">
        <f t="shared" si="104"/>
        <v>1681.153880022428</v>
      </c>
      <c r="G463" s="2">
        <f t="shared" si="105"/>
        <v>308604.18147975072</v>
      </c>
      <c r="H463" s="2">
        <f t="shared" si="106"/>
        <v>-1.9390315683400223</v>
      </c>
      <c r="I463" s="2">
        <f t="shared" si="107"/>
        <v>33476.256896128209</v>
      </c>
      <c r="J463" s="5">
        <f t="shared" si="108"/>
        <v>1.5588108513678391</v>
      </c>
      <c r="K463" s="6">
        <f t="shared" si="110"/>
        <v>2482.6875735595322</v>
      </c>
      <c r="M463">
        <f t="shared" si="111"/>
        <v>308.60418147975071</v>
      </c>
      <c r="N463">
        <f t="shared" si="112"/>
        <v>-6.4837122009031453E-2</v>
      </c>
      <c r="O463">
        <f t="shared" si="113"/>
        <v>3347.6256896128207</v>
      </c>
    </row>
    <row r="464" spans="1:15" x14ac:dyDescent="0.2">
      <c r="A464" s="2">
        <v>451</v>
      </c>
      <c r="B464" s="4">
        <f t="shared" si="109"/>
        <v>1.6759805599388118E-3</v>
      </c>
      <c r="C464" s="2">
        <f t="shared" si="101"/>
        <v>5.645824676151934E-5</v>
      </c>
      <c r="D464" s="7">
        <f t="shared" si="102"/>
        <v>1713.5008441013408</v>
      </c>
      <c r="E464" s="5">
        <f t="shared" si="103"/>
        <v>-1.0751640581268831E-3</v>
      </c>
      <c r="F464" s="2">
        <f t="shared" si="104"/>
        <v>1681.1574618271338</v>
      </c>
      <c r="G464" s="2">
        <f t="shared" si="105"/>
        <v>310285.33894157788</v>
      </c>
      <c r="H464" s="2">
        <f t="shared" si="106"/>
        <v>-1.8422941662059444</v>
      </c>
      <c r="I464" s="2">
        <f t="shared" si="107"/>
        <v>33474.414601962002</v>
      </c>
      <c r="J464" s="5">
        <f t="shared" si="108"/>
        <v>1.5588140899706691</v>
      </c>
      <c r="K464" s="6">
        <f t="shared" si="110"/>
        <v>2477.5824348341089</v>
      </c>
      <c r="M464">
        <f t="shared" si="111"/>
        <v>310.28533894157789</v>
      </c>
      <c r="N464">
        <f t="shared" si="112"/>
        <v>-6.1602362814828712E-2</v>
      </c>
      <c r="O464">
        <f t="shared" si="113"/>
        <v>3347.4414601962003</v>
      </c>
    </row>
    <row r="465" spans="1:15" x14ac:dyDescent="0.2">
      <c r="A465" s="2">
        <v>452</v>
      </c>
      <c r="B465" s="4">
        <f t="shared" si="109"/>
        <v>1.5879758235863568E-3</v>
      </c>
      <c r="C465" s="2">
        <f t="shared" si="101"/>
        <v>5.6459245095992034E-5</v>
      </c>
      <c r="D465" s="7">
        <f t="shared" si="102"/>
        <v>1713.5025200819007</v>
      </c>
      <c r="E465" s="5">
        <f t="shared" si="103"/>
        <v>-1.0187058113653637E-3</v>
      </c>
      <c r="F465" s="2">
        <f t="shared" si="104"/>
        <v>1681.1608602371157</v>
      </c>
      <c r="G465" s="2">
        <f t="shared" si="105"/>
        <v>311966.49980181502</v>
      </c>
      <c r="H465" s="2">
        <f t="shared" si="106"/>
        <v>-1.7455546730850102</v>
      </c>
      <c r="I465" s="2">
        <f t="shared" si="107"/>
        <v>33472.669047288917</v>
      </c>
      <c r="J465" s="5">
        <f t="shared" si="108"/>
        <v>1.558817158522676</v>
      </c>
      <c r="K465" s="6">
        <f t="shared" si="110"/>
        <v>2472.4772961086856</v>
      </c>
      <c r="M465">
        <f t="shared" si="111"/>
        <v>311.96649980181502</v>
      </c>
      <c r="N465">
        <f t="shared" si="112"/>
        <v>-5.8367543556685518E-2</v>
      </c>
      <c r="O465">
        <f t="shared" si="113"/>
        <v>3347.2669047288919</v>
      </c>
    </row>
    <row r="466" spans="1:15" x14ac:dyDescent="0.2">
      <c r="A466" s="2">
        <v>453</v>
      </c>
      <c r="B466" s="4">
        <f t="shared" si="109"/>
        <v>1.4999690158233603E-3</v>
      </c>
      <c r="C466" s="2">
        <f t="shared" si="101"/>
        <v>5.6460193449930863E-5</v>
      </c>
      <c r="D466" s="7">
        <f t="shared" si="102"/>
        <v>1713.5041080577244</v>
      </c>
      <c r="E466" s="5">
        <f t="shared" si="103"/>
        <v>-9.6224656626937171E-4</v>
      </c>
      <c r="F466" s="2">
        <f t="shared" si="104"/>
        <v>1681.1640752468413</v>
      </c>
      <c r="G466" s="2">
        <f t="shared" si="105"/>
        <v>313647.66387706186</v>
      </c>
      <c r="H466" s="2">
        <f t="shared" si="106"/>
        <v>-1.6488131898225535</v>
      </c>
      <c r="I466" s="2">
        <f t="shared" si="107"/>
        <v>33471.020234099095</v>
      </c>
      <c r="J466" s="5">
        <f t="shared" si="108"/>
        <v>1.5588200570188528</v>
      </c>
      <c r="K466" s="6">
        <f t="shared" si="110"/>
        <v>2467.3721573832622</v>
      </c>
      <c r="M466">
        <f t="shared" si="111"/>
        <v>313.64766387706186</v>
      </c>
      <c r="N466">
        <f t="shared" si="112"/>
        <v>-5.513266709819048E-2</v>
      </c>
      <c r="O466">
        <f t="shared" si="113"/>
        <v>3347.1020234099096</v>
      </c>
    </row>
    <row r="467" spans="1:15" x14ac:dyDescent="0.2">
      <c r="A467" s="2">
        <v>454</v>
      </c>
      <c r="B467" s="4">
        <f t="shared" si="109"/>
        <v>1.4119602436315209E-3</v>
      </c>
      <c r="C467" s="2">
        <f t="shared" si="101"/>
        <v>5.6461091821921479E-5</v>
      </c>
      <c r="D467" s="7">
        <f t="shared" si="102"/>
        <v>1713.5056080267402</v>
      </c>
      <c r="E467" s="5">
        <f t="shared" si="103"/>
        <v>-9.0578637281944091E-4</v>
      </c>
      <c r="F467" s="2">
        <f t="shared" si="104"/>
        <v>1681.16710685106</v>
      </c>
      <c r="G467" s="2">
        <f t="shared" si="105"/>
        <v>315328.83098391292</v>
      </c>
      <c r="H467" s="2">
        <f t="shared" si="106"/>
        <v>-1.5520698172679486</v>
      </c>
      <c r="I467" s="2">
        <f t="shared" si="107"/>
        <v>33469.468164281825</v>
      </c>
      <c r="J467" s="5">
        <f t="shared" si="108"/>
        <v>1.558822785454457</v>
      </c>
      <c r="K467" s="6">
        <f t="shared" si="110"/>
        <v>2462.2670186578389</v>
      </c>
      <c r="M467">
        <f t="shared" si="111"/>
        <v>315.32883098391289</v>
      </c>
      <c r="N467">
        <f t="shared" si="112"/>
        <v>-5.1897736303017264E-2</v>
      </c>
      <c r="O467">
        <f t="shared" si="113"/>
        <v>3346.9468164281825</v>
      </c>
    </row>
    <row r="468" spans="1:15" x14ac:dyDescent="0.2">
      <c r="A468" s="2">
        <v>455</v>
      </c>
      <c r="B468" s="4">
        <f t="shared" si="109"/>
        <v>1.3239496139976132E-3</v>
      </c>
      <c r="C468" s="2">
        <f t="shared" si="101"/>
        <v>5.6461940210621896E-5</v>
      </c>
      <c r="D468" s="7">
        <f t="shared" si="102"/>
        <v>1713.5070199869838</v>
      </c>
      <c r="E468" s="5">
        <f t="shared" si="103"/>
        <v>-8.4932528099751947E-4</v>
      </c>
      <c r="F468" s="2">
        <f t="shared" si="104"/>
        <v>1681.1699550448018</v>
      </c>
      <c r="G468" s="2">
        <f t="shared" si="105"/>
        <v>317010.00093895773</v>
      </c>
      <c r="H468" s="2">
        <f t="shared" si="106"/>
        <v>-1.4553246562744131</v>
      </c>
      <c r="I468" s="2">
        <f t="shared" si="107"/>
        <v>33468.012839625553</v>
      </c>
      <c r="J468" s="5">
        <f t="shared" si="108"/>
        <v>1.5588253438250039</v>
      </c>
      <c r="K468" s="6">
        <f t="shared" si="110"/>
        <v>2457.1618799324156</v>
      </c>
      <c r="M468">
        <f t="shared" si="111"/>
        <v>317.01000093895772</v>
      </c>
      <c r="N468">
        <f t="shared" si="112"/>
        <v>-4.8662754034920569E-2</v>
      </c>
      <c r="O468">
        <f t="shared" si="113"/>
        <v>3346.8012839625553</v>
      </c>
    </row>
    <row r="469" spans="1:15" x14ac:dyDescent="0.2">
      <c r="A469" s="2">
        <v>456</v>
      </c>
      <c r="B469" s="4">
        <f t="shared" si="109"/>
        <v>1.2359372339132166E-3</v>
      </c>
      <c r="C469" s="2">
        <f t="shared" si="101"/>
        <v>5.6462738614760712E-5</v>
      </c>
      <c r="D469" s="7">
        <f t="shared" si="102"/>
        <v>1713.5083439365978</v>
      </c>
      <c r="E469" s="5">
        <f t="shared" si="103"/>
        <v>-7.928633407868976E-4</v>
      </c>
      <c r="F469" s="2">
        <f t="shared" si="104"/>
        <v>1681.1726198233782</v>
      </c>
      <c r="G469" s="2">
        <f t="shared" si="105"/>
        <v>318691.1735587811</v>
      </c>
      <c r="H469" s="2">
        <f t="shared" si="106"/>
        <v>-1.358577807698808</v>
      </c>
      <c r="I469" s="2">
        <f t="shared" si="107"/>
        <v>33466.654261817857</v>
      </c>
      <c r="J469" s="5">
        <f t="shared" si="108"/>
        <v>1.5588277321262718</v>
      </c>
      <c r="K469" s="6">
        <f t="shared" si="110"/>
        <v>2452.0567412069927</v>
      </c>
      <c r="M469">
        <f t="shared" si="111"/>
        <v>318.69117355878109</v>
      </c>
      <c r="N469">
        <f t="shared" si="112"/>
        <v>-4.5427723157731935E-2</v>
      </c>
      <c r="O469">
        <f t="shared" si="113"/>
        <v>3346.6654261817857</v>
      </c>
    </row>
    <row r="470" spans="1:15" x14ac:dyDescent="0.2">
      <c r="A470" s="2">
        <v>457</v>
      </c>
      <c r="B470" s="4">
        <f t="shared" si="109"/>
        <v>1.1479232103744424E-3</v>
      </c>
      <c r="C470" s="2">
        <f t="shared" si="101"/>
        <v>5.6463487033138223E-5</v>
      </c>
      <c r="D470" s="7">
        <f t="shared" si="102"/>
        <v>1713.5095798738319</v>
      </c>
      <c r="E470" s="5">
        <f t="shared" si="103"/>
        <v>-7.3640060217213693E-4</v>
      </c>
      <c r="F470" s="2">
        <f t="shared" si="104"/>
        <v>1681.1751011823822</v>
      </c>
      <c r="G470" s="2">
        <f t="shared" si="105"/>
        <v>320372.34865996346</v>
      </c>
      <c r="H470" s="2">
        <f t="shared" si="106"/>
        <v>-1.2618293724014396</v>
      </c>
      <c r="I470" s="2">
        <f t="shared" si="107"/>
        <v>33465.392432445457</v>
      </c>
      <c r="J470" s="5">
        <f t="shared" si="108"/>
        <v>1.5588299503542979</v>
      </c>
      <c r="K470" s="6">
        <f t="shared" si="110"/>
        <v>2446.9516024815694</v>
      </c>
      <c r="M470">
        <f t="shared" si="111"/>
        <v>320.37234865996345</v>
      </c>
      <c r="N470">
        <f t="shared" si="112"/>
        <v>-4.2192646535355809E-2</v>
      </c>
      <c r="O470">
        <f t="shared" si="113"/>
        <v>3346.5392432445456</v>
      </c>
    </row>
    <row r="471" spans="1:15" x14ac:dyDescent="0.2">
      <c r="A471" s="2">
        <v>458</v>
      </c>
      <c r="B471" s="4">
        <f t="shared" si="109"/>
        <v>1.0599076503816625E-3</v>
      </c>
      <c r="C471" s="2">
        <f t="shared" si="101"/>
        <v>5.6464185464624649E-5</v>
      </c>
      <c r="D471" s="7">
        <f t="shared" si="102"/>
        <v>1713.5107277970421</v>
      </c>
      <c r="E471" s="5">
        <f t="shared" si="103"/>
        <v>-6.7993711513899874E-4</v>
      </c>
      <c r="F471" s="2">
        <f t="shared" si="104"/>
        <v>1681.1773991176867</v>
      </c>
      <c r="G471" s="2">
        <f t="shared" si="105"/>
        <v>322053.52605908114</v>
      </c>
      <c r="H471" s="2">
        <f t="shared" si="106"/>
        <v>-1.1650794512458587</v>
      </c>
      <c r="I471" s="2">
        <f t="shared" si="107"/>
        <v>33464.22735299421</v>
      </c>
      <c r="J471" s="5">
        <f t="shared" si="108"/>
        <v>1.558831998505382</v>
      </c>
      <c r="K471" s="6">
        <f t="shared" si="110"/>
        <v>2441.846463756146</v>
      </c>
      <c r="M471">
        <f t="shared" si="111"/>
        <v>322.05352605908115</v>
      </c>
      <c r="N471">
        <f t="shared" si="112"/>
        <v>-3.8957527031765339E-2</v>
      </c>
      <c r="O471">
        <f t="shared" si="113"/>
        <v>3346.4227352994212</v>
      </c>
    </row>
    <row r="472" spans="1:15" x14ac:dyDescent="0.2">
      <c r="A472" s="2">
        <v>459</v>
      </c>
      <c r="B472" s="4">
        <f t="shared" si="109"/>
        <v>9.7189066093923704E-4</v>
      </c>
      <c r="C472" s="2">
        <f t="shared" si="101"/>
        <v>5.6464833908163016E-5</v>
      </c>
      <c r="D472" s="7">
        <f t="shared" si="102"/>
        <v>1713.5117877046926</v>
      </c>
      <c r="E472" s="5">
        <f t="shared" si="103"/>
        <v>-6.2347292967437407E-4</v>
      </c>
      <c r="F472" s="2">
        <f t="shared" si="104"/>
        <v>1681.1795136254477</v>
      </c>
      <c r="G472" s="2">
        <f t="shared" si="105"/>
        <v>323734.70557270659</v>
      </c>
      <c r="H472" s="2">
        <f t="shared" si="106"/>
        <v>-1.0683281450986644</v>
      </c>
      <c r="I472" s="2">
        <f t="shared" si="107"/>
        <v>33463.159024849112</v>
      </c>
      <c r="J472" s="5">
        <f t="shared" si="108"/>
        <v>1.5588338765760832</v>
      </c>
      <c r="K472" s="6">
        <f t="shared" si="110"/>
        <v>2436.7413250307227</v>
      </c>
      <c r="M472">
        <f t="shared" si="111"/>
        <v>323.73470557270662</v>
      </c>
      <c r="N472">
        <f t="shared" si="112"/>
        <v>-3.5722367510998415E-2</v>
      </c>
      <c r="O472">
        <f t="shared" si="113"/>
        <v>3346.315902484911</v>
      </c>
    </row>
    <row r="473" spans="1:15" x14ac:dyDescent="0.2">
      <c r="A473" s="2">
        <v>460</v>
      </c>
      <c r="B473" s="4">
        <f t="shared" si="109"/>
        <v>8.838723490552404E-4</v>
      </c>
      <c r="C473" s="2">
        <f t="shared" si="101"/>
        <v>5.6465432362766353E-5</v>
      </c>
      <c r="D473" s="7">
        <f t="shared" si="102"/>
        <v>1713.5127595953536</v>
      </c>
      <c r="E473" s="5">
        <f t="shared" si="103"/>
        <v>-5.6700809576621107E-4</v>
      </c>
      <c r="F473" s="2">
        <f t="shared" si="104"/>
        <v>1681.1814447021013</v>
      </c>
      <c r="G473" s="2">
        <f t="shared" si="105"/>
        <v>325415.88701740868</v>
      </c>
      <c r="H473" s="2">
        <f t="shared" si="106"/>
        <v>-0.97157555482930269</v>
      </c>
      <c r="I473" s="2">
        <f t="shared" si="107"/>
        <v>33462.187449294281</v>
      </c>
      <c r="J473" s="5">
        <f t="shared" si="108"/>
        <v>1.5588355845632218</v>
      </c>
      <c r="K473" s="6">
        <f t="shared" si="110"/>
        <v>2431.6361863052994</v>
      </c>
      <c r="M473">
        <f t="shared" si="111"/>
        <v>325.41588701740869</v>
      </c>
      <c r="N473">
        <f t="shared" si="112"/>
        <v>-3.2487170837153495E-2</v>
      </c>
      <c r="O473">
        <f t="shared" si="113"/>
        <v>3346.2187449294279</v>
      </c>
    </row>
    <row r="474" spans="1:15" x14ac:dyDescent="0.2">
      <c r="A474" s="2">
        <v>461</v>
      </c>
      <c r="B474" s="4">
        <f t="shared" si="109"/>
        <v>7.9585282174119082E-4</v>
      </c>
      <c r="C474" s="2">
        <f t="shared" ref="C474:C502" si="114">-((J474/D474)-(D474/(1740000+(I474))))*COS(E474)</f>
        <v>5.6465980827519873E-5</v>
      </c>
      <c r="D474" s="7">
        <f t="shared" ref="D474:D502" si="115">D473+B473</f>
        <v>1713.5136434677027</v>
      </c>
      <c r="E474" s="5">
        <f t="shared" ref="E474:E502" si="116">E473+C473</f>
        <v>-5.1054266340344471E-4</v>
      </c>
      <c r="F474" s="2">
        <f t="shared" ref="F474:F502" si="117">((1740000/(1740000+(I474)))*D474*COS(E474))</f>
        <v>1681.1831923443658</v>
      </c>
      <c r="G474" s="2">
        <f t="shared" ref="G474:G502" si="118">(F474 + G473)</f>
        <v>327097.07020975306</v>
      </c>
      <c r="H474" s="2">
        <f t="shared" ref="H474:H502" si="119">D474*SIN(E474)</f>
        <v>-0.87482178130986854</v>
      </c>
      <c r="I474" s="2">
        <f t="shared" ref="I474:I502" si="120">(H474+I473)</f>
        <v>33461.312627512969</v>
      </c>
      <c r="J474" s="5">
        <f t="shared" ref="J474:J502" si="121">((1.619368477)/(1+(I474/1740000))^2)</f>
        <v>1.5588371224638786</v>
      </c>
      <c r="K474" s="6">
        <f t="shared" si="110"/>
        <v>2426.531047579876</v>
      </c>
      <c r="M474">
        <f t="shared" si="111"/>
        <v>327.09707020975304</v>
      </c>
      <c r="N474">
        <f t="shared" si="112"/>
        <v>-2.9251939874385572E-2</v>
      </c>
      <c r="O474">
        <f t="shared" si="113"/>
        <v>3346.1312627512971</v>
      </c>
    </row>
    <row r="475" spans="1:15" x14ac:dyDescent="0.2">
      <c r="A475" s="2">
        <v>462</v>
      </c>
      <c r="B475" s="4">
        <f t="shared" si="109"/>
        <v>7.0783218601177687E-4</v>
      </c>
      <c r="C475" s="2">
        <f t="shared" si="114"/>
        <v>5.6466479301578127E-5</v>
      </c>
      <c r="D475" s="7">
        <f t="shared" si="115"/>
        <v>1713.5144393205244</v>
      </c>
      <c r="E475" s="5">
        <f t="shared" si="116"/>
        <v>-4.5407668257592485E-4</v>
      </c>
      <c r="F475" s="2">
        <f t="shared" si="117"/>
        <v>1681.1847565492394</v>
      </c>
      <c r="G475" s="2">
        <f t="shared" si="118"/>
        <v>328778.25496630231</v>
      </c>
      <c r="H475" s="2">
        <f t="shared" si="119"/>
        <v>-0.7780669254149053</v>
      </c>
      <c r="I475" s="2">
        <f t="shared" si="120"/>
        <v>33460.534560587555</v>
      </c>
      <c r="J475" s="5">
        <f t="shared" si="121"/>
        <v>1.5588384902753971</v>
      </c>
      <c r="K475" s="6">
        <f t="shared" si="110"/>
        <v>2421.4259088544527</v>
      </c>
      <c r="M475">
        <f t="shared" si="111"/>
        <v>328.77825496630231</v>
      </c>
      <c r="N475">
        <f t="shared" si="112"/>
        <v>-2.6016677486902062E-2</v>
      </c>
      <c r="O475">
        <f t="shared" si="113"/>
        <v>3346.0534560587557</v>
      </c>
    </row>
    <row r="476" spans="1:15" x14ac:dyDescent="0.2">
      <c r="A476" s="2">
        <v>463</v>
      </c>
      <c r="B476" s="4">
        <f t="shared" si="109"/>
        <v>6.198105488845867E-4</v>
      </c>
      <c r="C476" s="2">
        <f t="shared" si="114"/>
        <v>5.6466927784168602E-5</v>
      </c>
      <c r="D476" s="7">
        <f t="shared" si="115"/>
        <v>1713.5151471527104</v>
      </c>
      <c r="E476" s="5">
        <f t="shared" si="116"/>
        <v>-3.9761020327434675E-4</v>
      </c>
      <c r="F476" s="2">
        <f t="shared" si="117"/>
        <v>1681.1861373140025</v>
      </c>
      <c r="G476" s="2">
        <f t="shared" si="118"/>
        <v>330459.44110361632</v>
      </c>
      <c r="H476" s="2">
        <f t="shared" si="119"/>
        <v>-0.68131108802120954</v>
      </c>
      <c r="I476" s="2">
        <f t="shared" si="120"/>
        <v>33459.853249499531</v>
      </c>
      <c r="J476" s="5">
        <f t="shared" si="121"/>
        <v>1.5588396879953794</v>
      </c>
      <c r="K476" s="6">
        <f t="shared" si="110"/>
        <v>2416.3207701290298</v>
      </c>
      <c r="M476">
        <f t="shared" si="111"/>
        <v>330.45944110361631</v>
      </c>
      <c r="N476">
        <f t="shared" si="112"/>
        <v>-2.2781386538958816E-2</v>
      </c>
      <c r="O476">
        <f t="shared" si="113"/>
        <v>3345.9853249499529</v>
      </c>
    </row>
    <row r="477" spans="1:15" x14ac:dyDescent="0.2">
      <c r="A477" s="2">
        <v>464</v>
      </c>
      <c r="B477" s="4">
        <f t="shared" si="109"/>
        <v>5.317880173798333E-4</v>
      </c>
      <c r="C477" s="2">
        <f t="shared" si="114"/>
        <v>5.646732627458977E-5</v>
      </c>
      <c r="D477" s="7">
        <f t="shared" si="115"/>
        <v>1713.5157669632592</v>
      </c>
      <c r="E477" s="5">
        <f t="shared" si="116"/>
        <v>-3.4114327549017817E-4</v>
      </c>
      <c r="F477" s="2">
        <f t="shared" si="117"/>
        <v>1681.1873346362172</v>
      </c>
      <c r="G477" s="2">
        <f t="shared" si="118"/>
        <v>332140.62843825255</v>
      </c>
      <c r="H477" s="2">
        <f t="shared" si="119"/>
        <v>-0.58455437000762789</v>
      </c>
      <c r="I477" s="2">
        <f t="shared" si="120"/>
        <v>33459.268695129525</v>
      </c>
      <c r="J477" s="5">
        <f t="shared" si="121"/>
        <v>1.5588407156216888</v>
      </c>
      <c r="K477" s="6">
        <f t="shared" si="110"/>
        <v>2411.2156314036065</v>
      </c>
      <c r="M477">
        <f t="shared" si="111"/>
        <v>332.14062843825252</v>
      </c>
      <c r="N477">
        <f t="shared" si="112"/>
        <v>-1.9546069894855949E-2</v>
      </c>
      <c r="O477">
        <f t="shared" si="113"/>
        <v>3345.9268695129526</v>
      </c>
    </row>
    <row r="478" spans="1:15" x14ac:dyDescent="0.2">
      <c r="A478" s="2">
        <v>465</v>
      </c>
      <c r="B478" s="4">
        <f t="shared" si="109"/>
        <v>4.4376469852008393E-4</v>
      </c>
      <c r="C478" s="2">
        <f t="shared" si="114"/>
        <v>5.6467674772210004E-5</v>
      </c>
      <c r="D478" s="7">
        <f t="shared" si="115"/>
        <v>1713.5162987512765</v>
      </c>
      <c r="E478" s="5">
        <f t="shared" si="116"/>
        <v>-2.8467594921558837E-4</v>
      </c>
      <c r="F478" s="2">
        <f t="shared" si="117"/>
        <v>1681.1883485137264</v>
      </c>
      <c r="G478" s="2">
        <f t="shared" si="118"/>
        <v>333821.81678676629</v>
      </c>
      <c r="H478" s="2">
        <f t="shared" si="119"/>
        <v>-0.48779687225485935</v>
      </c>
      <c r="I478" s="2">
        <f t="shared" si="120"/>
        <v>33458.780898257268</v>
      </c>
      <c r="J478" s="5">
        <f t="shared" si="121"/>
        <v>1.5588415731524512</v>
      </c>
      <c r="K478" s="2">
        <v>2410</v>
      </c>
      <c r="M478">
        <f t="shared" si="111"/>
        <v>333.82181678676631</v>
      </c>
      <c r="N478">
        <f t="shared" si="112"/>
        <v>-1.6310730418933772E-2</v>
      </c>
      <c r="O478">
        <f t="shared" si="113"/>
        <v>3345.8780898257269</v>
      </c>
    </row>
    <row r="479" spans="1:15" x14ac:dyDescent="0.2">
      <c r="A479" s="2">
        <v>466</v>
      </c>
      <c r="B479" s="4">
        <f t="shared" si="109"/>
        <v>3.5574069932998688E-4</v>
      </c>
      <c r="C479" s="2">
        <f t="shared" si="114"/>
        <v>5.6467973276470261E-5</v>
      </c>
      <c r="D479" s="7">
        <f t="shared" si="115"/>
        <v>1713.516742515975</v>
      </c>
      <c r="E479" s="5">
        <f t="shared" si="116"/>
        <v>-2.2820827444337838E-4</v>
      </c>
      <c r="F479" s="2">
        <f t="shared" si="117"/>
        <v>1681.1891789446543</v>
      </c>
      <c r="G479" s="2">
        <f t="shared" si="118"/>
        <v>335503.00596571097</v>
      </c>
      <c r="H479" s="2">
        <f t="shared" si="119"/>
        <v>-0.39103869564525756</v>
      </c>
      <c r="I479" s="2">
        <f t="shared" si="120"/>
        <v>33458.389859561619</v>
      </c>
      <c r="J479" s="5">
        <f t="shared" si="121"/>
        <v>1.5588422605860508</v>
      </c>
      <c r="K479" s="2">
        <v>2410</v>
      </c>
      <c r="M479">
        <f t="shared" si="111"/>
        <v>335.50300596571094</v>
      </c>
      <c r="N479">
        <f t="shared" si="112"/>
        <v>-1.3075370975568787E-2</v>
      </c>
      <c r="O479">
        <f t="shared" si="113"/>
        <v>3345.8389859561621</v>
      </c>
    </row>
    <row r="480" spans="1:15" x14ac:dyDescent="0.2">
      <c r="A480" s="2">
        <v>467</v>
      </c>
      <c r="B480" s="4">
        <f t="shared" si="109"/>
        <v>2.6771612683599953E-4</v>
      </c>
      <c r="C480" s="2">
        <f t="shared" si="114"/>
        <v>5.646822178688217E-5</v>
      </c>
      <c r="D480" s="7">
        <f t="shared" si="115"/>
        <v>1713.5170982566744</v>
      </c>
      <c r="E480" s="5">
        <f t="shared" si="116"/>
        <v>-1.7174030116690812E-4</v>
      </c>
      <c r="F480" s="2">
        <f t="shared" si="117"/>
        <v>1681.1898259274067</v>
      </c>
      <c r="G480" s="2">
        <f t="shared" si="118"/>
        <v>337184.1957916384</v>
      </c>
      <c r="H480" s="2">
        <f t="shared" si="119"/>
        <v>-0.29427994106262984</v>
      </c>
      <c r="I480" s="2">
        <f t="shared" si="120"/>
        <v>33458.09557962056</v>
      </c>
      <c r="J480" s="5">
        <f t="shared" si="121"/>
        <v>1.5588427779211349</v>
      </c>
      <c r="K480" s="2">
        <v>2410</v>
      </c>
      <c r="M480">
        <f t="shared" si="111"/>
        <v>337.18419579163839</v>
      </c>
      <c r="N480">
        <f t="shared" si="112"/>
        <v>-9.8399944291695223E-3</v>
      </c>
      <c r="O480">
        <f t="shared" si="113"/>
        <v>3345.8095579620558</v>
      </c>
    </row>
    <row r="481" spans="1:15" x14ac:dyDescent="0.2">
      <c r="A481" s="2">
        <v>468</v>
      </c>
      <c r="B481" s="4">
        <f t="shared" si="109"/>
        <v>1.7969108806611519E-4</v>
      </c>
      <c r="C481" s="2">
        <f t="shared" si="114"/>
        <v>5.6468420303027681E-5</v>
      </c>
      <c r="D481" s="7">
        <f t="shared" si="115"/>
        <v>1713.5173659728014</v>
      </c>
      <c r="E481" s="5">
        <f t="shared" si="116"/>
        <v>-1.1527207938002595E-4</v>
      </c>
      <c r="F481" s="2">
        <f t="shared" si="117"/>
        <v>1681.1902894606701</v>
      </c>
      <c r="G481" s="2">
        <f t="shared" si="118"/>
        <v>338865.38608109904</v>
      </c>
      <c r="H481" s="2">
        <f t="shared" si="119"/>
        <v>-0.19752070939203864</v>
      </c>
      <c r="I481" s="2">
        <f t="shared" si="120"/>
        <v>33457.898058911167</v>
      </c>
      <c r="J481" s="5">
        <f t="shared" si="121"/>
        <v>1.5588431251566115</v>
      </c>
      <c r="K481" s="2">
        <v>2410</v>
      </c>
      <c r="M481">
        <f t="shared" si="111"/>
        <v>338.86538608109902</v>
      </c>
      <c r="N481">
        <f t="shared" si="112"/>
        <v>-6.6046036441724902E-3</v>
      </c>
      <c r="O481">
        <f t="shared" si="113"/>
        <v>3345.7898058911169</v>
      </c>
    </row>
    <row r="482" spans="1:15" x14ac:dyDescent="0.2">
      <c r="A482" s="2">
        <v>469</v>
      </c>
      <c r="B482" s="4">
        <f t="shared" si="109"/>
        <v>9.1665690049592144E-5</v>
      </c>
      <c r="C482" s="2">
        <f t="shared" si="114"/>
        <v>5.6468568824561586E-5</v>
      </c>
      <c r="D482" s="7">
        <f t="shared" si="115"/>
        <v>1713.5175456638895</v>
      </c>
      <c r="E482" s="5">
        <f t="shared" si="116"/>
        <v>-5.8803659076998272E-5</v>
      </c>
      <c r="F482" s="2">
        <f t="shared" si="117"/>
        <v>1681.1905695434134</v>
      </c>
      <c r="G482" s="2">
        <f t="shared" si="118"/>
        <v>340546.57665064244</v>
      </c>
      <c r="H482" s="2">
        <f t="shared" si="119"/>
        <v>-0.10076110151960437</v>
      </c>
      <c r="I482" s="2">
        <f t="shared" si="120"/>
        <v>33457.797297809644</v>
      </c>
      <c r="J482" s="5">
        <f t="shared" si="121"/>
        <v>1.5588433022916468</v>
      </c>
      <c r="K482" s="2">
        <v>2410</v>
      </c>
      <c r="M482">
        <f t="shared" si="111"/>
        <v>340.54657665064246</v>
      </c>
      <c r="N482">
        <f t="shared" si="112"/>
        <v>-3.3692014850381551E-3</v>
      </c>
      <c r="O482">
        <f t="shared" si="113"/>
        <v>3345.7797297809643</v>
      </c>
    </row>
    <row r="483" spans="1:15" x14ac:dyDescent="0.2">
      <c r="A483" s="2">
        <v>470</v>
      </c>
      <c r="B483" s="4">
        <f t="shared" si="109"/>
        <v>3.640039816679211E-6</v>
      </c>
      <c r="C483" s="2">
        <f t="shared" si="114"/>
        <v>5.6468667351208747E-5</v>
      </c>
      <c r="D483" s="7">
        <f t="shared" si="115"/>
        <v>1713.5176373295794</v>
      </c>
      <c r="E483" s="5">
        <f t="shared" si="116"/>
        <v>-2.3350902524366858E-6</v>
      </c>
      <c r="F483" s="2">
        <f t="shared" si="117"/>
        <v>1681.1906661748858</v>
      </c>
      <c r="G483" s="2">
        <f t="shared" si="118"/>
        <v>342227.76731681731</v>
      </c>
      <c r="H483" s="2">
        <f t="shared" si="119"/>
        <v>-4.0012183323030045E-3</v>
      </c>
      <c r="I483" s="2">
        <f t="shared" si="120"/>
        <v>33457.793296591313</v>
      </c>
      <c r="J483" s="5">
        <f t="shared" si="121"/>
        <v>1.5588433093256708</v>
      </c>
      <c r="K483" s="2">
        <v>2410</v>
      </c>
      <c r="M483">
        <f t="shared" si="111"/>
        <v>342.22776731681728</v>
      </c>
      <c r="N483">
        <f t="shared" si="112"/>
        <v>-1.337908162467601E-4</v>
      </c>
      <c r="O483">
        <f t="shared" si="113"/>
        <v>3345.7793296591312</v>
      </c>
    </row>
    <row r="484" spans="1:15" x14ac:dyDescent="0.2">
      <c r="A484" s="2">
        <v>471</v>
      </c>
      <c r="B484" s="4">
        <f t="shared" si="109"/>
        <v>-8.4385755601655449E-5</v>
      </c>
      <c r="C484" s="2">
        <f t="shared" si="114"/>
        <v>5.6468715882765179E-5</v>
      </c>
      <c r="D484" s="7">
        <f t="shared" si="115"/>
        <v>1713.5176409696192</v>
      </c>
      <c r="E484" s="5">
        <f t="shared" si="116"/>
        <v>5.4133577098772061E-5</v>
      </c>
      <c r="F484" s="2">
        <f t="shared" si="117"/>
        <v>1681.1905793546191</v>
      </c>
      <c r="G484" s="2">
        <f t="shared" si="118"/>
        <v>343908.95789617195</v>
      </c>
      <c r="H484" s="2">
        <f t="shared" si="119"/>
        <v>9.2758839282230804E-2</v>
      </c>
      <c r="I484" s="2">
        <f t="shared" si="120"/>
        <v>33457.886055430594</v>
      </c>
      <c r="J484" s="5">
        <f t="shared" si="121"/>
        <v>1.5588431462583734</v>
      </c>
      <c r="K484" s="2">
        <v>2410</v>
      </c>
      <c r="M484">
        <f t="shared" si="111"/>
        <v>343.90895789617196</v>
      </c>
      <c r="N484">
        <f t="shared" si="112"/>
        <v>3.1016254977056868E-3</v>
      </c>
      <c r="O484">
        <f t="shared" si="113"/>
        <v>3345.7886055430595</v>
      </c>
    </row>
    <row r="485" spans="1:15" x14ac:dyDescent="0.2">
      <c r="A485" s="2">
        <v>472</v>
      </c>
      <c r="B485" s="4">
        <f t="shared" si="109"/>
        <v>-1.7241158917399659E-4</v>
      </c>
      <c r="C485" s="2">
        <f t="shared" si="114"/>
        <v>5.6468714419098684E-5</v>
      </c>
      <c r="D485" s="7">
        <f t="shared" si="115"/>
        <v>1713.5175565838636</v>
      </c>
      <c r="E485" s="5">
        <f t="shared" si="116"/>
        <v>1.1060229298153723E-4</v>
      </c>
      <c r="F485" s="2">
        <f t="shared" si="117"/>
        <v>1681.1903090824251</v>
      </c>
      <c r="G485" s="2">
        <f t="shared" si="118"/>
        <v>345590.1482052544</v>
      </c>
      <c r="H485" s="2">
        <f t="shared" si="119"/>
        <v>0.18951897043590288</v>
      </c>
      <c r="I485" s="2">
        <f t="shared" si="120"/>
        <v>33458.075574401031</v>
      </c>
      <c r="J485" s="5">
        <f t="shared" si="121"/>
        <v>1.5588428130897054</v>
      </c>
      <c r="K485" s="2">
        <v>2410</v>
      </c>
      <c r="M485">
        <f t="shared" si="111"/>
        <v>345.59014820525442</v>
      </c>
      <c r="N485">
        <f t="shared" si="112"/>
        <v>6.3370445923114898E-3</v>
      </c>
      <c r="O485">
        <f t="shared" si="113"/>
        <v>3345.8075574401032</v>
      </c>
    </row>
    <row r="486" spans="1:15" x14ac:dyDescent="0.2">
      <c r="A486" s="2">
        <v>473</v>
      </c>
      <c r="B486" s="4">
        <f t="shared" si="109"/>
        <v>-2.604373538687554E-4</v>
      </c>
      <c r="C486" s="2">
        <f t="shared" si="114"/>
        <v>5.6468662960147753E-5</v>
      </c>
      <c r="D486" s="7">
        <f t="shared" si="115"/>
        <v>1713.5173841722744</v>
      </c>
      <c r="E486" s="5">
        <f t="shared" si="116"/>
        <v>1.670710074006359E-4</v>
      </c>
      <c r="F486" s="2">
        <f t="shared" si="117"/>
        <v>1681.1898553583981</v>
      </c>
      <c r="G486" s="2">
        <f t="shared" si="118"/>
        <v>347271.33806061279</v>
      </c>
      <c r="H486" s="2">
        <f t="shared" si="119"/>
        <v>0.28627907424035964</v>
      </c>
      <c r="I486" s="2">
        <f t="shared" si="120"/>
        <v>33458.361853475275</v>
      </c>
      <c r="J486" s="5">
        <f t="shared" si="121"/>
        <v>1.5588423098198785</v>
      </c>
      <c r="K486" s="2">
        <v>2410</v>
      </c>
      <c r="M486">
        <f t="shared" si="111"/>
        <v>347.27133806061278</v>
      </c>
      <c r="N486">
        <f t="shared" si="112"/>
        <v>9.5724636030553797E-3</v>
      </c>
      <c r="O486">
        <f t="shared" si="113"/>
        <v>3345.8361853475276</v>
      </c>
    </row>
    <row r="487" spans="1:15" x14ac:dyDescent="0.2">
      <c r="A487" s="2">
        <v>474</v>
      </c>
      <c r="B487" s="4">
        <f t="shared" si="109"/>
        <v>-3.4846294265444095E-4</v>
      </c>
      <c r="C487" s="2">
        <f t="shared" si="114"/>
        <v>5.6468561505921954E-5</v>
      </c>
      <c r="D487" s="7">
        <f t="shared" si="115"/>
        <v>1713.5171237349205</v>
      </c>
      <c r="E487" s="5">
        <f t="shared" si="116"/>
        <v>2.2353967036078365E-4</v>
      </c>
      <c r="F487" s="2">
        <f t="shared" si="117"/>
        <v>1681.1892181829126</v>
      </c>
      <c r="G487" s="2">
        <f t="shared" si="118"/>
        <v>348952.52727879572</v>
      </c>
      <c r="H487" s="2">
        <f t="shared" si="119"/>
        <v>0.38303904980718634</v>
      </c>
      <c r="I487" s="2">
        <f t="shared" si="120"/>
        <v>33458.744892525079</v>
      </c>
      <c r="J487" s="5">
        <f t="shared" si="121"/>
        <v>1.5588416364493651</v>
      </c>
      <c r="K487" s="2">
        <v>2410</v>
      </c>
      <c r="M487">
        <f t="shared" si="111"/>
        <v>348.95252727879574</v>
      </c>
      <c r="N487">
        <f t="shared" si="112"/>
        <v>1.2807879665418563E-2</v>
      </c>
      <c r="O487">
        <f t="shared" si="113"/>
        <v>3345.8744892525078</v>
      </c>
    </row>
    <row r="488" spans="1:15" x14ac:dyDescent="0.2">
      <c r="A488" s="2">
        <v>475</v>
      </c>
      <c r="B488" s="4">
        <f t="shared" si="109"/>
        <v>-4.3648824849993305E-4</v>
      </c>
      <c r="C488" s="2">
        <f t="shared" si="114"/>
        <v>5.646841005650259E-5</v>
      </c>
      <c r="D488" s="7">
        <f t="shared" si="115"/>
        <v>1713.5167752719778</v>
      </c>
      <c r="E488" s="5">
        <f t="shared" si="116"/>
        <v>2.8000823186670562E-4</v>
      </c>
      <c r="F488" s="2">
        <f t="shared" si="117"/>
        <v>1681.1883975566254</v>
      </c>
      <c r="G488" s="2">
        <f t="shared" si="118"/>
        <v>350633.71567635232</v>
      </c>
      <c r="H488" s="2">
        <f t="shared" si="119"/>
        <v>0.47979879624810606</v>
      </c>
      <c r="I488" s="2">
        <f t="shared" si="120"/>
        <v>33459.224691321324</v>
      </c>
      <c r="J488" s="5">
        <f t="shared" si="121"/>
        <v>1.5588407929788992</v>
      </c>
      <c r="K488" s="2">
        <v>2410</v>
      </c>
      <c r="M488">
        <f t="shared" si="111"/>
        <v>350.63371567635232</v>
      </c>
      <c r="N488">
        <f t="shared" si="112"/>
        <v>1.6043289914882797E-2</v>
      </c>
      <c r="O488">
        <f t="shared" si="113"/>
        <v>3345.9224691321324</v>
      </c>
    </row>
    <row r="489" spans="1:15" x14ac:dyDescent="0.2">
      <c r="A489" s="2">
        <v>476</v>
      </c>
      <c r="B489" s="4">
        <f t="shared" si="109"/>
        <v>-5.2451316437475415E-4</v>
      </c>
      <c r="C489" s="2">
        <f t="shared" si="114"/>
        <v>5.6468208612042288E-5</v>
      </c>
      <c r="D489" s="7">
        <f t="shared" si="115"/>
        <v>1713.5163387837295</v>
      </c>
      <c r="E489" s="5">
        <f t="shared" si="116"/>
        <v>3.3647664192320821E-4</v>
      </c>
      <c r="F489" s="2">
        <f t="shared" si="117"/>
        <v>1681.1873934804746</v>
      </c>
      <c r="G489" s="2">
        <f t="shared" si="118"/>
        <v>352314.90306983277</v>
      </c>
      <c r="H489" s="2">
        <f t="shared" si="119"/>
        <v>0.57655821267517948</v>
      </c>
      <c r="I489" s="2">
        <f t="shared" si="120"/>
        <v>33459.801249534001</v>
      </c>
      <c r="J489" s="5">
        <f t="shared" si="121"/>
        <v>1.5588397794094739</v>
      </c>
      <c r="K489" s="2">
        <v>2410</v>
      </c>
      <c r="M489">
        <f t="shared" si="111"/>
        <v>352.31490306983278</v>
      </c>
      <c r="N489">
        <f t="shared" si="112"/>
        <v>1.927869148693449E-2</v>
      </c>
      <c r="O489">
        <f t="shared" si="113"/>
        <v>3345.9801249534003</v>
      </c>
    </row>
    <row r="490" spans="1:15" x14ac:dyDescent="0.2">
      <c r="A490" s="2">
        <v>477</v>
      </c>
      <c r="B490" s="4">
        <f t="shared" si="109"/>
        <v>-6.1253758324934446E-4</v>
      </c>
      <c r="C490" s="2">
        <f t="shared" si="114"/>
        <v>5.6467957172762898E-5</v>
      </c>
      <c r="D490" s="7">
        <f t="shared" si="115"/>
        <v>1713.515814270565</v>
      </c>
      <c r="E490" s="5">
        <f t="shared" si="116"/>
        <v>3.9294485053525052E-4</v>
      </c>
      <c r="F490" s="2">
        <f t="shared" si="117"/>
        <v>1681.186205955679</v>
      </c>
      <c r="G490" s="2">
        <f t="shared" si="118"/>
        <v>353996.08927578846</v>
      </c>
      <c r="H490" s="2">
        <f t="shared" si="119"/>
        <v>0.67331719820100433</v>
      </c>
      <c r="I490" s="2">
        <f t="shared" si="120"/>
        <v>33460.474566732199</v>
      </c>
      <c r="J490" s="5">
        <f t="shared" si="121"/>
        <v>1.5588385957423461</v>
      </c>
      <c r="K490" s="2">
        <v>2410</v>
      </c>
      <c r="M490">
        <f t="shared" si="111"/>
        <v>353.99608927578845</v>
      </c>
      <c r="N490">
        <f t="shared" si="112"/>
        <v>2.2514081517068799E-2</v>
      </c>
      <c r="O490">
        <f t="shared" si="113"/>
        <v>3346.04745667322</v>
      </c>
    </row>
    <row r="491" spans="1:15" x14ac:dyDescent="0.2">
      <c r="A491" s="2">
        <v>478</v>
      </c>
      <c r="B491" s="4">
        <f t="shared" si="109"/>
        <v>-7.0056139809532866E-4</v>
      </c>
      <c r="C491" s="2">
        <f t="shared" si="114"/>
        <v>5.6467655738960635E-5</v>
      </c>
      <c r="D491" s="7">
        <f t="shared" si="115"/>
        <v>1713.5152017329817</v>
      </c>
      <c r="E491" s="5">
        <f t="shared" si="116"/>
        <v>4.4941280770801343E-4</v>
      </c>
      <c r="F491" s="2">
        <f t="shared" si="117"/>
        <v>1681.1848349837396</v>
      </c>
      <c r="G491" s="2">
        <f t="shared" si="118"/>
        <v>355677.27411077218</v>
      </c>
      <c r="H491" s="2">
        <f t="shared" si="119"/>
        <v>0.77007565193891159</v>
      </c>
      <c r="I491" s="2">
        <f t="shared" si="120"/>
        <v>33461.244642384139</v>
      </c>
      <c r="J491" s="5">
        <f t="shared" si="121"/>
        <v>1.5588372419790304</v>
      </c>
      <c r="K491" s="2">
        <v>2410</v>
      </c>
      <c r="M491">
        <f t="shared" si="111"/>
        <v>355.6772741107722</v>
      </c>
      <c r="N491">
        <f t="shared" si="112"/>
        <v>2.5749457140793599E-2</v>
      </c>
      <c r="O491">
        <f t="shared" si="113"/>
        <v>3346.124464238414</v>
      </c>
    </row>
    <row r="492" spans="1:15" x14ac:dyDescent="0.2">
      <c r="A492" s="2">
        <v>479</v>
      </c>
      <c r="B492" s="4">
        <f t="shared" si="109"/>
        <v>-7.8858450188579491E-4</v>
      </c>
      <c r="C492" s="2">
        <f t="shared" si="114"/>
        <v>5.6467304311000064E-5</v>
      </c>
      <c r="D492" s="7">
        <f t="shared" si="115"/>
        <v>1713.5145011715836</v>
      </c>
      <c r="E492" s="5">
        <f t="shared" si="116"/>
        <v>5.0588046344697405E-4</v>
      </c>
      <c r="F492" s="2">
        <f t="shared" si="117"/>
        <v>1681.183280566438</v>
      </c>
      <c r="G492" s="2">
        <f t="shared" si="118"/>
        <v>357358.4573913386</v>
      </c>
      <c r="H492" s="2">
        <f t="shared" si="119"/>
        <v>0.86683347300316915</v>
      </c>
      <c r="I492" s="2">
        <f t="shared" si="120"/>
        <v>33462.111475857142</v>
      </c>
      <c r="J492" s="5">
        <f t="shared" si="121"/>
        <v>1.5588357181213046</v>
      </c>
      <c r="K492" s="2">
        <v>2410</v>
      </c>
      <c r="M492">
        <f t="shared" si="111"/>
        <v>357.35845739133862</v>
      </c>
      <c r="N492">
        <f t="shared" si="112"/>
        <v>2.8984815493633728E-2</v>
      </c>
      <c r="O492">
        <f t="shared" si="113"/>
        <v>3346.2111475857141</v>
      </c>
    </row>
    <row r="493" spans="1:15" x14ac:dyDescent="0.2">
      <c r="A493" s="2">
        <v>480</v>
      </c>
      <c r="B493" s="4">
        <f t="shared" si="109"/>
        <v>-8.766067875955626E-4</v>
      </c>
      <c r="C493" s="2">
        <f t="shared" si="114"/>
        <v>5.6466902889319134E-5</v>
      </c>
      <c r="D493" s="7">
        <f t="shared" si="115"/>
        <v>1713.5137125870817</v>
      </c>
      <c r="E493" s="5">
        <f t="shared" si="116"/>
        <v>5.623477677579741E-4</v>
      </c>
      <c r="F493" s="2">
        <f t="shared" si="117"/>
        <v>1681.1815427058377</v>
      </c>
      <c r="G493" s="2">
        <f t="shared" si="118"/>
        <v>359039.63893404446</v>
      </c>
      <c r="H493" s="2">
        <f t="shared" si="119"/>
        <v>0.96359056050917691</v>
      </c>
      <c r="I493" s="2">
        <f t="shared" si="120"/>
        <v>33463.075066417652</v>
      </c>
      <c r="J493" s="5">
        <f t="shared" si="121"/>
        <v>1.5588340241712055</v>
      </c>
      <c r="K493" s="2">
        <v>2410</v>
      </c>
      <c r="M493">
        <f t="shared" si="111"/>
        <v>359.03963893404443</v>
      </c>
      <c r="N493">
        <f t="shared" si="112"/>
        <v>3.2220153711134909E-2</v>
      </c>
      <c r="O493">
        <f t="shared" si="113"/>
        <v>3346.307506641765</v>
      </c>
    </row>
    <row r="494" spans="1:15" x14ac:dyDescent="0.2">
      <c r="A494" s="2">
        <v>481</v>
      </c>
      <c r="B494" s="4">
        <f t="shared" si="109"/>
        <v>-9.6462814820145841E-4</v>
      </c>
      <c r="C494" s="2">
        <f t="shared" si="114"/>
        <v>5.6466451474424934E-5</v>
      </c>
      <c r="D494" s="7">
        <f t="shared" si="115"/>
        <v>1713.5128359802941</v>
      </c>
      <c r="E494" s="5">
        <f t="shared" si="116"/>
        <v>6.1881467064729321E-4</v>
      </c>
      <c r="F494" s="2">
        <f t="shared" si="117"/>
        <v>1681.1796214042831</v>
      </c>
      <c r="G494" s="2">
        <f t="shared" si="118"/>
        <v>360720.81855544873</v>
      </c>
      <c r="H494" s="2">
        <f t="shared" si="119"/>
        <v>1.0603468135736691</v>
      </c>
      <c r="I494" s="2">
        <f t="shared" si="120"/>
        <v>33464.135413231226</v>
      </c>
      <c r="J494" s="5">
        <f t="shared" si="121"/>
        <v>1.5588321601310331</v>
      </c>
      <c r="K494" s="2">
        <v>2410</v>
      </c>
      <c r="M494">
        <f t="shared" si="111"/>
        <v>360.72081855544872</v>
      </c>
      <c r="N494">
        <f t="shared" si="112"/>
        <v>3.5455468928867966E-2</v>
      </c>
      <c r="O494">
        <f t="shared" si="113"/>
        <v>3346.4135413231224</v>
      </c>
    </row>
    <row r="495" spans="1:15" x14ac:dyDescent="0.2">
      <c r="A495" s="2">
        <v>482</v>
      </c>
      <c r="B495" s="4">
        <f t="shared" si="109"/>
        <v>-1.0526484766825853E-3</v>
      </c>
      <c r="C495" s="2">
        <f t="shared" si="114"/>
        <v>5.6465950066896386E-5</v>
      </c>
      <c r="D495" s="7">
        <f t="shared" si="115"/>
        <v>1713.5118713521458</v>
      </c>
      <c r="E495" s="5">
        <f t="shared" si="116"/>
        <v>6.7528112212171813E-4</v>
      </c>
      <c r="F495" s="2">
        <f t="shared" si="117"/>
        <v>1681.1775166644004</v>
      </c>
      <c r="G495" s="2">
        <f t="shared" si="118"/>
        <v>362401.99607211311</v>
      </c>
      <c r="H495" s="2">
        <f t="shared" si="119"/>
        <v>1.1571021313149097</v>
      </c>
      <c r="I495" s="2">
        <f t="shared" si="120"/>
        <v>33465.29251536254</v>
      </c>
      <c r="J495" s="5">
        <f t="shared" si="121"/>
        <v>1.5588301260033472</v>
      </c>
      <c r="K495" s="2">
        <v>2410</v>
      </c>
      <c r="M495">
        <f t="shared" si="111"/>
        <v>362.40199607211309</v>
      </c>
      <c r="N495">
        <f t="shared" si="112"/>
        <v>3.8690758282432784E-2</v>
      </c>
      <c r="O495">
        <f t="shared" si="113"/>
        <v>3346.5292515362539</v>
      </c>
    </row>
    <row r="496" spans="1:15" x14ac:dyDescent="0.2">
      <c r="A496" s="2">
        <v>483</v>
      </c>
      <c r="B496" s="4">
        <f t="shared" si="109"/>
        <v>-1.1406676660205937E-3</v>
      </c>
      <c r="C496" s="2">
        <f t="shared" si="114"/>
        <v>5.6465398667385673E-5</v>
      </c>
      <c r="D496" s="7">
        <f t="shared" si="115"/>
        <v>1713.5108187036692</v>
      </c>
      <c r="E496" s="5">
        <f t="shared" si="116"/>
        <v>7.317470721886145E-4</v>
      </c>
      <c r="F496" s="2">
        <f t="shared" si="117"/>
        <v>1681.1752284890965</v>
      </c>
      <c r="G496" s="2">
        <f t="shared" si="118"/>
        <v>364083.1713006022</v>
      </c>
      <c r="H496" s="2">
        <f t="shared" si="119"/>
        <v>1.2538564128528933</v>
      </c>
      <c r="I496" s="2">
        <f t="shared" si="120"/>
        <v>33466.546371775396</v>
      </c>
      <c r="J496" s="5">
        <f t="shared" si="121"/>
        <v>1.558827921790966</v>
      </c>
      <c r="K496" s="2">
        <v>2410</v>
      </c>
      <c r="M496">
        <f t="shared" si="111"/>
        <v>364.0831713006022</v>
      </c>
      <c r="N496">
        <f t="shared" si="112"/>
        <v>4.1926018907462392E-2</v>
      </c>
      <c r="O496">
        <f t="shared" si="113"/>
        <v>3346.6546371775394</v>
      </c>
    </row>
    <row r="497" spans="1:15" x14ac:dyDescent="0.2">
      <c r="A497" s="2">
        <v>484</v>
      </c>
      <c r="B497" s="4">
        <f t="shared" si="109"/>
        <v>-1.228685609199963E-3</v>
      </c>
      <c r="C497" s="2">
        <f t="shared" si="114"/>
        <v>5.6464797276612826E-5</v>
      </c>
      <c r="D497" s="7">
        <f t="shared" si="115"/>
        <v>1713.5096780360032</v>
      </c>
      <c r="E497" s="5">
        <f t="shared" si="116"/>
        <v>7.8821247085600018E-4</v>
      </c>
      <c r="F497" s="2">
        <f t="shared" si="117"/>
        <v>1681.1727568815602</v>
      </c>
      <c r="G497" s="2">
        <f t="shared" si="118"/>
        <v>365764.34405748377</v>
      </c>
      <c r="H497" s="2">
        <f t="shared" si="119"/>
        <v>1.3506095573095473</v>
      </c>
      <c r="I497" s="2">
        <f t="shared" si="120"/>
        <v>33467.896981332706</v>
      </c>
      <c r="J497" s="5">
        <f t="shared" si="121"/>
        <v>1.5588255474969726</v>
      </c>
      <c r="K497" s="2">
        <v>2410</v>
      </c>
      <c r="M497">
        <f t="shared" si="111"/>
        <v>365.76434405748375</v>
      </c>
      <c r="N497">
        <f t="shared" si="112"/>
        <v>4.5161247939627211E-2</v>
      </c>
      <c r="O497">
        <f t="shared" si="113"/>
        <v>3346.7896981332706</v>
      </c>
    </row>
    <row r="498" spans="1:15" x14ac:dyDescent="0.2">
      <c r="A498" s="2">
        <v>485</v>
      </c>
      <c r="B498" s="4">
        <f t="shared" si="109"/>
        <v>-1.3167021992082626E-3</v>
      </c>
      <c r="C498" s="2">
        <f t="shared" si="114"/>
        <v>5.6464145895370783E-5</v>
      </c>
      <c r="D498" s="7">
        <f t="shared" si="115"/>
        <v>1713.5084493503939</v>
      </c>
      <c r="E498" s="5">
        <f t="shared" si="116"/>
        <v>8.4467726813261296E-4</v>
      </c>
      <c r="F498" s="2">
        <f t="shared" si="117"/>
        <v>1681.1701018452609</v>
      </c>
      <c r="G498" s="2">
        <f t="shared" si="118"/>
        <v>367445.51415932906</v>
      </c>
      <c r="H498" s="2">
        <f t="shared" si="119"/>
        <v>1.4473614638089254</v>
      </c>
      <c r="I498" s="2">
        <f t="shared" si="120"/>
        <v>33469.344342796518</v>
      </c>
      <c r="J498" s="5">
        <f t="shared" si="121"/>
        <v>1.5588230031247086</v>
      </c>
      <c r="K498" s="2">
        <v>2410</v>
      </c>
      <c r="M498">
        <f t="shared" si="111"/>
        <v>367.44551415932904</v>
      </c>
      <c r="N498">
        <f t="shared" si="112"/>
        <v>4.8396442514638913E-2</v>
      </c>
      <c r="O498">
        <f t="shared" si="113"/>
        <v>3346.9344342796517</v>
      </c>
    </row>
    <row r="499" spans="1:15" x14ac:dyDescent="0.2">
      <c r="A499" s="2">
        <v>486</v>
      </c>
      <c r="B499" s="4">
        <f t="shared" si="109"/>
        <v>-1.4047173290364294E-3</v>
      </c>
      <c r="C499" s="2">
        <f t="shared" si="114"/>
        <v>5.6463444524524244E-5</v>
      </c>
      <c r="D499" s="7">
        <f t="shared" si="115"/>
        <v>1713.5071326481948</v>
      </c>
      <c r="E499" s="5">
        <f t="shared" si="116"/>
        <v>9.0114141402798372E-4</v>
      </c>
      <c r="F499" s="2">
        <f t="shared" si="117"/>
        <v>1681.1672633839505</v>
      </c>
      <c r="G499" s="2">
        <f t="shared" si="118"/>
        <v>369126.68142271304</v>
      </c>
      <c r="H499" s="2">
        <f t="shared" si="119"/>
        <v>1.5441120314774095</v>
      </c>
      <c r="I499" s="2">
        <f t="shared" si="120"/>
        <v>33470.888454827997</v>
      </c>
      <c r="J499" s="5">
        <f t="shared" si="121"/>
        <v>1.5588202886777762</v>
      </c>
      <c r="K499" s="2">
        <v>2410</v>
      </c>
      <c r="M499">
        <f t="shared" si="111"/>
        <v>369.12668142271303</v>
      </c>
      <c r="N499">
        <f t="shared" si="112"/>
        <v>5.1631599768254585E-2</v>
      </c>
      <c r="O499">
        <f t="shared" si="113"/>
        <v>3347.0888454827996</v>
      </c>
    </row>
    <row r="500" spans="1:15" x14ac:dyDescent="0.2">
      <c r="A500" s="2">
        <v>487</v>
      </c>
      <c r="B500" s="4">
        <f t="shared" si="109"/>
        <v>-1.4927308916790427E-3</v>
      </c>
      <c r="C500" s="2">
        <f t="shared" si="114"/>
        <v>5.6462693165007248E-5</v>
      </c>
      <c r="D500" s="7">
        <f t="shared" si="115"/>
        <v>1713.5057279308658</v>
      </c>
      <c r="E500" s="5">
        <f t="shared" si="116"/>
        <v>9.5760485855250798E-4</v>
      </c>
      <c r="F500" s="2">
        <f t="shared" si="117"/>
        <v>1681.1642415016609</v>
      </c>
      <c r="G500" s="2">
        <f t="shared" si="118"/>
        <v>370807.84566421469</v>
      </c>
      <c r="H500" s="2">
        <f t="shared" si="119"/>
        <v>1.6408611594439093</v>
      </c>
      <c r="I500" s="2">
        <f t="shared" si="120"/>
        <v>33472.529315987442</v>
      </c>
      <c r="J500" s="5">
        <f t="shared" si="121"/>
        <v>1.5588174041600402</v>
      </c>
      <c r="K500" s="2">
        <v>2410</v>
      </c>
      <c r="M500">
        <f t="shared" si="111"/>
        <v>370.80784566421471</v>
      </c>
      <c r="N500">
        <f t="shared" si="112"/>
        <v>5.4866716836280881E-2</v>
      </c>
      <c r="O500">
        <f t="shared" si="113"/>
        <v>3347.252931598744</v>
      </c>
    </row>
    <row r="501" spans="1:15" x14ac:dyDescent="0.2">
      <c r="A501" s="2">
        <v>488</v>
      </c>
      <c r="B501" s="4">
        <f t="shared" si="109"/>
        <v>-1.5807427801345906E-3</v>
      </c>
      <c r="C501" s="2">
        <f t="shared" si="114"/>
        <v>5.6461891817826761E-5</v>
      </c>
      <c r="D501" s="7">
        <f t="shared" si="115"/>
        <v>1713.5042351999741</v>
      </c>
      <c r="E501" s="5">
        <f t="shared" si="116"/>
        <v>1.0140675517175152E-3</v>
      </c>
      <c r="F501" s="2">
        <f t="shared" si="117"/>
        <v>1681.1610362027059</v>
      </c>
      <c r="G501" s="2">
        <f t="shared" si="118"/>
        <v>372489.00670041738</v>
      </c>
      <c r="H501" s="2">
        <f t="shared" si="119"/>
        <v>1.7376087468400596</v>
      </c>
      <c r="I501" s="2">
        <f t="shared" si="120"/>
        <v>33474.266924734278</v>
      </c>
      <c r="J501" s="5">
        <f t="shared" si="121"/>
        <v>1.5588143495756239</v>
      </c>
      <c r="K501" s="2">
        <v>2410</v>
      </c>
      <c r="M501">
        <f t="shared" si="111"/>
        <v>372.48900670041735</v>
      </c>
      <c r="N501">
        <f t="shared" si="112"/>
        <v>5.8101790854577957E-2</v>
      </c>
      <c r="O501">
        <f t="shared" si="113"/>
        <v>3347.4266924734279</v>
      </c>
    </row>
    <row r="502" spans="1:15" x14ac:dyDescent="0.2">
      <c r="A502" s="2">
        <v>489</v>
      </c>
      <c r="B502" s="4">
        <f t="shared" si="109"/>
        <v>-1.6687528874057465E-3</v>
      </c>
      <c r="C502" s="2">
        <f t="shared" si="114"/>
        <v>5.6461040484060088E-5</v>
      </c>
      <c r="D502" s="7">
        <f t="shared" si="115"/>
        <v>1713.502654457194</v>
      </c>
      <c r="E502" s="5">
        <f t="shared" si="116"/>
        <v>1.0705294435353419E-3</v>
      </c>
      <c r="F502" s="2">
        <f t="shared" si="117"/>
        <v>1681.1576474916799</v>
      </c>
      <c r="G502" s="2">
        <f t="shared" si="118"/>
        <v>374170.16434790904</v>
      </c>
      <c r="H502" s="2">
        <f t="shared" si="119"/>
        <v>1.8343546928004204</v>
      </c>
      <c r="I502" s="2">
        <f t="shared" si="120"/>
        <v>33476.101279427079</v>
      </c>
      <c r="J502" s="5">
        <f t="shared" si="121"/>
        <v>1.5588111249289127</v>
      </c>
      <c r="K502" s="2">
        <v>2410</v>
      </c>
      <c r="M502">
        <f t="shared" si="111"/>
        <v>374.17016434790906</v>
      </c>
      <c r="N502">
        <f t="shared" si="112"/>
        <v>6.1336818959063663E-2</v>
      </c>
      <c r="O502">
        <f t="shared" si="113"/>
        <v>3347.610127942708</v>
      </c>
    </row>
    <row r="503" spans="1:15" x14ac:dyDescent="0.2">
      <c r="B503" s="4"/>
      <c r="D503" s="7"/>
      <c r="E503" s="5"/>
      <c r="J503" s="5"/>
    </row>
    <row r="504" spans="1:15" x14ac:dyDescent="0.2">
      <c r="B504" s="4"/>
      <c r="D504" s="7"/>
      <c r="E504" s="5"/>
      <c r="J504" s="5"/>
    </row>
    <row r="505" spans="1:15" x14ac:dyDescent="0.2">
      <c r="B505" s="4"/>
      <c r="D505" s="7"/>
      <c r="E505" s="5"/>
      <c r="J505" s="5"/>
    </row>
    <row r="506" spans="1:15" x14ac:dyDescent="0.2">
      <c r="B506" s="4"/>
      <c r="D506" s="7"/>
      <c r="E506" s="5"/>
      <c r="J506" s="5"/>
    </row>
    <row r="507" spans="1:15" x14ac:dyDescent="0.2">
      <c r="B507" s="4"/>
      <c r="D507" s="7"/>
      <c r="E507" s="5"/>
      <c r="J507" s="5"/>
    </row>
    <row r="508" spans="1:15" x14ac:dyDescent="0.2">
      <c r="B508" s="4"/>
      <c r="D508" s="7"/>
      <c r="E508" s="5"/>
      <c r="J508" s="5"/>
    </row>
    <row r="509" spans="1:15" x14ac:dyDescent="0.2">
      <c r="B509" s="4"/>
      <c r="D509" s="7"/>
      <c r="E509" s="5"/>
      <c r="J509" s="5"/>
    </row>
    <row r="510" spans="1:15" x14ac:dyDescent="0.2">
      <c r="B510" s="4"/>
      <c r="D510" s="7"/>
      <c r="E510" s="5"/>
      <c r="J510" s="5"/>
    </row>
    <row r="511" spans="1:15" x14ac:dyDescent="0.2">
      <c r="B511" s="4"/>
      <c r="D511" s="7"/>
      <c r="E511" s="5"/>
      <c r="J511" s="5"/>
    </row>
    <row r="512" spans="1:15" x14ac:dyDescent="0.2">
      <c r="B512" s="4"/>
      <c r="D512" s="7"/>
      <c r="E512" s="5"/>
      <c r="J512" s="5"/>
    </row>
    <row r="513" spans="2:10" x14ac:dyDescent="0.2">
      <c r="B513" s="4"/>
      <c r="D513" s="7"/>
      <c r="E513" s="5"/>
      <c r="J513" s="5"/>
    </row>
    <row r="514" spans="2:10" x14ac:dyDescent="0.2">
      <c r="B514" s="4"/>
      <c r="D514" s="7"/>
      <c r="E514" s="5"/>
      <c r="J514" s="5"/>
    </row>
    <row r="515" spans="2:10" x14ac:dyDescent="0.2">
      <c r="B515" s="4"/>
      <c r="D515" s="7"/>
      <c r="E515" s="5"/>
      <c r="J515" s="5"/>
    </row>
    <row r="516" spans="2:10" x14ac:dyDescent="0.2">
      <c r="B516" s="4"/>
      <c r="D516" s="7"/>
      <c r="E516" s="5"/>
      <c r="J516" s="5"/>
    </row>
    <row r="517" spans="2:10" x14ac:dyDescent="0.2">
      <c r="B517" s="4"/>
      <c r="D517" s="7"/>
      <c r="E517" s="5"/>
      <c r="J517" s="5"/>
    </row>
    <row r="518" spans="2:10" x14ac:dyDescent="0.2">
      <c r="B518" s="4"/>
      <c r="D518" s="7"/>
      <c r="E518" s="5"/>
      <c r="J518" s="5"/>
    </row>
    <row r="519" spans="2:10" x14ac:dyDescent="0.2">
      <c r="B519" s="4"/>
      <c r="D519" s="7"/>
      <c r="E519" s="5"/>
      <c r="J519" s="5"/>
    </row>
    <row r="520" spans="2:10" x14ac:dyDescent="0.2">
      <c r="B520" s="4"/>
      <c r="D520" s="7"/>
      <c r="E520" s="5"/>
      <c r="J520" s="5"/>
    </row>
    <row r="521" spans="2:10" x14ac:dyDescent="0.2">
      <c r="B521" s="4"/>
      <c r="D521" s="7"/>
      <c r="E521" s="5"/>
      <c r="J521" s="5"/>
    </row>
    <row r="522" spans="2:10" x14ac:dyDescent="0.2">
      <c r="B522" s="4"/>
      <c r="D522" s="7"/>
      <c r="E522" s="5"/>
      <c r="J522" s="5"/>
    </row>
    <row r="523" spans="2:10" x14ac:dyDescent="0.2">
      <c r="B523" s="4"/>
      <c r="D523" s="7"/>
      <c r="E523" s="5"/>
      <c r="J523" s="5"/>
    </row>
    <row r="524" spans="2:10" x14ac:dyDescent="0.2">
      <c r="B524" s="4"/>
      <c r="D524" s="7"/>
      <c r="E524" s="5"/>
      <c r="J524" s="5"/>
    </row>
    <row r="525" spans="2:10" x14ac:dyDescent="0.2">
      <c r="B525" s="4"/>
      <c r="D525" s="7"/>
      <c r="E525" s="5"/>
      <c r="J525" s="5"/>
    </row>
    <row r="526" spans="2:10" x14ac:dyDescent="0.2">
      <c r="B526" s="4"/>
      <c r="D526" s="7"/>
      <c r="E526" s="5"/>
      <c r="J526" s="5"/>
    </row>
    <row r="527" spans="2:10" x14ac:dyDescent="0.2">
      <c r="B527" s="4"/>
      <c r="D527" s="7"/>
      <c r="E527" s="5"/>
      <c r="J527" s="5"/>
    </row>
    <row r="528" spans="2:10" x14ac:dyDescent="0.2">
      <c r="B528" s="4"/>
      <c r="D528" s="7"/>
      <c r="E528" s="5"/>
      <c r="J528" s="5"/>
    </row>
    <row r="529" spans="2:10" x14ac:dyDescent="0.2">
      <c r="B529" s="4"/>
      <c r="D529" s="7"/>
      <c r="E529" s="5"/>
      <c r="J529" s="5"/>
    </row>
    <row r="530" spans="2:10" x14ac:dyDescent="0.2">
      <c r="B530" s="4"/>
      <c r="D530" s="7"/>
      <c r="E530" s="5"/>
      <c r="J530" s="5"/>
    </row>
    <row r="531" spans="2:10" x14ac:dyDescent="0.2">
      <c r="B531" s="4"/>
      <c r="D531" s="7"/>
      <c r="E531" s="5"/>
      <c r="J531" s="5"/>
    </row>
    <row r="532" spans="2:10" x14ac:dyDescent="0.2">
      <c r="B532" s="4"/>
      <c r="D532" s="7"/>
      <c r="E532" s="5"/>
      <c r="J532" s="5"/>
    </row>
    <row r="533" spans="2:10" x14ac:dyDescent="0.2">
      <c r="B533" s="4"/>
      <c r="D533" s="7"/>
      <c r="E533" s="5"/>
      <c r="J533" s="5"/>
    </row>
    <row r="534" spans="2:10" x14ac:dyDescent="0.2">
      <c r="B534" s="4"/>
      <c r="D534" s="7"/>
      <c r="E534" s="5"/>
      <c r="J534" s="5"/>
    </row>
    <row r="535" spans="2:10" x14ac:dyDescent="0.2">
      <c r="B535" s="4"/>
      <c r="D535" s="7"/>
      <c r="E535" s="5"/>
      <c r="J535" s="5"/>
    </row>
    <row r="536" spans="2:10" x14ac:dyDescent="0.2">
      <c r="B536" s="4"/>
      <c r="D536" s="7"/>
      <c r="E536" s="5"/>
      <c r="J536" s="5"/>
    </row>
    <row r="537" spans="2:10" x14ac:dyDescent="0.2">
      <c r="B537" s="4"/>
      <c r="D537" s="7"/>
      <c r="E537" s="5"/>
      <c r="J537" s="5"/>
    </row>
    <row r="538" spans="2:10" x14ac:dyDescent="0.2">
      <c r="B538" s="4"/>
      <c r="D538" s="7"/>
      <c r="E538" s="5"/>
      <c r="J538" s="5"/>
    </row>
    <row r="539" spans="2:10" x14ac:dyDescent="0.2">
      <c r="B539" s="4"/>
      <c r="D539" s="7"/>
      <c r="E539" s="5"/>
      <c r="J539" s="5"/>
    </row>
    <row r="540" spans="2:10" x14ac:dyDescent="0.2">
      <c r="B540" s="4"/>
      <c r="D540" s="7"/>
      <c r="E540" s="5"/>
      <c r="J540" s="5"/>
    </row>
    <row r="541" spans="2:10" x14ac:dyDescent="0.2">
      <c r="B541" s="4"/>
      <c r="D541" s="7"/>
      <c r="E541" s="5"/>
      <c r="J541" s="5"/>
    </row>
    <row r="542" spans="2:10" x14ac:dyDescent="0.2">
      <c r="B542" s="4"/>
      <c r="D542" s="7"/>
      <c r="E542" s="5"/>
      <c r="J542" s="5"/>
    </row>
    <row r="543" spans="2:10" x14ac:dyDescent="0.2">
      <c r="B543" s="4"/>
      <c r="D543" s="7"/>
      <c r="E543" s="5"/>
      <c r="J543" s="5"/>
    </row>
    <row r="544" spans="2:10" x14ac:dyDescent="0.2">
      <c r="B544" s="4"/>
      <c r="D544" s="7"/>
      <c r="E544" s="5"/>
      <c r="J544" s="5"/>
    </row>
    <row r="545" spans="2:10" x14ac:dyDescent="0.2">
      <c r="B545" s="4"/>
      <c r="D545" s="7"/>
      <c r="E545" s="5"/>
      <c r="J545" s="5"/>
    </row>
    <row r="546" spans="2:10" x14ac:dyDescent="0.2">
      <c r="B546" s="4"/>
      <c r="D546" s="7"/>
      <c r="E546" s="5"/>
      <c r="J546" s="5"/>
    </row>
    <row r="547" spans="2:10" x14ac:dyDescent="0.2">
      <c r="B547" s="4"/>
      <c r="D547" s="7"/>
      <c r="E547" s="5"/>
      <c r="J547" s="5"/>
    </row>
    <row r="548" spans="2:10" x14ac:dyDescent="0.2">
      <c r="B548" s="4"/>
      <c r="D548" s="7"/>
      <c r="E548" s="5"/>
      <c r="J548" s="5"/>
    </row>
    <row r="549" spans="2:10" x14ac:dyDescent="0.2">
      <c r="B549" s="4"/>
      <c r="D549" s="7"/>
      <c r="E549" s="5"/>
      <c r="J549" s="5"/>
    </row>
    <row r="550" spans="2:10" x14ac:dyDescent="0.2">
      <c r="B550" s="4"/>
      <c r="D550" s="7"/>
      <c r="E550" s="5"/>
      <c r="J550" s="5"/>
    </row>
    <row r="551" spans="2:10" x14ac:dyDescent="0.2">
      <c r="B551" s="4"/>
      <c r="D551" s="7"/>
      <c r="E551" s="5"/>
      <c r="J551" s="5"/>
    </row>
    <row r="552" spans="2:10" x14ac:dyDescent="0.2">
      <c r="B552" s="4"/>
      <c r="D552" s="7"/>
      <c r="E552" s="5"/>
      <c r="J552" s="5"/>
    </row>
    <row r="553" spans="2:10" x14ac:dyDescent="0.2">
      <c r="B553" s="4"/>
      <c r="D553" s="7"/>
      <c r="E553" s="5"/>
      <c r="J553" s="5"/>
    </row>
    <row r="554" spans="2:10" x14ac:dyDescent="0.2">
      <c r="B554" s="4"/>
      <c r="D554" s="7"/>
      <c r="E554" s="5"/>
      <c r="J554" s="5"/>
    </row>
    <row r="555" spans="2:10" x14ac:dyDescent="0.2">
      <c r="B555" s="4"/>
      <c r="D555" s="7"/>
      <c r="E555" s="5"/>
      <c r="J555" s="5"/>
    </row>
    <row r="556" spans="2:10" x14ac:dyDescent="0.2">
      <c r="B556" s="4"/>
      <c r="D556" s="7"/>
      <c r="E556" s="5"/>
      <c r="J556" s="5"/>
    </row>
    <row r="557" spans="2:10" x14ac:dyDescent="0.2">
      <c r="B557" s="4"/>
      <c r="D557" s="7"/>
      <c r="E557" s="5"/>
      <c r="J557" s="5"/>
    </row>
    <row r="558" spans="2:10" x14ac:dyDescent="0.2">
      <c r="B558" s="4"/>
      <c r="D558" s="7"/>
      <c r="E558" s="5"/>
      <c r="J558" s="5"/>
    </row>
    <row r="559" spans="2:10" x14ac:dyDescent="0.2">
      <c r="B559" s="4"/>
      <c r="D559" s="7"/>
      <c r="E559" s="5"/>
      <c r="J559" s="5"/>
    </row>
    <row r="560" spans="2:10" x14ac:dyDescent="0.2">
      <c r="B560" s="4"/>
      <c r="D560" s="7"/>
      <c r="E560" s="5"/>
      <c r="J560" s="5"/>
    </row>
    <row r="561" spans="2:10" x14ac:dyDescent="0.2">
      <c r="B561" s="4"/>
      <c r="D561" s="7"/>
      <c r="E561" s="5"/>
      <c r="J561" s="5"/>
    </row>
    <row r="562" spans="2:10" x14ac:dyDescent="0.2">
      <c r="B562" s="4"/>
      <c r="D562" s="7"/>
      <c r="E562" s="5"/>
      <c r="J562" s="5"/>
    </row>
    <row r="563" spans="2:10" x14ac:dyDescent="0.2">
      <c r="B563" s="4"/>
      <c r="D563" s="7"/>
      <c r="E563" s="5"/>
      <c r="J563" s="5"/>
    </row>
    <row r="564" spans="2:10" x14ac:dyDescent="0.2">
      <c r="B564" s="4"/>
      <c r="D564" s="7"/>
      <c r="E564" s="5"/>
      <c r="J564" s="5"/>
    </row>
    <row r="565" spans="2:10" x14ac:dyDescent="0.2">
      <c r="B565" s="4"/>
      <c r="D565" s="7"/>
      <c r="E565" s="5"/>
      <c r="J565" s="5"/>
    </row>
    <row r="566" spans="2:10" x14ac:dyDescent="0.2">
      <c r="B566" s="4"/>
      <c r="D566" s="7"/>
      <c r="E566" s="5"/>
      <c r="J566" s="5"/>
    </row>
    <row r="567" spans="2:10" x14ac:dyDescent="0.2">
      <c r="B567" s="4"/>
      <c r="D567" s="7"/>
      <c r="E567" s="5"/>
      <c r="J567" s="5"/>
    </row>
    <row r="568" spans="2:10" x14ac:dyDescent="0.2">
      <c r="B568" s="4"/>
      <c r="D568" s="7"/>
      <c r="E568" s="5"/>
      <c r="J568" s="5"/>
    </row>
    <row r="569" spans="2:10" x14ac:dyDescent="0.2">
      <c r="B569" s="4"/>
      <c r="D569" s="7"/>
      <c r="E569" s="5"/>
      <c r="J569" s="5"/>
    </row>
    <row r="570" spans="2:10" x14ac:dyDescent="0.2">
      <c r="B570" s="4"/>
      <c r="D570" s="7"/>
      <c r="E570" s="5"/>
      <c r="J570" s="5"/>
    </row>
    <row r="571" spans="2:10" x14ac:dyDescent="0.2">
      <c r="B571" s="4"/>
      <c r="D571" s="7"/>
      <c r="E571" s="5"/>
      <c r="J571" s="5"/>
    </row>
    <row r="572" spans="2:10" x14ac:dyDescent="0.2">
      <c r="B572" s="4"/>
      <c r="D572" s="7"/>
      <c r="E572" s="5"/>
      <c r="J572" s="5"/>
    </row>
    <row r="573" spans="2:10" x14ac:dyDescent="0.2">
      <c r="B573" s="4"/>
      <c r="D573" s="7"/>
      <c r="E573" s="5"/>
      <c r="J573" s="5"/>
    </row>
    <row r="574" spans="2:10" x14ac:dyDescent="0.2">
      <c r="B574" s="4"/>
      <c r="D574" s="7"/>
      <c r="E574" s="5"/>
      <c r="J574" s="5"/>
    </row>
    <row r="575" spans="2:10" x14ac:dyDescent="0.2">
      <c r="B575" s="4"/>
      <c r="D575" s="7"/>
      <c r="E575" s="5"/>
      <c r="J575" s="5"/>
    </row>
    <row r="576" spans="2:10" x14ac:dyDescent="0.2">
      <c r="B576" s="4"/>
      <c r="D576" s="7"/>
      <c r="E576" s="5"/>
      <c r="J576" s="5"/>
    </row>
    <row r="577" spans="2:10" x14ac:dyDescent="0.2">
      <c r="B577" s="4"/>
      <c r="D577" s="7"/>
      <c r="E577" s="5"/>
      <c r="J577" s="5"/>
    </row>
    <row r="578" spans="2:10" x14ac:dyDescent="0.2">
      <c r="B578" s="4"/>
      <c r="D578" s="7"/>
      <c r="E578" s="5"/>
      <c r="J578" s="5"/>
    </row>
    <row r="579" spans="2:10" x14ac:dyDescent="0.2">
      <c r="B579" s="4"/>
      <c r="D579" s="7"/>
      <c r="E579" s="5"/>
      <c r="J579" s="5"/>
    </row>
    <row r="580" spans="2:10" x14ac:dyDescent="0.2">
      <c r="B580" s="4"/>
      <c r="D580" s="7"/>
      <c r="E580" s="5"/>
      <c r="J580" s="5"/>
    </row>
    <row r="581" spans="2:10" x14ac:dyDescent="0.2">
      <c r="B581" s="4"/>
      <c r="D581" s="7"/>
      <c r="E581" s="5"/>
      <c r="J581" s="5"/>
    </row>
    <row r="582" spans="2:10" x14ac:dyDescent="0.2">
      <c r="B582" s="4"/>
      <c r="D582" s="7"/>
      <c r="E582" s="5"/>
      <c r="J582" s="5"/>
    </row>
    <row r="583" spans="2:10" x14ac:dyDescent="0.2">
      <c r="B583" s="4"/>
      <c r="D583" s="7"/>
      <c r="E583" s="5"/>
      <c r="J583" s="5"/>
    </row>
    <row r="584" spans="2:10" x14ac:dyDescent="0.2">
      <c r="B584" s="4"/>
      <c r="D584" s="7"/>
      <c r="E584" s="5"/>
      <c r="J584" s="5"/>
    </row>
    <row r="585" spans="2:10" x14ac:dyDescent="0.2">
      <c r="B585" s="4"/>
      <c r="D585" s="7"/>
      <c r="E585" s="5"/>
      <c r="J585" s="5"/>
    </row>
    <row r="586" spans="2:10" x14ac:dyDescent="0.2">
      <c r="B586" s="4"/>
      <c r="D586" s="7"/>
      <c r="E586" s="5"/>
      <c r="J586" s="5"/>
    </row>
    <row r="587" spans="2:10" x14ac:dyDescent="0.2">
      <c r="B587" s="4"/>
      <c r="D587" s="7"/>
      <c r="E587" s="5"/>
      <c r="J587" s="5"/>
    </row>
    <row r="588" spans="2:10" x14ac:dyDescent="0.2">
      <c r="B588" s="4"/>
      <c r="D588" s="7"/>
      <c r="E588" s="5"/>
      <c r="J588" s="5"/>
    </row>
    <row r="589" spans="2:10" x14ac:dyDescent="0.2">
      <c r="B589" s="4"/>
      <c r="D589" s="7"/>
      <c r="E589" s="5"/>
      <c r="J589" s="5"/>
    </row>
    <row r="590" spans="2:10" x14ac:dyDescent="0.2">
      <c r="B590" s="4"/>
      <c r="D590" s="7"/>
      <c r="E590" s="5"/>
      <c r="J590" s="5"/>
    </row>
    <row r="591" spans="2:10" x14ac:dyDescent="0.2">
      <c r="B591" s="4"/>
      <c r="D591" s="7"/>
      <c r="E591" s="5"/>
      <c r="J591" s="5"/>
    </row>
    <row r="592" spans="2:10" x14ac:dyDescent="0.2">
      <c r="B592" s="4"/>
      <c r="D592" s="7"/>
      <c r="E592" s="5"/>
      <c r="J592" s="5"/>
    </row>
    <row r="593" spans="2:10" x14ac:dyDescent="0.2">
      <c r="B593" s="4"/>
      <c r="D593" s="7"/>
      <c r="E593" s="5"/>
      <c r="J593" s="5"/>
    </row>
    <row r="594" spans="2:10" x14ac:dyDescent="0.2">
      <c r="B594" s="4"/>
      <c r="D594" s="7"/>
      <c r="E594" s="5"/>
      <c r="J594" s="5"/>
    </row>
    <row r="595" spans="2:10" x14ac:dyDescent="0.2">
      <c r="B595" s="4"/>
      <c r="D595" s="7"/>
      <c r="E595" s="5"/>
      <c r="J595" s="5"/>
    </row>
    <row r="596" spans="2:10" x14ac:dyDescent="0.2">
      <c r="B596" s="4"/>
      <c r="D596" s="7"/>
      <c r="E596" s="5"/>
      <c r="J596" s="5"/>
    </row>
    <row r="597" spans="2:10" x14ac:dyDescent="0.2">
      <c r="B597" s="4"/>
      <c r="D597" s="7"/>
      <c r="E597" s="5"/>
      <c r="J597" s="5"/>
    </row>
    <row r="598" spans="2:10" x14ac:dyDescent="0.2">
      <c r="B598" s="4"/>
      <c r="D598" s="7"/>
      <c r="E598" s="5"/>
      <c r="J598" s="5"/>
    </row>
    <row r="599" spans="2:10" x14ac:dyDescent="0.2">
      <c r="B599" s="4"/>
      <c r="D599" s="7"/>
      <c r="E599" s="5"/>
      <c r="J599" s="5"/>
    </row>
    <row r="600" spans="2:10" x14ac:dyDescent="0.2">
      <c r="B600" s="4"/>
      <c r="D600" s="7"/>
      <c r="E600" s="5"/>
      <c r="J600" s="5"/>
    </row>
    <row r="601" spans="2:10" x14ac:dyDescent="0.2">
      <c r="B601" s="4"/>
      <c r="D601" s="7"/>
      <c r="E601" s="5"/>
      <c r="J601" s="5"/>
    </row>
    <row r="602" spans="2:10" x14ac:dyDescent="0.2">
      <c r="B602" s="4"/>
      <c r="D602" s="7"/>
      <c r="E602" s="5"/>
      <c r="J602" s="5"/>
    </row>
    <row r="603" spans="2:10" x14ac:dyDescent="0.2">
      <c r="B603" s="4"/>
      <c r="D603" s="7"/>
      <c r="E603" s="5"/>
      <c r="J603" s="5"/>
    </row>
    <row r="604" spans="2:10" x14ac:dyDescent="0.2">
      <c r="B604" s="4"/>
      <c r="D604" s="7"/>
      <c r="E604" s="5"/>
      <c r="J604" s="5"/>
    </row>
    <row r="605" spans="2:10" x14ac:dyDescent="0.2">
      <c r="B605" s="4"/>
      <c r="D605" s="7"/>
      <c r="E605" s="5"/>
      <c r="J605" s="5"/>
    </row>
    <row r="606" spans="2:10" x14ac:dyDescent="0.2">
      <c r="B606" s="4"/>
      <c r="D606" s="7"/>
      <c r="E606" s="5"/>
      <c r="J606" s="5"/>
    </row>
    <row r="607" spans="2:10" x14ac:dyDescent="0.2">
      <c r="B607" s="4"/>
      <c r="D607" s="7"/>
      <c r="E607" s="5"/>
      <c r="J607" s="5"/>
    </row>
    <row r="608" spans="2:10" x14ac:dyDescent="0.2">
      <c r="B608" s="4"/>
      <c r="D608" s="7"/>
      <c r="E608" s="5"/>
      <c r="J608" s="5"/>
    </row>
    <row r="609" spans="2:10" x14ac:dyDescent="0.2">
      <c r="B609" s="4"/>
      <c r="D609" s="7"/>
      <c r="E609" s="5"/>
      <c r="J609" s="5"/>
    </row>
    <row r="610" spans="2:10" x14ac:dyDescent="0.2">
      <c r="B610" s="4"/>
      <c r="D610" s="7"/>
      <c r="E610" s="5"/>
      <c r="J610" s="5"/>
    </row>
    <row r="611" spans="2:10" x14ac:dyDescent="0.2">
      <c r="B611" s="4"/>
      <c r="D611" s="7"/>
      <c r="E611" s="5"/>
      <c r="J611" s="5"/>
    </row>
    <row r="612" spans="2:10" x14ac:dyDescent="0.2">
      <c r="B612" s="4"/>
      <c r="D612" s="7"/>
      <c r="E612" s="5"/>
      <c r="J612" s="5"/>
    </row>
    <row r="613" spans="2:10" x14ac:dyDescent="0.2">
      <c r="B613" s="4"/>
      <c r="D613" s="7"/>
      <c r="E613" s="5"/>
      <c r="J613" s="5"/>
    </row>
    <row r="614" spans="2:10" x14ac:dyDescent="0.2">
      <c r="B614" s="4"/>
      <c r="D614" s="7"/>
      <c r="E614" s="5"/>
      <c r="J614" s="5"/>
    </row>
    <row r="615" spans="2:10" x14ac:dyDescent="0.2">
      <c r="B615" s="4"/>
      <c r="D615" s="7"/>
      <c r="E615" s="5"/>
      <c r="J615" s="5"/>
    </row>
    <row r="616" spans="2:10" x14ac:dyDescent="0.2">
      <c r="B616" s="4"/>
      <c r="D616" s="7"/>
      <c r="E616" s="5"/>
      <c r="J616" s="5"/>
    </row>
    <row r="617" spans="2:10" x14ac:dyDescent="0.2">
      <c r="B617" s="4"/>
      <c r="D617" s="7"/>
      <c r="E617" s="5"/>
      <c r="J617" s="5"/>
    </row>
    <row r="618" spans="2:10" x14ac:dyDescent="0.2">
      <c r="B618" s="4"/>
      <c r="D618" s="7"/>
      <c r="E618" s="5"/>
      <c r="J618" s="5"/>
    </row>
    <row r="619" spans="2:10" x14ac:dyDescent="0.2">
      <c r="B619" s="4"/>
      <c r="D619" s="7"/>
      <c r="E619" s="5"/>
      <c r="J619" s="5"/>
    </row>
    <row r="620" spans="2:10" x14ac:dyDescent="0.2">
      <c r="B620" s="4"/>
      <c r="D620" s="7"/>
      <c r="E620" s="5"/>
      <c r="J620" s="5"/>
    </row>
    <row r="621" spans="2:10" x14ac:dyDescent="0.2">
      <c r="B621" s="4"/>
      <c r="D621" s="7"/>
      <c r="E621" s="5"/>
      <c r="J621" s="5"/>
    </row>
    <row r="622" spans="2:10" x14ac:dyDescent="0.2">
      <c r="B622" s="4"/>
      <c r="D622" s="7"/>
      <c r="E622" s="5"/>
      <c r="J622" s="5"/>
    </row>
    <row r="623" spans="2:10" x14ac:dyDescent="0.2">
      <c r="B623" s="4"/>
      <c r="D623" s="7"/>
      <c r="E623" s="5"/>
      <c r="J623" s="5"/>
    </row>
    <row r="624" spans="2:10" x14ac:dyDescent="0.2">
      <c r="B624" s="4"/>
      <c r="D624" s="7"/>
      <c r="E624" s="5"/>
      <c r="J624" s="5"/>
    </row>
    <row r="625" spans="2:10" x14ac:dyDescent="0.2">
      <c r="B625" s="4"/>
      <c r="D625" s="7"/>
      <c r="E625" s="5"/>
      <c r="J625" s="5"/>
    </row>
    <row r="626" spans="2:10" x14ac:dyDescent="0.2">
      <c r="B626" s="4"/>
      <c r="D626" s="7"/>
      <c r="E626" s="5"/>
      <c r="J626" s="5"/>
    </row>
    <row r="627" spans="2:10" x14ac:dyDescent="0.2">
      <c r="B627" s="4"/>
      <c r="D627" s="7"/>
      <c r="E627" s="5"/>
      <c r="J627" s="5"/>
    </row>
    <row r="628" spans="2:10" x14ac:dyDescent="0.2">
      <c r="B628" s="4"/>
      <c r="D628" s="7"/>
      <c r="E628" s="5"/>
      <c r="J628" s="5"/>
    </row>
  </sheetData>
  <pageMargins left="0.25" right="0.25" top="0.75" bottom="0.75" header="0.3" footer="0.3"/>
  <pageSetup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02BE-4E54-7C46-B177-5962B6F3DED9}">
  <dimension ref="A1:Z521"/>
  <sheetViews>
    <sheetView tabSelected="1" zoomScale="93" workbookViewId="0">
      <pane ySplit="12" topLeftCell="A486" activePane="bottomLeft" state="frozen"/>
      <selection activeCell="C1" sqref="C1"/>
      <selection pane="bottomLeft" activeCell="M490" sqref="M490"/>
    </sheetView>
  </sheetViews>
  <sheetFormatPr baseColWidth="10" defaultRowHeight="16" x14ac:dyDescent="0.2"/>
  <cols>
    <col min="1" max="1" width="14.33203125" style="2" bestFit="1" customWidth="1"/>
    <col min="2" max="2" width="20.83203125" style="2" customWidth="1"/>
    <col min="3" max="3" width="19.6640625" style="2" customWidth="1"/>
    <col min="4" max="4" width="13" style="2" customWidth="1"/>
    <col min="5" max="5" width="16" style="2" bestFit="1" customWidth="1"/>
    <col min="6" max="6" width="25.6640625" style="2" customWidth="1"/>
    <col min="7" max="7" width="23.1640625" style="2" bestFit="1" customWidth="1"/>
    <col min="8" max="8" width="20.6640625" style="2" bestFit="1" customWidth="1"/>
    <col min="9" max="9" width="13" style="2" bestFit="1" customWidth="1"/>
    <col min="10" max="10" width="18.83203125" style="2" bestFit="1" customWidth="1"/>
    <col min="11" max="11" width="13" style="2" bestFit="1" customWidth="1"/>
    <col min="12" max="12" width="14.1640625" style="2" bestFit="1" customWidth="1"/>
    <col min="13" max="13" width="13" style="2" bestFit="1" customWidth="1"/>
    <col min="14" max="14" width="13.6640625" bestFit="1" customWidth="1"/>
    <col min="15" max="15" width="10.83203125" style="2" bestFit="1" customWidth="1"/>
    <col min="16" max="16" width="10.83203125" style="2"/>
    <col min="18" max="18" width="21.6640625" customWidth="1"/>
    <col min="19" max="19" width="13.33203125" customWidth="1"/>
    <col min="20" max="20" width="17.6640625" customWidth="1"/>
    <col min="22" max="22" width="20.6640625" customWidth="1"/>
    <col min="25" max="25" width="11" customWidth="1"/>
    <col min="28" max="28" width="13" customWidth="1"/>
  </cols>
  <sheetData>
    <row r="1" spans="1:26" x14ac:dyDescent="0.2">
      <c r="A1" s="2" t="s">
        <v>0</v>
      </c>
      <c r="B1" s="2">
        <v>42556.59</v>
      </c>
      <c r="C1" s="2" t="s">
        <v>8</v>
      </c>
      <c r="F1" s="2" t="s">
        <v>15</v>
      </c>
      <c r="G1" s="2" t="s">
        <v>16</v>
      </c>
    </row>
    <row r="2" spans="1:26" x14ac:dyDescent="0.2">
      <c r="A2" s="2" t="s">
        <v>1</v>
      </c>
      <c r="B2" s="2">
        <f>B1-B3</f>
        <v>32901.969999999994</v>
      </c>
      <c r="C2" s="2" t="s">
        <v>8</v>
      </c>
      <c r="F2" s="2">
        <v>1.9806859194532351</v>
      </c>
      <c r="G2" s="2">
        <f>F2*PI()/180</f>
        <v>3.4569490742350155E-2</v>
      </c>
    </row>
    <row r="3" spans="1:26" x14ac:dyDescent="0.2">
      <c r="A3" s="2" t="s">
        <v>5</v>
      </c>
      <c r="B3" s="2">
        <v>9654.6200000000008</v>
      </c>
      <c r="C3" s="2" t="s">
        <v>8</v>
      </c>
    </row>
    <row r="5" spans="1:26" x14ac:dyDescent="0.2">
      <c r="A5" s="2" t="s">
        <v>2</v>
      </c>
      <c r="B5" s="2">
        <f>555267</f>
        <v>555267</v>
      </c>
      <c r="C5" s="2" t="s">
        <v>9</v>
      </c>
    </row>
    <row r="6" spans="1:26" x14ac:dyDescent="0.2">
      <c r="A6" s="2" t="s">
        <v>3</v>
      </c>
      <c r="B6" s="2">
        <v>363.33</v>
      </c>
      <c r="C6" s="2" t="s">
        <v>10</v>
      </c>
    </row>
    <row r="7" spans="1:26" x14ac:dyDescent="0.2">
      <c r="A7" s="2" t="s">
        <v>4</v>
      </c>
      <c r="B7" s="2">
        <f xml:space="preserve"> B5/(9.80665*B6)</f>
        <v>155.84035516792321</v>
      </c>
      <c r="C7" s="2" t="s">
        <v>11</v>
      </c>
    </row>
    <row r="8" spans="1:26" x14ac:dyDescent="0.2">
      <c r="A8" s="2" t="s">
        <v>6</v>
      </c>
      <c r="B8" s="2">
        <f>B2/B7</f>
        <v>211.12612304141004</v>
      </c>
      <c r="C8" s="2" t="s">
        <v>10</v>
      </c>
    </row>
    <row r="9" spans="1:26" x14ac:dyDescent="0.2">
      <c r="A9" s="2" t="s">
        <v>7</v>
      </c>
      <c r="B9" s="2">
        <f>B6*9.80665</f>
        <v>3563.0501444999995</v>
      </c>
      <c r="C9" s="2" t="s">
        <v>12</v>
      </c>
    </row>
    <row r="12" spans="1:26" x14ac:dyDescent="0.2">
      <c r="A12" s="3" t="s">
        <v>39</v>
      </c>
      <c r="B12" s="3" t="s">
        <v>18</v>
      </c>
      <c r="C12" s="3" t="s">
        <v>19</v>
      </c>
      <c r="D12" s="3" t="s">
        <v>17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14</v>
      </c>
      <c r="J12" s="3" t="s">
        <v>26</v>
      </c>
      <c r="K12" s="3" t="s">
        <v>27</v>
      </c>
      <c r="L12" s="3" t="s">
        <v>24</v>
      </c>
      <c r="M12" s="3" t="s">
        <v>25</v>
      </c>
      <c r="N12" s="3" t="s">
        <v>40</v>
      </c>
      <c r="O12" s="3" t="s">
        <v>28</v>
      </c>
      <c r="P12" s="3" t="s">
        <v>29</v>
      </c>
      <c r="R12" s="3" t="s">
        <v>35</v>
      </c>
      <c r="S12" s="3" t="s">
        <v>32</v>
      </c>
      <c r="T12" s="3" t="s">
        <v>34</v>
      </c>
      <c r="V12" s="3" t="s">
        <v>36</v>
      </c>
      <c r="Y12" t="s">
        <v>37</v>
      </c>
      <c r="Z12" t="s">
        <v>38</v>
      </c>
    </row>
    <row r="13" spans="1:26" x14ac:dyDescent="0.2">
      <c r="A13" s="2">
        <v>0</v>
      </c>
      <c r="B13" s="2">
        <f>(($B$5-K13)/M13)-(L13*SIN(E13))</f>
        <v>3.2410824428484535</v>
      </c>
      <c r="C13" s="2">
        <v>0</v>
      </c>
      <c r="D13" s="2">
        <v>0</v>
      </c>
      <c r="E13" s="2">
        <f>PI()/2</f>
        <v>1.5707963267948966</v>
      </c>
      <c r="F13" s="2">
        <v>0</v>
      </c>
      <c r="G13" s="2">
        <v>0</v>
      </c>
      <c r="H13" s="2">
        <v>0</v>
      </c>
      <c r="I13" s="2">
        <v>0</v>
      </c>
      <c r="J13" s="2">
        <f>1.225*EXP(-I13/7194)</f>
        <v>1.2250000000000001</v>
      </c>
      <c r="K13" s="2">
        <f>0.2*(PI()*5^2)*0.5*J13*(D13)^2</f>
        <v>0</v>
      </c>
      <c r="L13" s="2">
        <f>((9.80665)/(1+(((I13/6378000))^2)))</f>
        <v>9.8066499999999994</v>
      </c>
      <c r="M13" s="2">
        <f>$B$1-($B$7*A13)</f>
        <v>42556.59</v>
      </c>
      <c r="N13">
        <f>(0.5*J13*(D13)^2)/1000</f>
        <v>0</v>
      </c>
      <c r="O13" s="2">
        <f>$B$5*P13</f>
        <v>555267</v>
      </c>
      <c r="P13" s="2">
        <v>1</v>
      </c>
      <c r="R13">
        <f>G13/100</f>
        <v>0</v>
      </c>
      <c r="S13">
        <f>I13/10</f>
        <v>0</v>
      </c>
      <c r="T13">
        <f>E13*180/PI()</f>
        <v>90</v>
      </c>
      <c r="V13" s="2">
        <v>0</v>
      </c>
      <c r="Y13">
        <f>(G13*COS( E13))</f>
        <v>0</v>
      </c>
      <c r="Z13">
        <f>6400+(I13)</f>
        <v>6400</v>
      </c>
    </row>
    <row r="14" spans="1:26" x14ac:dyDescent="0.2">
      <c r="A14" s="2">
        <v>1</v>
      </c>
      <c r="B14" s="2">
        <f>((O13-K14)/M14)-(L14*SIN(E14))</f>
        <v>3.2887980775759722</v>
      </c>
      <c r="C14" s="2">
        <f>-((L14/D14)-(D14/(6378000+(I14))))*COS(E14)</f>
        <v>-1.8527249031480411E-16</v>
      </c>
      <c r="D14" s="2">
        <f>B13</f>
        <v>3.2410824428484535</v>
      </c>
      <c r="E14" s="2">
        <f t="shared" ref="E14:E36" si="0">PI()/2</f>
        <v>1.5707963267948966</v>
      </c>
      <c r="F14" s="8">
        <f>((6378000/(6378000+(I14)))*D14*COS(E14))</f>
        <v>1.9845896112026521E-16</v>
      </c>
      <c r="G14" s="2">
        <f>F14+G13</f>
        <v>1.9845896112026521E-16</v>
      </c>
      <c r="H14" s="2">
        <f>D14*SIN(E14)</f>
        <v>3.2410824428484535</v>
      </c>
      <c r="I14" s="2">
        <f>H14+I13</f>
        <v>3.2410824428484535</v>
      </c>
      <c r="J14" s="2">
        <f>$J$13*EXP(-I14/7194)</f>
        <v>1.2244482302252317</v>
      </c>
      <c r="K14" s="2">
        <f>0.7*(PI()*(0.75))*0.5*J14*(D14)^2</f>
        <v>10.607175751084345</v>
      </c>
      <c r="L14" s="2">
        <f>((9.80665)/(1+(I14/6378000))^2)</f>
        <v>9.8066400331963255</v>
      </c>
      <c r="M14" s="2">
        <f t="shared" ref="M14:M77" si="1">$B$1-($B$7*A14)</f>
        <v>42400.749644832074</v>
      </c>
      <c r="N14">
        <f t="shared" ref="N14:N77" si="2">(0.5*J14*(D14)^2)/1000</f>
        <v>6.4311788686840432E-3</v>
      </c>
      <c r="O14" s="2">
        <f t="shared" ref="O14:O77" si="3">$B$5*P14</f>
        <v>555267</v>
      </c>
      <c r="P14" s="2">
        <v>1</v>
      </c>
      <c r="R14">
        <f t="shared" ref="R14:R77" si="4">G14/100</f>
        <v>1.9845896112026522E-18</v>
      </c>
      <c r="S14">
        <f t="shared" ref="S14:S77" si="5">I14/10</f>
        <v>0.32410824428484536</v>
      </c>
      <c r="T14">
        <f t="shared" ref="T14:T77" si="6">E14*180/PI()</f>
        <v>90</v>
      </c>
      <c r="V14" s="2">
        <f>H14+I13</f>
        <v>3.2410824428484535</v>
      </c>
      <c r="Y14">
        <f t="shared" ref="Y14:Y77" si="7">(G14*COS((PI()/2) - E14))</f>
        <v>1.9845896112026521E-16</v>
      </c>
      <c r="Z14">
        <f t="shared" ref="Z14:Z77" si="8">6400+(I14)</f>
        <v>6403.2410824428489</v>
      </c>
    </row>
    <row r="15" spans="1:26" x14ac:dyDescent="0.2">
      <c r="A15" s="2">
        <v>2</v>
      </c>
      <c r="B15" s="2">
        <f t="shared" ref="B15:B78" si="9">((O14-K15)/M15)-(L15*SIN(E15))</f>
        <v>3.3363597044398716</v>
      </c>
      <c r="C15" s="2">
        <f>-((L15/D15)-(D15/(6378000+(I15))))*COS(E15)</f>
        <v>-9.1959091066049874E-17</v>
      </c>
      <c r="D15" s="2">
        <f>B14+D14</f>
        <v>6.5298805204244257</v>
      </c>
      <c r="E15" s="2">
        <f t="shared" si="0"/>
        <v>1.5707963267948966</v>
      </c>
      <c r="F15" s="8">
        <f>((6378000/(6378000+(I15)))*D15*COS(E15))</f>
        <v>3.9983925136222837E-16</v>
      </c>
      <c r="G15" s="2">
        <f>F15+G14</f>
        <v>5.982982124824936E-16</v>
      </c>
      <c r="H15" s="2">
        <f>D15*SIN(E15)</f>
        <v>6.5298805204244257</v>
      </c>
      <c r="I15" s="2">
        <f>H15+I14</f>
        <v>9.7709629632728792</v>
      </c>
      <c r="J15" s="2">
        <f t="shared" ref="J15:J78" si="10">$J$13*EXP(-I15/7194)</f>
        <v>1.2233373221004817</v>
      </c>
      <c r="K15" s="2">
        <f t="shared" ref="K15:K78" si="11">0.7*(PI()*(0.75))*0.5*J15*(D15)^2</f>
        <v>43.016579668095694</v>
      </c>
      <c r="L15" s="2">
        <f>((9.80665)/(1+(I15/6378000))^2)</f>
        <v>9.8066199529025528</v>
      </c>
      <c r="M15" s="2">
        <f t="shared" si="1"/>
        <v>42244.909289664152</v>
      </c>
      <c r="N15">
        <f t="shared" si="2"/>
        <v>2.6081147767938104E-2</v>
      </c>
      <c r="O15" s="2">
        <f t="shared" si="3"/>
        <v>555267</v>
      </c>
      <c r="P15" s="2">
        <v>1</v>
      </c>
      <c r="R15">
        <f t="shared" si="4"/>
        <v>5.9829821248249362E-18</v>
      </c>
      <c r="S15">
        <f t="shared" si="5"/>
        <v>0.97709629632728789</v>
      </c>
      <c r="T15">
        <f t="shared" si="6"/>
        <v>90</v>
      </c>
      <c r="V15" s="2">
        <f>H15+I14</f>
        <v>9.7709629632728792</v>
      </c>
      <c r="Y15">
        <f t="shared" si="7"/>
        <v>5.982982124824936E-16</v>
      </c>
      <c r="Z15">
        <f t="shared" si="8"/>
        <v>6409.7709629632727</v>
      </c>
    </row>
    <row r="16" spans="1:26" x14ac:dyDescent="0.2">
      <c r="A16" s="2">
        <v>3</v>
      </c>
      <c r="B16" s="2">
        <f t="shared" si="9"/>
        <v>3.3837456625641984</v>
      </c>
      <c r="C16" s="2">
        <f t="shared" ref="C16:C43" si="12">-((L16/D16)-(D16/(6378000+(I16))))*COS(E16)</f>
        <v>-6.086203870735606E-17</v>
      </c>
      <c r="D16" s="2">
        <f t="shared" ref="D16:D43" si="13">B15+D15</f>
        <v>9.8662402248642973</v>
      </c>
      <c r="E16" s="2">
        <f t="shared" si="0"/>
        <v>1.5707963267948966</v>
      </c>
      <c r="F16" s="8">
        <f t="shared" ref="F16:F43" si="14">((6378000/(6378000+(I16)))*D16*COS(E16))</f>
        <v>6.0413111549264503E-16</v>
      </c>
      <c r="G16" s="2">
        <f t="shared" ref="G16:G43" si="15">F16+G15</f>
        <v>1.2024293279751386E-15</v>
      </c>
      <c r="H16" s="2">
        <f t="shared" ref="H16:H43" si="16">D16*SIN(E16)</f>
        <v>9.8662402248642973</v>
      </c>
      <c r="I16" s="2">
        <f t="shared" ref="I16:I43" si="17">H16+I15</f>
        <v>19.637203188137178</v>
      </c>
      <c r="J16" s="2">
        <f t="shared" si="10"/>
        <v>1.2216607211647619</v>
      </c>
      <c r="K16" s="2">
        <f t="shared" si="11"/>
        <v>98.069319591674244</v>
      </c>
      <c r="L16" s="2">
        <f t="shared" ref="L16:L43" si="18">((9.80665)/(1+(I16/6378000))^2)</f>
        <v>9.8065896129541326</v>
      </c>
      <c r="M16" s="2">
        <f t="shared" si="1"/>
        <v>42089.06893449623</v>
      </c>
      <c r="N16">
        <f t="shared" si="2"/>
        <v>5.9459874204471665E-2</v>
      </c>
      <c r="O16" s="2">
        <f t="shared" si="3"/>
        <v>555267</v>
      </c>
      <c r="P16" s="2">
        <v>1</v>
      </c>
      <c r="R16">
        <f t="shared" si="4"/>
        <v>1.2024293279751386E-17</v>
      </c>
      <c r="S16">
        <f t="shared" si="5"/>
        <v>1.9637203188137178</v>
      </c>
      <c r="T16">
        <f t="shared" si="6"/>
        <v>90</v>
      </c>
      <c r="V16" s="2">
        <f t="shared" ref="V16:V79" si="19">H16+I15</f>
        <v>19.637203188137178</v>
      </c>
      <c r="Y16">
        <f t="shared" si="7"/>
        <v>1.2024293279751386E-15</v>
      </c>
      <c r="Z16">
        <f t="shared" si="8"/>
        <v>6419.6372031881374</v>
      </c>
    </row>
    <row r="17" spans="1:26" x14ac:dyDescent="0.2">
      <c r="A17" s="2">
        <v>4</v>
      </c>
      <c r="B17" s="2">
        <f t="shared" si="9"/>
        <v>3.4309353815090891</v>
      </c>
      <c r="C17" s="2">
        <f t="shared" si="12"/>
        <v>-4.531901042738804E-17</v>
      </c>
      <c r="D17" s="2">
        <f t="shared" si="13"/>
        <v>13.249985887428496</v>
      </c>
      <c r="E17" s="2">
        <f t="shared" si="0"/>
        <v>1.5707963267948966</v>
      </c>
      <c r="F17" s="8">
        <f t="shared" si="14"/>
        <v>8.1132345682306673E-16</v>
      </c>
      <c r="G17" s="2">
        <f t="shared" si="15"/>
        <v>2.0137527847982054E-15</v>
      </c>
      <c r="H17" s="2">
        <f t="shared" si="16"/>
        <v>13.249985887428496</v>
      </c>
      <c r="I17" s="2">
        <f t="shared" si="17"/>
        <v>32.887189075565672</v>
      </c>
      <c r="J17" s="2">
        <f t="shared" si="10"/>
        <v>1.219412724253542</v>
      </c>
      <c r="K17" s="2">
        <f t="shared" si="11"/>
        <v>176.54715941693919</v>
      </c>
      <c r="L17" s="2">
        <f t="shared" si="18"/>
        <v>9.8065488677772716</v>
      </c>
      <c r="M17" s="2">
        <f t="shared" si="1"/>
        <v>41933.228579328301</v>
      </c>
      <c r="N17">
        <f t="shared" si="2"/>
        <v>0.10704134518109991</v>
      </c>
      <c r="O17" s="2">
        <f t="shared" si="3"/>
        <v>555267</v>
      </c>
      <c r="P17" s="2">
        <v>1</v>
      </c>
      <c r="R17">
        <f t="shared" si="4"/>
        <v>2.0137527847982055E-17</v>
      </c>
      <c r="S17">
        <f t="shared" si="5"/>
        <v>3.288718907556567</v>
      </c>
      <c r="T17">
        <f t="shared" si="6"/>
        <v>90</v>
      </c>
      <c r="V17" s="2">
        <f t="shared" si="19"/>
        <v>32.887189075565672</v>
      </c>
      <c r="Y17">
        <f t="shared" si="7"/>
        <v>2.0137527847982054E-15</v>
      </c>
      <c r="Z17">
        <f t="shared" si="8"/>
        <v>6432.8871890755654</v>
      </c>
    </row>
    <row r="18" spans="1:26" x14ac:dyDescent="0.2">
      <c r="A18" s="2">
        <v>5</v>
      </c>
      <c r="B18" s="2">
        <f t="shared" si="9"/>
        <v>3.4779095509220532</v>
      </c>
      <c r="C18" s="2">
        <f t="shared" si="12"/>
        <v>-3.599753947055896E-17</v>
      </c>
      <c r="D18" s="2">
        <f t="shared" si="13"/>
        <v>16.680921268937585</v>
      </c>
      <c r="E18" s="2">
        <f t="shared" si="0"/>
        <v>1.5707963267948966</v>
      </c>
      <c r="F18" s="8">
        <f t="shared" si="14"/>
        <v>1.0214039038636818E-15</v>
      </c>
      <c r="G18" s="2">
        <f t="shared" si="15"/>
        <v>3.0351566886618872E-15</v>
      </c>
      <c r="H18" s="2">
        <f t="shared" si="16"/>
        <v>16.680921268937585</v>
      </c>
      <c r="I18" s="2">
        <f t="shared" si="17"/>
        <v>49.568110344503253</v>
      </c>
      <c r="J18" s="2">
        <f t="shared" si="10"/>
        <v>1.2165885147266842</v>
      </c>
      <c r="K18" s="2">
        <f t="shared" si="11"/>
        <v>279.16627889659526</v>
      </c>
      <c r="L18" s="2">
        <f t="shared" si="18"/>
        <v>9.8064975724544876</v>
      </c>
      <c r="M18" s="2">
        <f t="shared" si="1"/>
        <v>41777.388224160379</v>
      </c>
      <c r="N18">
        <f t="shared" si="2"/>
        <v>0.16925978373700498</v>
      </c>
      <c r="O18" s="2">
        <f t="shared" si="3"/>
        <v>555267</v>
      </c>
      <c r="P18" s="2">
        <v>1</v>
      </c>
      <c r="R18">
        <f t="shared" si="4"/>
        <v>3.0351566886618871E-17</v>
      </c>
      <c r="S18">
        <f t="shared" si="5"/>
        <v>4.9568110344503253</v>
      </c>
      <c r="T18">
        <f t="shared" si="6"/>
        <v>90</v>
      </c>
      <c r="V18" s="2">
        <f t="shared" si="19"/>
        <v>49.568110344503253</v>
      </c>
      <c r="Y18">
        <f t="shared" si="7"/>
        <v>3.0351566886618872E-15</v>
      </c>
      <c r="Z18">
        <f t="shared" si="8"/>
        <v>6449.5681103445031</v>
      </c>
    </row>
    <row r="19" spans="1:26" x14ac:dyDescent="0.2">
      <c r="A19" s="2">
        <v>6</v>
      </c>
      <c r="B19" s="2">
        <f t="shared" si="9"/>
        <v>3.5246502901597552</v>
      </c>
      <c r="C19" s="2">
        <f t="shared" si="12"/>
        <v>-2.9786801691272991E-17</v>
      </c>
      <c r="D19" s="2">
        <f t="shared" si="13"/>
        <v>20.158830819859638</v>
      </c>
      <c r="E19" s="2">
        <f t="shared" si="0"/>
        <v>1.5707963267948966</v>
      </c>
      <c r="F19" s="8">
        <f t="shared" si="14"/>
        <v>1.2343588873814202E-15</v>
      </c>
      <c r="G19" s="2">
        <f t="shared" si="15"/>
        <v>4.2695155760433072E-15</v>
      </c>
      <c r="H19" s="2">
        <f t="shared" si="16"/>
        <v>20.158830819859638</v>
      </c>
      <c r="I19" s="2">
        <f t="shared" si="17"/>
        <v>69.726941164362898</v>
      </c>
      <c r="J19" s="2">
        <f t="shared" si="10"/>
        <v>1.2131841955061204</v>
      </c>
      <c r="K19" s="2">
        <f t="shared" si="11"/>
        <v>406.57119352770053</v>
      </c>
      <c r="L19" s="2">
        <f t="shared" si="18"/>
        <v>9.8064355827862766</v>
      </c>
      <c r="M19" s="2">
        <f t="shared" si="1"/>
        <v>41621.547868992457</v>
      </c>
      <c r="N19">
        <f t="shared" si="2"/>
        <v>0.24650596254744814</v>
      </c>
      <c r="O19" s="2">
        <f t="shared" si="3"/>
        <v>555267</v>
      </c>
      <c r="P19" s="2">
        <v>1</v>
      </c>
      <c r="R19">
        <f t="shared" si="4"/>
        <v>4.2695155760433069E-17</v>
      </c>
      <c r="S19">
        <f t="shared" si="5"/>
        <v>6.9726941164362897</v>
      </c>
      <c r="T19">
        <f t="shared" si="6"/>
        <v>90</v>
      </c>
      <c r="V19" s="2">
        <f t="shared" si="19"/>
        <v>69.726941164362898</v>
      </c>
      <c r="Y19">
        <f t="shared" si="7"/>
        <v>4.2695155760433072E-15</v>
      </c>
      <c r="Z19">
        <f t="shared" si="8"/>
        <v>6469.7269411643629</v>
      </c>
    </row>
    <row r="20" spans="1:26" x14ac:dyDescent="0.2">
      <c r="A20" s="2">
        <v>7</v>
      </c>
      <c r="B20" s="2">
        <f t="shared" si="9"/>
        <v>3.5711413165489621</v>
      </c>
      <c r="C20" s="2">
        <f t="shared" si="12"/>
        <v>-2.5353585068388487E-17</v>
      </c>
      <c r="D20" s="2">
        <f t="shared" si="13"/>
        <v>23.683481110019393</v>
      </c>
      <c r="E20" s="2">
        <f t="shared" si="0"/>
        <v>1.5707963267948966</v>
      </c>
      <c r="F20" s="8">
        <f t="shared" si="14"/>
        <v>1.4501737278596594E-15</v>
      </c>
      <c r="G20" s="2">
        <f t="shared" si="15"/>
        <v>5.7196893039029664E-15</v>
      </c>
      <c r="H20" s="2">
        <f t="shared" si="16"/>
        <v>23.683481110019393</v>
      </c>
      <c r="I20" s="2">
        <f t="shared" si="17"/>
        <v>93.410422274382285</v>
      </c>
      <c r="J20" s="2">
        <f t="shared" si="10"/>
        <v>1.2091968196929692</v>
      </c>
      <c r="K20" s="2">
        <f t="shared" si="11"/>
        <v>559.32888970561976</v>
      </c>
      <c r="L20" s="2">
        <f t="shared" si="18"/>
        <v>9.8063627553484398</v>
      </c>
      <c r="M20" s="2">
        <f t="shared" si="1"/>
        <v>41465.707513824535</v>
      </c>
      <c r="N20">
        <f t="shared" si="2"/>
        <v>0.33912364804095591</v>
      </c>
      <c r="O20" s="2">
        <f t="shared" si="3"/>
        <v>555267</v>
      </c>
      <c r="P20" s="2">
        <v>1</v>
      </c>
      <c r="R20">
        <f t="shared" si="4"/>
        <v>5.719689303902967E-17</v>
      </c>
      <c r="S20">
        <f t="shared" si="5"/>
        <v>9.3410422274382281</v>
      </c>
      <c r="T20">
        <f t="shared" si="6"/>
        <v>90</v>
      </c>
      <c r="V20" s="2">
        <f t="shared" si="19"/>
        <v>93.410422274382285</v>
      </c>
      <c r="Y20">
        <f t="shared" si="7"/>
        <v>5.7196893039029664E-15</v>
      </c>
      <c r="Z20">
        <f t="shared" si="8"/>
        <v>6493.4104222743827</v>
      </c>
    </row>
    <row r="21" spans="1:26" x14ac:dyDescent="0.2">
      <c r="A21" s="2">
        <v>8</v>
      </c>
      <c r="B21" s="2">
        <f t="shared" si="9"/>
        <v>3.6173681109106823</v>
      </c>
      <c r="C21" s="2">
        <f t="shared" si="12"/>
        <v>-2.2031282090023069E-17</v>
      </c>
      <c r="D21" s="2">
        <f t="shared" si="13"/>
        <v>27.254622426568353</v>
      </c>
      <c r="E21" s="2">
        <f t="shared" si="0"/>
        <v>1.5707963267948966</v>
      </c>
      <c r="F21" s="8">
        <f t="shared" si="14"/>
        <v>1.668832733275105E-15</v>
      </c>
      <c r="G21" s="2">
        <f t="shared" si="15"/>
        <v>7.388522037178071E-15</v>
      </c>
      <c r="H21" s="2">
        <f t="shared" si="16"/>
        <v>27.254622426568353</v>
      </c>
      <c r="I21" s="2">
        <f t="shared" si="17"/>
        <v>120.66504470095063</v>
      </c>
      <c r="J21" s="2">
        <f t="shared" si="10"/>
        <v>1.2046244185415698</v>
      </c>
      <c r="K21" s="2">
        <f t="shared" si="11"/>
        <v>737.923230526412</v>
      </c>
      <c r="L21" s="2">
        <f t="shared" si="18"/>
        <v>9.8062789475444614</v>
      </c>
      <c r="M21" s="2">
        <f t="shared" si="1"/>
        <v>41309.867158656612</v>
      </c>
      <c r="N21">
        <f t="shared" si="2"/>
        <v>0.44740620861188063</v>
      </c>
      <c r="O21" s="2">
        <f t="shared" si="3"/>
        <v>555267</v>
      </c>
      <c r="P21" s="2">
        <v>1</v>
      </c>
      <c r="R21">
        <f t="shared" si="4"/>
        <v>7.3885220371780704E-17</v>
      </c>
      <c r="S21">
        <f t="shared" si="5"/>
        <v>12.066504470095063</v>
      </c>
      <c r="T21">
        <f t="shared" si="6"/>
        <v>90</v>
      </c>
      <c r="V21" s="2">
        <f t="shared" si="19"/>
        <v>120.66504470095063</v>
      </c>
      <c r="Y21">
        <f t="shared" si="7"/>
        <v>7.388522037178071E-15</v>
      </c>
      <c r="Z21">
        <f t="shared" si="8"/>
        <v>6520.6650447009506</v>
      </c>
    </row>
    <row r="22" spans="1:26" x14ac:dyDescent="0.2">
      <c r="A22" s="2">
        <v>9</v>
      </c>
      <c r="B22" s="2">
        <f t="shared" si="9"/>
        <v>3.663318078941483</v>
      </c>
      <c r="C22" s="2">
        <f t="shared" si="12"/>
        <v>-1.9449553887585737E-17</v>
      </c>
      <c r="D22" s="2">
        <f t="shared" si="13"/>
        <v>30.871990537479036</v>
      </c>
      <c r="E22" s="2">
        <f t="shared" si="0"/>
        <v>1.5707963267948966</v>
      </c>
      <c r="F22" s="8">
        <f t="shared" si="14"/>
        <v>1.8903193070228867E-15</v>
      </c>
      <c r="G22" s="2">
        <f t="shared" si="15"/>
        <v>9.2788413442009585E-15</v>
      </c>
      <c r="H22" s="2">
        <f t="shared" si="16"/>
        <v>30.871990537479036</v>
      </c>
      <c r="I22" s="2">
        <f t="shared" si="17"/>
        <v>151.53703523842967</v>
      </c>
      <c r="J22" s="2">
        <f t="shared" si="10"/>
        <v>1.1994660265778863</v>
      </c>
      <c r="K22" s="2">
        <f t="shared" si="11"/>
        <v>942.74968712470547</v>
      </c>
      <c r="L22" s="2">
        <f t="shared" si="18"/>
        <v>9.8061840176524839</v>
      </c>
      <c r="M22" s="2">
        <f t="shared" si="1"/>
        <v>41154.02680348869</v>
      </c>
      <c r="N22">
        <f t="shared" si="2"/>
        <v>0.57159342020660808</v>
      </c>
      <c r="O22" s="2">
        <f t="shared" si="3"/>
        <v>555267</v>
      </c>
      <c r="P22" s="2">
        <v>1</v>
      </c>
      <c r="R22">
        <f t="shared" si="4"/>
        <v>9.2788413442009587E-17</v>
      </c>
      <c r="S22">
        <f t="shared" si="5"/>
        <v>15.153703523842967</v>
      </c>
      <c r="T22">
        <f t="shared" si="6"/>
        <v>90</v>
      </c>
      <c r="V22" s="2">
        <f t="shared" si="19"/>
        <v>151.53703523842967</v>
      </c>
      <c r="Y22">
        <f t="shared" si="7"/>
        <v>9.2788413442009585E-15</v>
      </c>
      <c r="Z22">
        <f t="shared" si="8"/>
        <v>6551.5370352384298</v>
      </c>
    </row>
    <row r="23" spans="1:26" x14ac:dyDescent="0.2">
      <c r="A23" s="2">
        <v>10</v>
      </c>
      <c r="B23" s="2">
        <f t="shared" si="9"/>
        <v>3.7089807070329126</v>
      </c>
      <c r="C23" s="2">
        <f t="shared" si="12"/>
        <v>-1.7386195894795408E-17</v>
      </c>
      <c r="D23" s="2">
        <f t="shared" si="13"/>
        <v>34.535308616420522</v>
      </c>
      <c r="E23" s="2">
        <f t="shared" si="0"/>
        <v>1.5707963267948966</v>
      </c>
      <c r="F23" s="8">
        <f t="shared" si="14"/>
        <v>2.1146160657345707E-15</v>
      </c>
      <c r="G23" s="2">
        <f t="shared" si="15"/>
        <v>1.139345740993553E-14</v>
      </c>
      <c r="H23" s="2">
        <f t="shared" si="16"/>
        <v>34.535308616420522</v>
      </c>
      <c r="I23" s="2">
        <f t="shared" si="17"/>
        <v>186.0723438548502</v>
      </c>
      <c r="J23" s="2">
        <f t="shared" si="10"/>
        <v>1.1937217036618128</v>
      </c>
      <c r="K23" s="2">
        <f t="shared" si="11"/>
        <v>1174.1104492231852</v>
      </c>
      <c r="L23" s="2">
        <f t="shared" si="18"/>
        <v>9.8060778248664136</v>
      </c>
      <c r="M23" s="2">
        <f t="shared" si="1"/>
        <v>40998.186448320761</v>
      </c>
      <c r="N23">
        <f t="shared" si="2"/>
        <v>0.7118685018274884</v>
      </c>
      <c r="O23" s="2">
        <f t="shared" si="3"/>
        <v>555267</v>
      </c>
      <c r="P23" s="2">
        <v>1</v>
      </c>
      <c r="R23">
        <f t="shared" si="4"/>
        <v>1.1393457409935528E-16</v>
      </c>
      <c r="S23">
        <f t="shared" si="5"/>
        <v>18.607234385485022</v>
      </c>
      <c r="T23">
        <f t="shared" si="6"/>
        <v>90</v>
      </c>
      <c r="V23" s="2">
        <f t="shared" si="19"/>
        <v>186.0723438548502</v>
      </c>
      <c r="Y23">
        <f t="shared" si="7"/>
        <v>1.139345740993553E-14</v>
      </c>
      <c r="Z23">
        <f t="shared" si="8"/>
        <v>6586.0723438548503</v>
      </c>
    </row>
    <row r="24" spans="1:26" x14ac:dyDescent="0.2">
      <c r="A24" s="2">
        <v>11</v>
      </c>
      <c r="B24" s="2">
        <f t="shared" si="9"/>
        <v>3.754347711114109</v>
      </c>
      <c r="C24" s="2">
        <f t="shared" si="12"/>
        <v>-1.5699804061419439E-17</v>
      </c>
      <c r="D24" s="2">
        <f t="shared" si="13"/>
        <v>38.244289323453437</v>
      </c>
      <c r="E24" s="2">
        <f t="shared" si="0"/>
        <v>1.5707963267948966</v>
      </c>
      <c r="F24" s="8">
        <f t="shared" si="14"/>
        <v>2.3417049666466297E-15</v>
      </c>
      <c r="G24" s="2">
        <f t="shared" si="15"/>
        <v>1.3735162376582159E-14</v>
      </c>
      <c r="H24" s="2">
        <f t="shared" si="16"/>
        <v>38.244289323453437</v>
      </c>
      <c r="I24" s="2">
        <f t="shared" si="17"/>
        <v>224.31663317830365</v>
      </c>
      <c r="J24" s="2">
        <f t="shared" si="10"/>
        <v>1.1873925538070924</v>
      </c>
      <c r="K24" s="2">
        <f t="shared" si="11"/>
        <v>1432.2099666297306</v>
      </c>
      <c r="L24" s="2">
        <f t="shared" si="18"/>
        <v>9.805960229330573</v>
      </c>
      <c r="M24" s="2">
        <f t="shared" si="1"/>
        <v>40842.346093152839</v>
      </c>
      <c r="N24">
        <f t="shared" si="2"/>
        <v>0.86835541232228619</v>
      </c>
      <c r="O24" s="2">
        <f t="shared" si="3"/>
        <v>555267</v>
      </c>
      <c r="P24" s="2">
        <v>1</v>
      </c>
      <c r="R24">
        <f t="shared" si="4"/>
        <v>1.373516237658216E-16</v>
      </c>
      <c r="S24">
        <f t="shared" si="5"/>
        <v>22.431663317830363</v>
      </c>
      <c r="T24">
        <f t="shared" si="6"/>
        <v>90</v>
      </c>
      <c r="V24" s="2">
        <f t="shared" si="19"/>
        <v>224.31663317830365</v>
      </c>
      <c r="Y24">
        <f t="shared" si="7"/>
        <v>1.3735162376582159E-14</v>
      </c>
      <c r="Z24">
        <f t="shared" si="8"/>
        <v>6624.3166331783041</v>
      </c>
    </row>
    <row r="25" spans="1:26" x14ac:dyDescent="0.2">
      <c r="A25" s="2">
        <v>12</v>
      </c>
      <c r="B25" s="2">
        <f t="shared" si="9"/>
        <v>3.7994131771248334</v>
      </c>
      <c r="C25" s="2">
        <f t="shared" si="12"/>
        <v>-1.429610796495819E-17</v>
      </c>
      <c r="D25" s="2">
        <f t="shared" si="13"/>
        <v>41.998637034567544</v>
      </c>
      <c r="E25" s="2">
        <f t="shared" si="0"/>
        <v>1.5707963267948966</v>
      </c>
      <c r="F25" s="8">
        <f t="shared" si="14"/>
        <v>2.5715674440900144E-15</v>
      </c>
      <c r="G25" s="2">
        <f t="shared" si="15"/>
        <v>1.6306729820672173E-14</v>
      </c>
      <c r="H25" s="2">
        <f t="shared" si="16"/>
        <v>41.998637034567544</v>
      </c>
      <c r="I25" s="2">
        <f t="shared" si="17"/>
        <v>266.31527021287121</v>
      </c>
      <c r="J25" s="2">
        <f t="shared" si="10"/>
        <v>1.1804807405887225</v>
      </c>
      <c r="K25" s="2">
        <f t="shared" si="11"/>
        <v>1717.1509707499013</v>
      </c>
      <c r="L25" s="2">
        <f t="shared" si="18"/>
        <v>9.8058310921675282</v>
      </c>
      <c r="M25" s="2">
        <f t="shared" si="1"/>
        <v>40686.505737984917</v>
      </c>
      <c r="N25">
        <f t="shared" si="2"/>
        <v>1.0411164382091176</v>
      </c>
      <c r="O25" s="2">
        <f t="shared" si="3"/>
        <v>555267</v>
      </c>
      <c r="P25" s="2">
        <v>1</v>
      </c>
      <c r="R25">
        <f t="shared" si="4"/>
        <v>1.6306729820672172E-16</v>
      </c>
      <c r="S25">
        <f t="shared" si="5"/>
        <v>26.63152702128712</v>
      </c>
      <c r="T25">
        <f t="shared" si="6"/>
        <v>90</v>
      </c>
      <c r="V25" s="2">
        <f t="shared" si="19"/>
        <v>266.31527021287121</v>
      </c>
      <c r="Y25">
        <f t="shared" si="7"/>
        <v>1.6306729820672173E-14</v>
      </c>
      <c r="Z25">
        <f t="shared" si="8"/>
        <v>6666.3152702128709</v>
      </c>
    </row>
    <row r="26" spans="1:26" x14ac:dyDescent="0.2">
      <c r="A26" s="2">
        <v>13</v>
      </c>
      <c r="B26" s="2">
        <f t="shared" si="9"/>
        <v>3.8441736917666169</v>
      </c>
      <c r="C26" s="2">
        <f t="shared" si="12"/>
        <v>-1.3109842490727906E-17</v>
      </c>
      <c r="D26" s="2">
        <f t="shared" si="13"/>
        <v>45.798050211692377</v>
      </c>
      <c r="E26" s="2">
        <f t="shared" si="0"/>
        <v>1.5707963267948966</v>
      </c>
      <c r="F26" s="8">
        <f t="shared" si="14"/>
        <v>2.8041845545859483E-15</v>
      </c>
      <c r="G26" s="2">
        <f t="shared" si="15"/>
        <v>1.9110914375258122E-14</v>
      </c>
      <c r="H26" s="2">
        <f t="shared" si="16"/>
        <v>45.798050211692377</v>
      </c>
      <c r="I26" s="2">
        <f t="shared" si="17"/>
        <v>312.1133204245636</v>
      </c>
      <c r="J26" s="2">
        <f t="shared" si="10"/>
        <v>1.1729894989857697</v>
      </c>
      <c r="K26" s="2">
        <f t="shared" si="11"/>
        <v>2028.9310218007533</v>
      </c>
      <c r="L26" s="2">
        <f t="shared" si="18"/>
        <v>9.8056902754986464</v>
      </c>
      <c r="M26" s="2">
        <f t="shared" si="1"/>
        <v>40530.665382816995</v>
      </c>
      <c r="N26">
        <f t="shared" si="2"/>
        <v>1.230150100236495</v>
      </c>
      <c r="O26" s="2">
        <f t="shared" si="3"/>
        <v>555267</v>
      </c>
      <c r="P26" s="2">
        <v>1</v>
      </c>
      <c r="R26">
        <f t="shared" si="4"/>
        <v>1.9110914375258122E-16</v>
      </c>
      <c r="S26">
        <f t="shared" si="5"/>
        <v>31.211332042456359</v>
      </c>
      <c r="T26">
        <f t="shared" si="6"/>
        <v>90</v>
      </c>
      <c r="V26" s="2">
        <f t="shared" si="19"/>
        <v>312.1133204245636</v>
      </c>
      <c r="Y26">
        <f t="shared" si="7"/>
        <v>1.9110914375258122E-14</v>
      </c>
      <c r="Z26">
        <f t="shared" si="8"/>
        <v>6712.1133204245634</v>
      </c>
    </row>
    <row r="27" spans="1:26" x14ac:dyDescent="0.2">
      <c r="A27" s="2">
        <v>14</v>
      </c>
      <c r="B27" s="2">
        <f t="shared" si="9"/>
        <v>3.8886284622388185</v>
      </c>
      <c r="C27" s="2">
        <f t="shared" si="12"/>
        <v>-1.209438879623088E-17</v>
      </c>
      <c r="D27" s="2">
        <f t="shared" si="13"/>
        <v>49.642223903458998</v>
      </c>
      <c r="E27" s="2">
        <f t="shared" si="0"/>
        <v>1.5707963267948966</v>
      </c>
      <c r="F27" s="8">
        <f t="shared" si="14"/>
        <v>3.0395371299500255E-15</v>
      </c>
      <c r="G27" s="2">
        <f t="shared" si="15"/>
        <v>2.2150451505208148E-14</v>
      </c>
      <c r="H27" s="2">
        <f t="shared" si="16"/>
        <v>49.642223903458998</v>
      </c>
      <c r="I27" s="2">
        <f t="shared" si="17"/>
        <v>361.75554432802261</v>
      </c>
      <c r="J27" s="2">
        <f t="shared" si="10"/>
        <v>1.1649231435272964</v>
      </c>
      <c r="K27" s="2">
        <f t="shared" si="11"/>
        <v>2367.4396233459947</v>
      </c>
      <c r="L27" s="2">
        <f t="shared" si="18"/>
        <v>9.805537642456942</v>
      </c>
      <c r="M27" s="2">
        <f t="shared" si="1"/>
        <v>40374.825027649073</v>
      </c>
      <c r="N27">
        <f t="shared" si="2"/>
        <v>1.4353894039128761</v>
      </c>
      <c r="O27" s="2">
        <f t="shared" si="3"/>
        <v>555267</v>
      </c>
      <c r="P27" s="2">
        <v>1</v>
      </c>
      <c r="R27">
        <f t="shared" si="4"/>
        <v>2.2150451505208149E-16</v>
      </c>
      <c r="S27">
        <f t="shared" si="5"/>
        <v>36.175554432802258</v>
      </c>
      <c r="T27">
        <f t="shared" si="6"/>
        <v>90</v>
      </c>
      <c r="V27" s="2">
        <f t="shared" si="19"/>
        <v>361.75554432802261</v>
      </c>
      <c r="Y27">
        <f t="shared" si="7"/>
        <v>2.2150451505208148E-14</v>
      </c>
      <c r="Z27">
        <f t="shared" si="8"/>
        <v>6761.7555443280226</v>
      </c>
    </row>
    <row r="28" spans="1:26" x14ac:dyDescent="0.2">
      <c r="A28" s="2">
        <v>15</v>
      </c>
      <c r="B28" s="2">
        <f t="shared" si="9"/>
        <v>3.9327794237431331</v>
      </c>
      <c r="C28" s="2">
        <f t="shared" si="12"/>
        <v>-1.1215558893875221E-17</v>
      </c>
      <c r="D28" s="2">
        <f t="shared" si="13"/>
        <v>53.530852365697818</v>
      </c>
      <c r="E28" s="2">
        <f t="shared" si="0"/>
        <v>1.5707963267948966</v>
      </c>
      <c r="F28" s="8">
        <f t="shared" si="14"/>
        <v>3.2776059377272759E-15</v>
      </c>
      <c r="G28" s="2">
        <f t="shared" si="15"/>
        <v>2.5428057442935422E-14</v>
      </c>
      <c r="H28" s="2">
        <f t="shared" si="16"/>
        <v>53.530852365697818</v>
      </c>
      <c r="I28" s="2">
        <f t="shared" si="17"/>
        <v>415.28639669372041</v>
      </c>
      <c r="J28" s="2">
        <f t="shared" si="10"/>
        <v>1.1562870726304491</v>
      </c>
      <c r="K28" s="2">
        <f t="shared" si="11"/>
        <v>2732.4559410656375</v>
      </c>
      <c r="L28" s="2">
        <f t="shared" si="18"/>
        <v>9.8053730571918827</v>
      </c>
      <c r="M28" s="2">
        <f t="shared" si="1"/>
        <v>40218.98467248115</v>
      </c>
      <c r="N28">
        <f t="shared" si="2"/>
        <v>1.6567004563863348</v>
      </c>
      <c r="O28" s="2">
        <f t="shared" si="3"/>
        <v>555267</v>
      </c>
      <c r="P28" s="2">
        <v>1</v>
      </c>
      <c r="R28">
        <f t="shared" si="4"/>
        <v>2.542805744293542E-16</v>
      </c>
      <c r="S28">
        <f t="shared" si="5"/>
        <v>41.528639669372041</v>
      </c>
      <c r="T28">
        <f t="shared" si="6"/>
        <v>90</v>
      </c>
      <c r="V28" s="2">
        <f t="shared" si="19"/>
        <v>415.28639669372041</v>
      </c>
      <c r="Y28">
        <f t="shared" si="7"/>
        <v>2.5428057442935422E-14</v>
      </c>
      <c r="Z28">
        <f t="shared" si="8"/>
        <v>6815.2863966937202</v>
      </c>
    </row>
    <row r="29" spans="1:26" x14ac:dyDescent="0.2">
      <c r="A29" s="2">
        <v>16</v>
      </c>
      <c r="B29" s="2">
        <f t="shared" si="9"/>
        <v>3.9766313336343195</v>
      </c>
      <c r="C29" s="2">
        <f t="shared" si="12"/>
        <v>-1.0447711019056449E-17</v>
      </c>
      <c r="D29" s="2">
        <f t="shared" si="13"/>
        <v>57.463631789440953</v>
      </c>
      <c r="E29" s="2">
        <f t="shared" si="0"/>
        <v>1.5707963267948966</v>
      </c>
      <c r="F29" s="8">
        <f t="shared" si="14"/>
        <v>3.5183718482061923E-15</v>
      </c>
      <c r="G29" s="2">
        <f t="shared" si="15"/>
        <v>2.8946429291141617E-14</v>
      </c>
      <c r="H29" s="2">
        <f t="shared" si="16"/>
        <v>57.463631789440953</v>
      </c>
      <c r="I29" s="2">
        <f t="shared" si="17"/>
        <v>472.75002848316137</v>
      </c>
      <c r="J29" s="2">
        <f t="shared" si="10"/>
        <v>1.1470877690424535</v>
      </c>
      <c r="K29" s="2">
        <f t="shared" si="11"/>
        <v>3123.647157382587</v>
      </c>
      <c r="L29" s="2">
        <f t="shared" si="18"/>
        <v>9.8051963848657859</v>
      </c>
      <c r="M29" s="2">
        <f t="shared" si="1"/>
        <v>40063.144317313228</v>
      </c>
      <c r="N29">
        <f t="shared" si="2"/>
        <v>1.8938814688471857</v>
      </c>
      <c r="O29" s="2">
        <f t="shared" si="3"/>
        <v>555267</v>
      </c>
      <c r="P29" s="2">
        <v>1</v>
      </c>
      <c r="R29">
        <f t="shared" si="4"/>
        <v>2.894642929114162E-16</v>
      </c>
      <c r="S29">
        <f t="shared" si="5"/>
        <v>47.275002848316134</v>
      </c>
      <c r="T29">
        <f t="shared" si="6"/>
        <v>90</v>
      </c>
      <c r="V29" s="2">
        <f t="shared" si="19"/>
        <v>472.75002848316137</v>
      </c>
      <c r="Y29">
        <f t="shared" si="7"/>
        <v>2.8946429291141617E-14</v>
      </c>
      <c r="Z29">
        <f t="shared" si="8"/>
        <v>6872.7500284831613</v>
      </c>
    </row>
    <row r="30" spans="1:26" x14ac:dyDescent="0.2">
      <c r="A30" s="2">
        <v>17</v>
      </c>
      <c r="B30" s="2">
        <f t="shared" si="9"/>
        <v>4.0201918512051478</v>
      </c>
      <c r="C30" s="2">
        <f t="shared" si="12"/>
        <v>-9.7712360484710747E-18</v>
      </c>
      <c r="D30" s="2">
        <f t="shared" si="13"/>
        <v>61.440263123075269</v>
      </c>
      <c r="E30" s="2">
        <f t="shared" si="0"/>
        <v>1.5707963267948966</v>
      </c>
      <c r="F30" s="8">
        <f t="shared" si="14"/>
        <v>3.7618160071908056E-15</v>
      </c>
      <c r="G30" s="2">
        <f t="shared" si="15"/>
        <v>3.2708245298332421E-14</v>
      </c>
      <c r="H30" s="2">
        <f t="shared" si="16"/>
        <v>61.440263123075269</v>
      </c>
      <c r="I30" s="2">
        <f t="shared" si="17"/>
        <v>534.19029160623666</v>
      </c>
      <c r="J30" s="2">
        <f t="shared" si="10"/>
        <v>1.137332796322128</v>
      </c>
      <c r="K30" s="2">
        <f t="shared" si="11"/>
        <v>3540.5674877640936</v>
      </c>
      <c r="L30" s="2">
        <f t="shared" si="18"/>
        <v>9.8050074916415841</v>
      </c>
      <c r="M30" s="2">
        <f t="shared" si="1"/>
        <v>39907.303962145299</v>
      </c>
      <c r="N30">
        <f t="shared" si="2"/>
        <v>2.1466621601070828</v>
      </c>
      <c r="O30" s="2">
        <f t="shared" si="3"/>
        <v>555267</v>
      </c>
      <c r="P30" s="2">
        <v>1</v>
      </c>
      <c r="R30">
        <f t="shared" si="4"/>
        <v>3.2708245298332421E-16</v>
      </c>
      <c r="S30">
        <f t="shared" si="5"/>
        <v>53.419029160623666</v>
      </c>
      <c r="T30">
        <f t="shared" si="6"/>
        <v>90</v>
      </c>
      <c r="V30" s="2">
        <f t="shared" si="19"/>
        <v>534.19029160623666</v>
      </c>
      <c r="Y30">
        <f t="shared" si="7"/>
        <v>3.2708245298332421E-14</v>
      </c>
      <c r="Z30">
        <f t="shared" si="8"/>
        <v>6934.1902916062363</v>
      </c>
    </row>
    <row r="31" spans="1:26" x14ac:dyDescent="0.2">
      <c r="A31" s="2">
        <v>18</v>
      </c>
      <c r="B31" s="2">
        <f t="shared" si="9"/>
        <v>4.0634716022188542</v>
      </c>
      <c r="C31" s="2">
        <f t="shared" si="12"/>
        <v>-9.170881782460471E-18</v>
      </c>
      <c r="D31" s="2">
        <f t="shared" si="13"/>
        <v>65.460454974280424</v>
      </c>
      <c r="E31" s="2">
        <f t="shared" si="0"/>
        <v>1.5707963267948966</v>
      </c>
      <c r="F31" s="8">
        <f t="shared" si="14"/>
        <v>4.0079200136477471E-15</v>
      </c>
      <c r="G31" s="2">
        <f t="shared" si="15"/>
        <v>3.6716165311980171E-14</v>
      </c>
      <c r="H31" s="2">
        <f t="shared" si="16"/>
        <v>65.460454974280424</v>
      </c>
      <c r="I31" s="2">
        <f t="shared" si="17"/>
        <v>599.65074658051708</v>
      </c>
      <c r="J31" s="2">
        <f t="shared" si="10"/>
        <v>1.1270307913212569</v>
      </c>
      <c r="K31" s="2">
        <f t="shared" si="11"/>
        <v>3982.6578782792553</v>
      </c>
      <c r="L31" s="2">
        <f t="shared" si="18"/>
        <v>9.8048062446616466</v>
      </c>
      <c r="M31" s="2">
        <f t="shared" si="1"/>
        <v>39751.463606977377</v>
      </c>
      <c r="N31">
        <f t="shared" si="2"/>
        <v>2.4147035732267565</v>
      </c>
      <c r="O31" s="2">
        <f t="shared" si="3"/>
        <v>555267</v>
      </c>
      <c r="P31" s="2">
        <v>1</v>
      </c>
      <c r="R31">
        <f t="shared" si="4"/>
        <v>3.6716165311980173E-16</v>
      </c>
      <c r="S31">
        <f t="shared" si="5"/>
        <v>59.965074658051705</v>
      </c>
      <c r="T31">
        <f t="shared" si="6"/>
        <v>90</v>
      </c>
      <c r="V31" s="2">
        <f t="shared" si="19"/>
        <v>599.65074658051708</v>
      </c>
      <c r="Y31">
        <f t="shared" si="7"/>
        <v>3.6716165311980171E-14</v>
      </c>
      <c r="Z31">
        <f t="shared" si="8"/>
        <v>6999.6507465805171</v>
      </c>
    </row>
    <row r="32" spans="1:26" x14ac:dyDescent="0.2">
      <c r="A32" s="2">
        <v>19</v>
      </c>
      <c r="B32" s="2">
        <f t="shared" si="9"/>
        <v>4.1064842274404025</v>
      </c>
      <c r="C32" s="2">
        <f t="shared" si="12"/>
        <v>-8.6346064046189676E-18</v>
      </c>
      <c r="D32" s="2">
        <f t="shared" si="13"/>
        <v>69.523926576499278</v>
      </c>
      <c r="E32" s="2">
        <f t="shared" si="0"/>
        <v>1.5707963267948966</v>
      </c>
      <c r="F32" s="8">
        <f t="shared" si="14"/>
        <v>4.2566661012908751E-15</v>
      </c>
      <c r="G32" s="2">
        <f t="shared" si="15"/>
        <v>4.0972831413271047E-14</v>
      </c>
      <c r="H32" s="2">
        <f t="shared" si="16"/>
        <v>69.523926576499278</v>
      </c>
      <c r="I32" s="2">
        <f t="shared" si="17"/>
        <v>669.1746731570164</v>
      </c>
      <c r="J32" s="2">
        <f t="shared" si="10"/>
        <v>1.1161914526515677</v>
      </c>
      <c r="K32" s="2">
        <f t="shared" si="11"/>
        <v>4449.246397416674</v>
      </c>
      <c r="L32" s="2">
        <f t="shared" si="18"/>
        <v>9.8045925120174573</v>
      </c>
      <c r="M32" s="2">
        <f t="shared" si="1"/>
        <v>39595.623251809455</v>
      </c>
      <c r="N32">
        <f t="shared" si="2"/>
        <v>2.6975983130768424</v>
      </c>
      <c r="O32" s="2">
        <f t="shared" si="3"/>
        <v>555267</v>
      </c>
      <c r="P32" s="2">
        <v>1</v>
      </c>
      <c r="R32">
        <f t="shared" si="4"/>
        <v>4.0972831413271046E-16</v>
      </c>
      <c r="S32">
        <f t="shared" si="5"/>
        <v>66.917467315701643</v>
      </c>
      <c r="T32">
        <f t="shared" si="6"/>
        <v>90</v>
      </c>
      <c r="V32" s="2">
        <f t="shared" si="19"/>
        <v>669.1746731570164</v>
      </c>
      <c r="Y32">
        <f t="shared" si="7"/>
        <v>4.0972831413271047E-14</v>
      </c>
      <c r="Z32">
        <f t="shared" si="8"/>
        <v>7069.1746731570165</v>
      </c>
    </row>
    <row r="33" spans="1:26" x14ac:dyDescent="0.2">
      <c r="A33" s="2">
        <v>20</v>
      </c>
      <c r="B33" s="2">
        <f t="shared" si="9"/>
        <v>4.1492464145668801</v>
      </c>
      <c r="C33" s="2">
        <f t="shared" si="12"/>
        <v>-8.1527759065892958E-18</v>
      </c>
      <c r="D33" s="2">
        <f t="shared" si="13"/>
        <v>73.630410803939682</v>
      </c>
      <c r="E33" s="2">
        <f t="shared" si="0"/>
        <v>1.5707963267948966</v>
      </c>
      <c r="F33" s="8">
        <f t="shared" si="14"/>
        <v>4.5080373231200169E-15</v>
      </c>
      <c r="G33" s="2">
        <f t="shared" si="15"/>
        <v>4.5480868736391066E-14</v>
      </c>
      <c r="H33" s="2">
        <f t="shared" si="16"/>
        <v>73.630410803939682</v>
      </c>
      <c r="I33" s="2">
        <f t="shared" si="17"/>
        <v>742.80508396095604</v>
      </c>
      <c r="J33" s="2">
        <f t="shared" si="10"/>
        <v>1.1048255251488086</v>
      </c>
      <c r="K33" s="2">
        <f t="shared" si="11"/>
        <v>4939.5493283489632</v>
      </c>
      <c r="L33" s="2">
        <f t="shared" si="18"/>
        <v>9.8043661627101066</v>
      </c>
      <c r="M33" s="2">
        <f t="shared" si="1"/>
        <v>39439.782896641533</v>
      </c>
      <c r="N33">
        <f t="shared" si="2"/>
        <v>2.9948712085828153</v>
      </c>
      <c r="O33" s="2">
        <f t="shared" si="3"/>
        <v>555267</v>
      </c>
      <c r="P33" s="2">
        <v>1</v>
      </c>
      <c r="R33">
        <f t="shared" si="4"/>
        <v>4.5480868736391067E-16</v>
      </c>
      <c r="S33">
        <f t="shared" si="5"/>
        <v>74.280508396095598</v>
      </c>
      <c r="T33">
        <f t="shared" si="6"/>
        <v>90</v>
      </c>
      <c r="V33" s="2">
        <f t="shared" si="19"/>
        <v>742.80508396095604</v>
      </c>
      <c r="Y33">
        <f t="shared" si="7"/>
        <v>4.5480868736391066E-14</v>
      </c>
      <c r="Z33">
        <f t="shared" si="8"/>
        <v>7142.8050839609559</v>
      </c>
    </row>
    <row r="34" spans="1:26" x14ac:dyDescent="0.2">
      <c r="A34" s="2">
        <v>21</v>
      </c>
      <c r="B34" s="2">
        <f t="shared" si="9"/>
        <v>4.1917779131154997</v>
      </c>
      <c r="C34" s="2">
        <f t="shared" si="12"/>
        <v>-7.7175908229334809E-18</v>
      </c>
      <c r="D34" s="2">
        <f t="shared" si="13"/>
        <v>77.779657218506557</v>
      </c>
      <c r="E34" s="2">
        <f t="shared" si="0"/>
        <v>1.5707963267948966</v>
      </c>
      <c r="F34" s="8">
        <f t="shared" si="14"/>
        <v>4.7620177378936424E-15</v>
      </c>
      <c r="G34" s="2">
        <f t="shared" si="15"/>
        <v>5.0242886474284709E-14</v>
      </c>
      <c r="H34" s="2">
        <f t="shared" si="16"/>
        <v>77.779657218506557</v>
      </c>
      <c r="I34" s="2">
        <f t="shared" si="17"/>
        <v>820.58474117946264</v>
      </c>
      <c r="J34" s="2">
        <f t="shared" si="10"/>
        <v>1.0929447803712831</v>
      </c>
      <c r="K34" s="2">
        <f t="shared" si="11"/>
        <v>5452.672960879092</v>
      </c>
      <c r="L34" s="2">
        <f t="shared" si="18"/>
        <v>9.804127066601346</v>
      </c>
      <c r="M34" s="2">
        <f t="shared" si="1"/>
        <v>39283.942541473611</v>
      </c>
      <c r="N34">
        <f t="shared" si="2"/>
        <v>3.305980399190203</v>
      </c>
      <c r="O34" s="2">
        <f t="shared" si="3"/>
        <v>555267</v>
      </c>
      <c r="P34" s="2">
        <v>1</v>
      </c>
      <c r="R34">
        <f t="shared" si="4"/>
        <v>5.0242886474284709E-16</v>
      </c>
      <c r="S34">
        <f t="shared" si="5"/>
        <v>82.058474117946261</v>
      </c>
      <c r="T34">
        <f t="shared" si="6"/>
        <v>90</v>
      </c>
      <c r="V34" s="2">
        <f t="shared" si="19"/>
        <v>820.58474117946264</v>
      </c>
      <c r="Y34">
        <f t="shared" si="7"/>
        <v>5.0242886474284709E-14</v>
      </c>
      <c r="Z34">
        <f t="shared" si="8"/>
        <v>7220.584741179463</v>
      </c>
    </row>
    <row r="35" spans="1:26" x14ac:dyDescent="0.2">
      <c r="A35" s="2">
        <v>22</v>
      </c>
      <c r="B35" s="2">
        <f t="shared" si="9"/>
        <v>4.2341015319916089</v>
      </c>
      <c r="C35" s="2">
        <f t="shared" si="12"/>
        <v>-7.322669313719619E-18</v>
      </c>
      <c r="D35" s="2">
        <f t="shared" si="13"/>
        <v>81.971435131622059</v>
      </c>
      <c r="E35" s="2">
        <f t="shared" si="0"/>
        <v>1.5707963267948966</v>
      </c>
      <c r="F35" s="8">
        <f t="shared" si="14"/>
        <v>5.0185925974881806E-15</v>
      </c>
      <c r="G35" s="2">
        <f t="shared" si="15"/>
        <v>5.5261479071772889E-14</v>
      </c>
      <c r="H35" s="2">
        <f t="shared" si="16"/>
        <v>81.971435131622059</v>
      </c>
      <c r="I35" s="2">
        <f t="shared" si="17"/>
        <v>902.55617631108476</v>
      </c>
      <c r="J35" s="2">
        <f t="shared" si="10"/>
        <v>1.0805619931958528</v>
      </c>
      <c r="K35" s="2">
        <f t="shared" si="11"/>
        <v>5987.6160753275299</v>
      </c>
      <c r="L35" s="2">
        <f t="shared" si="18"/>
        <v>9.8038750943552966</v>
      </c>
      <c r="M35" s="2">
        <f t="shared" si="1"/>
        <v>39128.102186305689</v>
      </c>
      <c r="N35">
        <f t="shared" si="2"/>
        <v>3.63031884085665</v>
      </c>
      <c r="O35" s="2">
        <f t="shared" si="3"/>
        <v>555267</v>
      </c>
      <c r="P35" s="2">
        <v>1</v>
      </c>
      <c r="R35">
        <f t="shared" si="4"/>
        <v>5.5261479071772887E-16</v>
      </c>
      <c r="S35">
        <f t="shared" si="5"/>
        <v>90.255617631108478</v>
      </c>
      <c r="T35">
        <f t="shared" si="6"/>
        <v>90</v>
      </c>
      <c r="V35" s="2">
        <f t="shared" si="19"/>
        <v>902.55617631108476</v>
      </c>
      <c r="Y35">
        <f t="shared" si="7"/>
        <v>5.5261479071772889E-14</v>
      </c>
      <c r="Z35">
        <f t="shared" si="8"/>
        <v>7302.5561763110845</v>
      </c>
    </row>
    <row r="36" spans="1:26" x14ac:dyDescent="0.2">
      <c r="A36" s="2">
        <v>23</v>
      </c>
      <c r="B36" s="2">
        <f t="shared" si="9"/>
        <v>4.2762431196270239</v>
      </c>
      <c r="C36" s="2">
        <f t="shared" si="12"/>
        <v>-6.9627390106618497E-18</v>
      </c>
      <c r="D36" s="2">
        <f t="shared" si="13"/>
        <v>86.205536663613671</v>
      </c>
      <c r="E36" s="2">
        <f t="shared" si="0"/>
        <v>1.5707963267948966</v>
      </c>
      <c r="F36" s="8">
        <f t="shared" si="14"/>
        <v>5.2777485340796956E-15</v>
      </c>
      <c r="G36" s="2">
        <f t="shared" si="15"/>
        <v>6.0539227605852578E-14</v>
      </c>
      <c r="H36" s="2">
        <f t="shared" si="16"/>
        <v>86.205536663613671</v>
      </c>
      <c r="I36" s="2">
        <f t="shared" si="17"/>
        <v>988.76171297469841</v>
      </c>
      <c r="J36" s="2">
        <f t="shared" si="10"/>
        <v>1.0676909145996265</v>
      </c>
      <c r="K36" s="2">
        <f t="shared" si="11"/>
        <v>6543.2731037298254</v>
      </c>
      <c r="L36" s="2">
        <f t="shared" si="18"/>
        <v>9.803610117370761</v>
      </c>
      <c r="M36" s="2">
        <f t="shared" si="1"/>
        <v>38972.261831137759</v>
      </c>
      <c r="N36">
        <f t="shared" si="2"/>
        <v>3.96721622270038</v>
      </c>
      <c r="O36" s="2">
        <f t="shared" si="3"/>
        <v>555267</v>
      </c>
      <c r="P36" s="2">
        <v>1</v>
      </c>
      <c r="R36">
        <f t="shared" si="4"/>
        <v>6.0539227605852575E-16</v>
      </c>
      <c r="S36">
        <f t="shared" si="5"/>
        <v>98.876171297469838</v>
      </c>
      <c r="T36">
        <f t="shared" si="6"/>
        <v>90</v>
      </c>
      <c r="V36" s="2">
        <f t="shared" si="19"/>
        <v>988.76171297469841</v>
      </c>
      <c r="Y36">
        <f t="shared" si="7"/>
        <v>6.0539227605852578E-14</v>
      </c>
      <c r="Z36">
        <f t="shared" si="8"/>
        <v>7388.7617129746986</v>
      </c>
    </row>
    <row r="37" spans="1:26" x14ac:dyDescent="0.2">
      <c r="A37" s="3">
        <v>24</v>
      </c>
      <c r="B37" s="3">
        <f t="shared" si="9"/>
        <v>4.3240871337159117</v>
      </c>
      <c r="C37" s="3">
        <f t="shared" si="12"/>
        <v>-3.7442272705380114E-3</v>
      </c>
      <c r="D37" s="3">
        <f t="shared" si="13"/>
        <v>90.481779783240697</v>
      </c>
      <c r="E37" s="3">
        <f>PI()/2-G2</f>
        <v>1.5362268360525464</v>
      </c>
      <c r="F37" s="9">
        <f t="shared" si="14"/>
        <v>3.126757021775739</v>
      </c>
      <c r="G37" s="3">
        <f t="shared" si="15"/>
        <v>3.1267570217757994</v>
      </c>
      <c r="H37" s="3">
        <f t="shared" si="16"/>
        <v>90.427720055785414</v>
      </c>
      <c r="I37" s="3">
        <f t="shared" si="17"/>
        <v>1079.1894330304838</v>
      </c>
      <c r="J37" s="3">
        <f t="shared" si="10"/>
        <v>1.0543541637153331</v>
      </c>
      <c r="K37" s="3">
        <f t="shared" si="11"/>
        <v>7118.4914391345137</v>
      </c>
      <c r="L37" s="3">
        <f t="shared" si="18"/>
        <v>9.8033321738615484</v>
      </c>
      <c r="M37" s="3">
        <f t="shared" si="1"/>
        <v>38816.421475969837</v>
      </c>
      <c r="N37" s="1">
        <f t="shared" si="2"/>
        <v>4.315973713887991</v>
      </c>
      <c r="O37" s="3">
        <f t="shared" si="3"/>
        <v>555267</v>
      </c>
      <c r="P37" s="2">
        <v>1</v>
      </c>
      <c r="R37">
        <f t="shared" si="4"/>
        <v>3.1267570217757994E-2</v>
      </c>
      <c r="S37">
        <f t="shared" si="5"/>
        <v>107.91894330304838</v>
      </c>
      <c r="T37">
        <f t="shared" si="6"/>
        <v>88.019314080546778</v>
      </c>
      <c r="V37" s="2">
        <f t="shared" si="19"/>
        <v>1079.1894330304838</v>
      </c>
      <c r="Y37">
        <f t="shared" si="7"/>
        <v>3.1248888928240812</v>
      </c>
      <c r="Z37">
        <f t="shared" si="8"/>
        <v>7479.189433030484</v>
      </c>
    </row>
    <row r="38" spans="1:26" x14ac:dyDescent="0.2">
      <c r="A38" s="2">
        <v>25</v>
      </c>
      <c r="B38" s="2">
        <f t="shared" si="9"/>
        <v>4.3672645434209194</v>
      </c>
      <c r="C38" s="2">
        <f t="shared" si="12"/>
        <v>-3.9601462061835558E-3</v>
      </c>
      <c r="D38" s="2">
        <f t="shared" si="13"/>
        <v>94.805866916956603</v>
      </c>
      <c r="E38" s="2">
        <f t="shared" ref="E38:E49" si="20">E37+C37</f>
        <v>1.5324826087820085</v>
      </c>
      <c r="F38" s="8">
        <f t="shared" si="14"/>
        <v>3.6308083517888612</v>
      </c>
      <c r="G38" s="2">
        <f t="shared" si="15"/>
        <v>6.7575653735646606</v>
      </c>
      <c r="H38" s="2">
        <f t="shared" si="16"/>
        <v>94.736290719753541</v>
      </c>
      <c r="I38" s="2">
        <f t="shared" si="17"/>
        <v>1173.9257237502372</v>
      </c>
      <c r="J38" s="2">
        <f t="shared" si="10"/>
        <v>1.0405606144097086</v>
      </c>
      <c r="K38" s="2">
        <f t="shared" si="11"/>
        <v>7712.8874103825574</v>
      </c>
      <c r="L38" s="2">
        <f t="shared" si="18"/>
        <v>9.803040999975579</v>
      </c>
      <c r="M38" s="2">
        <f t="shared" si="1"/>
        <v>38660.581120801915</v>
      </c>
      <c r="N38">
        <f t="shared" si="2"/>
        <v>4.676358692851931</v>
      </c>
      <c r="O38" s="2">
        <f t="shared" si="3"/>
        <v>555267</v>
      </c>
      <c r="P38" s="2">
        <v>1</v>
      </c>
      <c r="R38">
        <f t="shared" si="4"/>
        <v>6.7575653735646612E-2</v>
      </c>
      <c r="S38">
        <f t="shared" si="5"/>
        <v>117.39257237502372</v>
      </c>
      <c r="T38">
        <f t="shared" si="6"/>
        <v>87.804785660407148</v>
      </c>
      <c r="V38" s="2">
        <f t="shared" si="19"/>
        <v>1173.9257237502372</v>
      </c>
      <c r="Y38">
        <f t="shared" si="7"/>
        <v>6.7526061266706305</v>
      </c>
      <c r="Z38">
        <f t="shared" si="8"/>
        <v>7573.925723750237</v>
      </c>
    </row>
    <row r="39" spans="1:26" x14ac:dyDescent="0.2">
      <c r="A39" s="2">
        <v>26</v>
      </c>
      <c r="B39" s="2">
        <f t="shared" si="9"/>
        <v>4.4105735292505308</v>
      </c>
      <c r="C39" s="2">
        <f t="shared" si="12"/>
        <v>-4.1766451398650758E-3</v>
      </c>
      <c r="D39" s="2">
        <f t="shared" si="13"/>
        <v>99.173131460377519</v>
      </c>
      <c r="E39" s="2">
        <f t="shared" si="20"/>
        <v>1.5285224625758249</v>
      </c>
      <c r="F39" s="8">
        <f t="shared" si="14"/>
        <v>4.1903465358012095</v>
      </c>
      <c r="G39" s="2">
        <f t="shared" si="15"/>
        <v>10.947911909365871</v>
      </c>
      <c r="H39" s="2">
        <f t="shared" si="16"/>
        <v>99.084529516597684</v>
      </c>
      <c r="I39" s="2">
        <f t="shared" si="17"/>
        <v>1273.010253266835</v>
      </c>
      <c r="J39" s="2">
        <f t="shared" si="10"/>
        <v>1.0263269927346894</v>
      </c>
      <c r="K39" s="2">
        <f t="shared" si="11"/>
        <v>8324.4008477642656</v>
      </c>
      <c r="L39" s="2">
        <f t="shared" si="18"/>
        <v>9.8027364755696542</v>
      </c>
      <c r="M39" s="2">
        <f t="shared" si="1"/>
        <v>38504.740765633993</v>
      </c>
      <c r="N39">
        <f t="shared" si="2"/>
        <v>5.047122069333513</v>
      </c>
      <c r="O39" s="2">
        <f t="shared" si="3"/>
        <v>555267</v>
      </c>
      <c r="P39" s="2">
        <v>1</v>
      </c>
      <c r="R39">
        <f t="shared" si="4"/>
        <v>0.10947911909365871</v>
      </c>
      <c r="S39">
        <f t="shared" si="5"/>
        <v>127.3010253266835</v>
      </c>
      <c r="T39">
        <f t="shared" si="6"/>
        <v>87.5778859965381</v>
      </c>
      <c r="V39" s="2">
        <f t="shared" si="19"/>
        <v>1273.010253266835</v>
      </c>
      <c r="Y39">
        <f t="shared" si="7"/>
        <v>10.938130971109548</v>
      </c>
      <c r="Z39">
        <f t="shared" si="8"/>
        <v>7673.0102532668352</v>
      </c>
    </row>
    <row r="40" spans="1:26" x14ac:dyDescent="0.2">
      <c r="A40" s="2">
        <v>27</v>
      </c>
      <c r="B40" s="2">
        <f t="shared" si="9"/>
        <v>4.454075213719209</v>
      </c>
      <c r="C40" s="2">
        <f t="shared" si="12"/>
        <v>-4.3934083245413666E-3</v>
      </c>
      <c r="D40" s="2">
        <f t="shared" si="13"/>
        <v>103.58370498962805</v>
      </c>
      <c r="E40" s="2">
        <f t="shared" si="20"/>
        <v>1.5243458174359599</v>
      </c>
      <c r="F40" s="8">
        <f t="shared" si="14"/>
        <v>4.8087479730358016</v>
      </c>
      <c r="G40" s="2">
        <f t="shared" si="15"/>
        <v>15.756659882401673</v>
      </c>
      <c r="H40" s="2">
        <f t="shared" si="16"/>
        <v>103.4719763998622</v>
      </c>
      <c r="I40" s="2">
        <f t="shared" si="17"/>
        <v>1376.4822296666971</v>
      </c>
      <c r="J40" s="2">
        <f t="shared" si="10"/>
        <v>1.0116708881110619</v>
      </c>
      <c r="K40" s="2">
        <f t="shared" si="11"/>
        <v>8951.6133439245277</v>
      </c>
      <c r="L40" s="2">
        <f t="shared" si="18"/>
        <v>9.8024184820183535</v>
      </c>
      <c r="M40" s="2">
        <f t="shared" si="1"/>
        <v>38348.900410466071</v>
      </c>
      <c r="N40">
        <f t="shared" si="2"/>
        <v>5.4274038565065119</v>
      </c>
      <c r="O40" s="2">
        <f t="shared" si="3"/>
        <v>555267</v>
      </c>
      <c r="P40" s="2">
        <v>1</v>
      </c>
      <c r="R40">
        <f t="shared" si="4"/>
        <v>0.15756659882401672</v>
      </c>
      <c r="S40">
        <f t="shared" si="5"/>
        <v>137.64822296666972</v>
      </c>
      <c r="T40">
        <f t="shared" si="6"/>
        <v>87.338581857500003</v>
      </c>
      <c r="V40" s="2">
        <f t="shared" si="19"/>
        <v>1376.4822296666971</v>
      </c>
      <c r="Y40">
        <f t="shared" si="7"/>
        <v>15.73966426143738</v>
      </c>
      <c r="Z40">
        <f t="shared" si="8"/>
        <v>7776.4822296666971</v>
      </c>
    </row>
    <row r="41" spans="1:26" x14ac:dyDescent="0.2">
      <c r="A41" s="2">
        <v>28</v>
      </c>
      <c r="B41" s="2">
        <f t="shared" si="9"/>
        <v>4.4978344633485801</v>
      </c>
      <c r="C41" s="2">
        <f t="shared" si="12"/>
        <v>-4.6101355891148832E-3</v>
      </c>
      <c r="D41" s="2">
        <f t="shared" si="13"/>
        <v>108.03778020334725</v>
      </c>
      <c r="E41" s="2">
        <f t="shared" si="20"/>
        <v>1.5199524091114185</v>
      </c>
      <c r="F41" s="8">
        <f t="shared" si="14"/>
        <v>5.4894200417792414</v>
      </c>
      <c r="G41" s="2">
        <f t="shared" si="15"/>
        <v>21.246079924180915</v>
      </c>
      <c r="H41" s="2">
        <f t="shared" si="16"/>
        <v>107.89816583669769</v>
      </c>
      <c r="I41" s="2">
        <f t="shared" si="17"/>
        <v>1484.3803955033948</v>
      </c>
      <c r="J41" s="2">
        <f t="shared" si="10"/>
        <v>0.99661071025492465</v>
      </c>
      <c r="K41" s="2">
        <f t="shared" si="11"/>
        <v>9593.035139060341</v>
      </c>
      <c r="L41" s="2">
        <f t="shared" si="18"/>
        <v>9.8020869022330253</v>
      </c>
      <c r="M41" s="2">
        <f t="shared" si="1"/>
        <v>38193.060055298149</v>
      </c>
      <c r="N41">
        <f t="shared" si="2"/>
        <v>5.8163008062312418</v>
      </c>
      <c r="O41" s="2">
        <f t="shared" si="3"/>
        <v>555267</v>
      </c>
      <c r="P41" s="2">
        <v>1</v>
      </c>
      <c r="R41">
        <f t="shared" si="4"/>
        <v>0.21246079924180916</v>
      </c>
      <c r="S41">
        <f t="shared" si="5"/>
        <v>148.43803955033948</v>
      </c>
      <c r="T41">
        <f t="shared" si="6"/>
        <v>87.086858102826142</v>
      </c>
      <c r="V41" s="2">
        <f t="shared" si="19"/>
        <v>1484.3803955033948</v>
      </c>
      <c r="Y41">
        <f t="shared" si="7"/>
        <v>21.218624176878279</v>
      </c>
      <c r="Z41">
        <f t="shared" si="8"/>
        <v>7884.3803955033945</v>
      </c>
    </row>
    <row r="42" spans="1:26" x14ac:dyDescent="0.2">
      <c r="A42" s="2">
        <v>29</v>
      </c>
      <c r="B42" s="2">
        <f t="shared" si="9"/>
        <v>4.5419197012664956</v>
      </c>
      <c r="C42" s="2">
        <f t="shared" si="12"/>
        <v>-4.8265408124443781E-3</v>
      </c>
      <c r="D42" s="2">
        <f t="shared" si="13"/>
        <v>112.53561466669584</v>
      </c>
      <c r="E42" s="2">
        <f t="shared" si="20"/>
        <v>1.5153422735223037</v>
      </c>
      <c r="F42" s="8">
        <f t="shared" si="14"/>
        <v>6.2357968772538195</v>
      </c>
      <c r="G42" s="2">
        <f t="shared" si="15"/>
        <v>27.481876801434733</v>
      </c>
      <c r="H42" s="2">
        <f t="shared" si="16"/>
        <v>112.36262694218129</v>
      </c>
      <c r="I42" s="2">
        <f t="shared" si="17"/>
        <v>1596.7430224455761</v>
      </c>
      <c r="J42" s="2">
        <f t="shared" si="10"/>
        <v>0.98116564291258501</v>
      </c>
      <c r="K42" s="2">
        <f t="shared" si="11"/>
        <v>10247.112105175715</v>
      </c>
      <c r="L42" s="2">
        <f t="shared" si="18"/>
        <v>9.8017416206803034</v>
      </c>
      <c r="M42" s="2">
        <f t="shared" si="1"/>
        <v>38037.219700130227</v>
      </c>
      <c r="N42">
        <f t="shared" si="2"/>
        <v>6.2128706436400476</v>
      </c>
      <c r="O42" s="2">
        <f t="shared" si="3"/>
        <v>555267</v>
      </c>
      <c r="P42" s="2">
        <v>1</v>
      </c>
      <c r="R42">
        <f t="shared" si="4"/>
        <v>0.27481876801434735</v>
      </c>
      <c r="S42">
        <f t="shared" si="5"/>
        <v>159.67430224455762</v>
      </c>
      <c r="T42">
        <f t="shared" si="6"/>
        <v>86.822716790586796</v>
      </c>
      <c r="V42" s="2">
        <f t="shared" si="19"/>
        <v>1596.7430224455761</v>
      </c>
      <c r="Y42">
        <f t="shared" si="7"/>
        <v>27.439632154285928</v>
      </c>
      <c r="Z42">
        <f t="shared" si="8"/>
        <v>7996.7430224455766</v>
      </c>
    </row>
    <row r="43" spans="1:26" x14ac:dyDescent="0.2">
      <c r="A43" s="2">
        <v>30</v>
      </c>
      <c r="B43" s="2">
        <f t="shared" si="9"/>
        <v>4.5864027003754462</v>
      </c>
      <c r="C43" s="2">
        <f t="shared" si="12"/>
        <v>-5.0423505126848825E-3</v>
      </c>
      <c r="D43" s="2">
        <f t="shared" si="13"/>
        <v>117.07753436796233</v>
      </c>
      <c r="E43" s="2">
        <f t="shared" si="20"/>
        <v>1.5105157327098593</v>
      </c>
      <c r="F43" s="8">
        <f t="shared" si="14"/>
        <v>7.0513353855754319</v>
      </c>
      <c r="G43" s="2">
        <f t="shared" si="15"/>
        <v>34.533212187010164</v>
      </c>
      <c r="H43" s="2">
        <f t="shared" si="16"/>
        <v>116.86488352638133</v>
      </c>
      <c r="I43" s="2">
        <f t="shared" si="17"/>
        <v>1713.6079059719575</v>
      </c>
      <c r="J43" s="2">
        <f t="shared" si="10"/>
        <v>0.96535559458685161</v>
      </c>
      <c r="K43" s="2">
        <f t="shared" si="11"/>
        <v>10912.233077820038</v>
      </c>
      <c r="L43" s="2">
        <f t="shared" si="18"/>
        <v>9.8013825234004912</v>
      </c>
      <c r="M43" s="2">
        <f t="shared" si="1"/>
        <v>37881.379344962297</v>
      </c>
      <c r="N43">
        <f t="shared" si="2"/>
        <v>6.616136512403604</v>
      </c>
      <c r="O43" s="2">
        <f t="shared" si="3"/>
        <v>555267</v>
      </c>
      <c r="P43" s="2">
        <v>1</v>
      </c>
      <c r="R43">
        <f t="shared" si="4"/>
        <v>0.34533212187010165</v>
      </c>
      <c r="S43">
        <f t="shared" si="5"/>
        <v>171.36079059719575</v>
      </c>
      <c r="T43">
        <f t="shared" si="6"/>
        <v>86.546176372386086</v>
      </c>
      <c r="V43" s="2">
        <f t="shared" si="19"/>
        <v>1713.6079059719575</v>
      </c>
      <c r="Y43">
        <f t="shared" si="7"/>
        <v>34.470488653637972</v>
      </c>
      <c r="Z43">
        <f t="shared" si="8"/>
        <v>8113.6079059719577</v>
      </c>
    </row>
    <row r="44" spans="1:26" x14ac:dyDescent="0.2">
      <c r="A44" s="2">
        <v>31</v>
      </c>
      <c r="B44" s="2">
        <f t="shared" si="9"/>
        <v>4.6313583586651088</v>
      </c>
      <c r="C44" s="2">
        <f t="shared" ref="C44:C49" si="21">-((L44/D44)-(D44/(6378000+(I44))))*COS(E44)</f>
        <v>-5.2573025519688094E-3</v>
      </c>
      <c r="D44" s="2">
        <f t="shared" ref="D44:D49" si="22">B43+D43</f>
        <v>121.66393706833777</v>
      </c>
      <c r="E44" s="2">
        <f t="shared" si="20"/>
        <v>1.5054733821971744</v>
      </c>
      <c r="F44" s="8">
        <f t="shared" ref="F44:F49" si="23">((6378000/(6378000+(I44)))*D44*COS(E44))</f>
        <v>7.9395114776151585</v>
      </c>
      <c r="G44" s="2">
        <f t="shared" ref="G44:G49" si="24">F44+G43</f>
        <v>42.47272366462532</v>
      </c>
      <c r="H44" s="2">
        <f t="shared" ref="H44:H49" si="25">D44*SIN(E44)</f>
        <v>121.40445405009982</v>
      </c>
      <c r="I44" s="2">
        <f t="shared" ref="I44:I49" si="26">H44+I43</f>
        <v>1835.0123600220572</v>
      </c>
      <c r="J44" s="2">
        <f t="shared" si="10"/>
        <v>0.94920114645477227</v>
      </c>
      <c r="K44" s="2">
        <f t="shared" si="11"/>
        <v>11586.737470615857</v>
      </c>
      <c r="L44" s="2">
        <f t="shared" ref="L44:L49" si="27">((9.80665)/(1+(I44/6378000))^2)</f>
        <v>9.8010094980259943</v>
      </c>
      <c r="M44" s="2">
        <f t="shared" si="1"/>
        <v>37725.538989794375</v>
      </c>
      <c r="N44">
        <f t="shared" si="2"/>
        <v>7.0250915914537062</v>
      </c>
      <c r="O44" s="2">
        <f t="shared" si="3"/>
        <v>555267</v>
      </c>
      <c r="P44" s="2">
        <v>1</v>
      </c>
      <c r="R44">
        <f t="shared" si="4"/>
        <v>0.42472723664625323</v>
      </c>
      <c r="S44">
        <f t="shared" si="5"/>
        <v>183.50123600220573</v>
      </c>
      <c r="T44">
        <f t="shared" si="6"/>
        <v>86.257270969183622</v>
      </c>
      <c r="V44" s="2">
        <f t="shared" si="19"/>
        <v>1835.0123600220572</v>
      </c>
      <c r="Y44">
        <f t="shared" si="7"/>
        <v>42.382138477306476</v>
      </c>
      <c r="Z44">
        <f t="shared" si="8"/>
        <v>8235.0123600220577</v>
      </c>
    </row>
    <row r="45" spans="1:26" x14ac:dyDescent="0.2">
      <c r="A45" s="2">
        <v>32</v>
      </c>
      <c r="B45" s="2">
        <f t="shared" si="9"/>
        <v>4.6768644583142205</v>
      </c>
      <c r="C45" s="2">
        <f t="shared" si="21"/>
        <v>-5.4711449557453082E-3</v>
      </c>
      <c r="D45" s="2">
        <f t="shared" si="22"/>
        <v>126.29529542700288</v>
      </c>
      <c r="E45" s="2">
        <f t="shared" si="20"/>
        <v>1.5002160796452055</v>
      </c>
      <c r="F45" s="8">
        <f t="shared" si="23"/>
        <v>8.9038165067131612</v>
      </c>
      <c r="G45" s="2">
        <f t="shared" si="24"/>
        <v>51.376540171338483</v>
      </c>
      <c r="H45" s="2">
        <f t="shared" si="25"/>
        <v>125.9808514861957</v>
      </c>
      <c r="I45" s="2">
        <f t="shared" si="26"/>
        <v>1960.9932115082529</v>
      </c>
      <c r="J45" s="2">
        <f t="shared" si="10"/>
        <v>0.93272349769267537</v>
      </c>
      <c r="K45" s="2">
        <f t="shared" si="11"/>
        <v>12268.923106447404</v>
      </c>
      <c r="L45" s="2">
        <f t="shared" si="27"/>
        <v>9.8006224338002106</v>
      </c>
      <c r="M45" s="2">
        <f t="shared" si="1"/>
        <v>37569.698634626453</v>
      </c>
      <c r="N45">
        <f t="shared" si="2"/>
        <v>7.438703843068482</v>
      </c>
      <c r="O45" s="2">
        <f t="shared" si="3"/>
        <v>555267</v>
      </c>
      <c r="P45" s="2">
        <v>1</v>
      </c>
      <c r="R45">
        <f t="shared" si="4"/>
        <v>0.51376540171338481</v>
      </c>
      <c r="S45">
        <f t="shared" si="5"/>
        <v>196.09932115082529</v>
      </c>
      <c r="T45">
        <f t="shared" si="6"/>
        <v>85.956049721332448</v>
      </c>
      <c r="V45" s="2">
        <f t="shared" si="19"/>
        <v>1960.9932115082529</v>
      </c>
      <c r="Y45">
        <f t="shared" si="7"/>
        <v>51.248625337283151</v>
      </c>
      <c r="Z45">
        <f t="shared" si="8"/>
        <v>8360.993211508252</v>
      </c>
    </row>
    <row r="46" spans="1:26" x14ac:dyDescent="0.2">
      <c r="A46" s="2">
        <v>33</v>
      </c>
      <c r="B46" s="2">
        <f t="shared" si="9"/>
        <v>4.7230014102812152</v>
      </c>
      <c r="C46" s="2">
        <f t="shared" si="21"/>
        <v>-5.6836348455170061E-3</v>
      </c>
      <c r="D46" s="2">
        <f t="shared" si="22"/>
        <v>130.9721598853171</v>
      </c>
      <c r="E46" s="2">
        <f t="shared" si="20"/>
        <v>1.4947449346894601</v>
      </c>
      <c r="F46" s="8">
        <f t="shared" si="23"/>
        <v>9.9477538943599804</v>
      </c>
      <c r="G46" s="2">
        <f t="shared" si="24"/>
        <v>61.324294065698467</v>
      </c>
      <c r="H46" s="2">
        <f t="shared" si="25"/>
        <v>130.59358308448392</v>
      </c>
      <c r="I46" s="2">
        <f t="shared" si="26"/>
        <v>2091.5867945927366</v>
      </c>
      <c r="J46" s="2">
        <f t="shared" si="10"/>
        <v>0.91594440843879354</v>
      </c>
      <c r="K46" s="2">
        <f t="shared" si="11"/>
        <v>12957.054198667645</v>
      </c>
      <c r="L46" s="2">
        <f t="shared" si="27"/>
        <v>9.8002212215970275</v>
      </c>
      <c r="M46" s="2">
        <f t="shared" si="1"/>
        <v>37413.858279458531</v>
      </c>
      <c r="N46">
        <f t="shared" si="2"/>
        <v>7.8559208519144859</v>
      </c>
      <c r="O46" s="2">
        <f t="shared" si="3"/>
        <v>555267</v>
      </c>
      <c r="P46" s="2">
        <v>1</v>
      </c>
      <c r="R46">
        <f t="shared" si="4"/>
        <v>0.6132429406569847</v>
      </c>
      <c r="S46">
        <f t="shared" si="5"/>
        <v>209.15867945927366</v>
      </c>
      <c r="T46">
        <f t="shared" si="6"/>
        <v>85.642576206263954</v>
      </c>
      <c r="V46" s="2">
        <f t="shared" si="19"/>
        <v>2091.5867945927366</v>
      </c>
      <c r="Y46">
        <f t="shared" si="7"/>
        <v>61.147035363688254</v>
      </c>
      <c r="Z46">
        <f t="shared" si="8"/>
        <v>8491.5867945927366</v>
      </c>
    </row>
    <row r="47" spans="1:26" x14ac:dyDescent="0.2">
      <c r="A47" s="2">
        <v>34</v>
      </c>
      <c r="B47" s="2">
        <f t="shared" si="9"/>
        <v>4.7698519861206456</v>
      </c>
      <c r="C47" s="2">
        <f t="shared" si="21"/>
        <v>-5.8945374832265526E-3</v>
      </c>
      <c r="D47" s="2">
        <f t="shared" si="22"/>
        <v>135.69516129559833</v>
      </c>
      <c r="E47" s="2">
        <f t="shared" si="20"/>
        <v>1.4890612998439432</v>
      </c>
      <c r="F47" s="8">
        <f t="shared" si="23"/>
        <v>11.074835928169763</v>
      </c>
      <c r="G47" s="2">
        <f t="shared" si="24"/>
        <v>72.399129993868229</v>
      </c>
      <c r="H47" s="2">
        <f t="shared" si="25"/>
        <v>135.2421500394004</v>
      </c>
      <c r="I47" s="2">
        <f t="shared" si="26"/>
        <v>2226.8289446321369</v>
      </c>
      <c r="J47" s="2">
        <f t="shared" si="10"/>
        <v>0.89888614063669314</v>
      </c>
      <c r="K47" s="2">
        <f t="shared" si="11"/>
        <v>13649.36941606779</v>
      </c>
      <c r="L47" s="2">
        <f t="shared" si="27"/>
        <v>9.7998057539413885</v>
      </c>
      <c r="M47" s="2">
        <f t="shared" si="1"/>
        <v>37258.017924290609</v>
      </c>
      <c r="N47">
        <f t="shared" si="2"/>
        <v>8.2756747148743841</v>
      </c>
      <c r="O47" s="2">
        <f t="shared" si="3"/>
        <v>555267</v>
      </c>
      <c r="P47" s="2">
        <v>1</v>
      </c>
      <c r="R47">
        <f t="shared" si="4"/>
        <v>0.72399129993868228</v>
      </c>
      <c r="S47">
        <f t="shared" si="5"/>
        <v>222.6828944632137</v>
      </c>
      <c r="T47">
        <f t="shared" si="6"/>
        <v>85.316927917322332</v>
      </c>
      <c r="V47" s="2">
        <f t="shared" si="19"/>
        <v>2226.8289446321369</v>
      </c>
      <c r="Y47">
        <f t="shared" si="7"/>
        <v>72.157429254409209</v>
      </c>
      <c r="Z47">
        <f t="shared" si="8"/>
        <v>8626.828944632136</v>
      </c>
    </row>
    <row r="48" spans="1:26" x14ac:dyDescent="0.2">
      <c r="A48" s="2">
        <v>35</v>
      </c>
      <c r="B48" s="2">
        <f t="shared" si="9"/>
        <v>4.8175010387847035</v>
      </c>
      <c r="C48" s="2">
        <f t="shared" si="21"/>
        <v>-6.1036254251261059E-3</v>
      </c>
      <c r="D48" s="2">
        <f t="shared" si="22"/>
        <v>140.46501328171897</v>
      </c>
      <c r="E48" s="2">
        <f t="shared" si="20"/>
        <v>1.4831667623607165</v>
      </c>
      <c r="F48" s="8">
        <f t="shared" si="23"/>
        <v>12.288580716729475</v>
      </c>
      <c r="G48" s="2">
        <f t="shared" si="24"/>
        <v>84.687710710597699</v>
      </c>
      <c r="H48" s="2">
        <f t="shared" si="25"/>
        <v>139.92604706089671</v>
      </c>
      <c r="I48" s="2">
        <f t="shared" si="26"/>
        <v>2366.7549916930334</v>
      </c>
      <c r="J48" s="2">
        <f t="shared" si="10"/>
        <v>0.88157139701411547</v>
      </c>
      <c r="K48" s="2">
        <f t="shared" si="11"/>
        <v>14344.08996660199</v>
      </c>
      <c r="L48" s="2">
        <f t="shared" si="27"/>
        <v>9.7993759250310646</v>
      </c>
      <c r="M48" s="2">
        <f t="shared" si="1"/>
        <v>37102.177569122687</v>
      </c>
      <c r="N48">
        <f t="shared" si="2"/>
        <v>8.6968869422459676</v>
      </c>
      <c r="O48" s="2">
        <f t="shared" si="3"/>
        <v>555267</v>
      </c>
      <c r="P48" s="2">
        <v>1</v>
      </c>
      <c r="R48">
        <f t="shared" si="4"/>
        <v>0.84687710710597697</v>
      </c>
      <c r="S48">
        <f t="shared" si="5"/>
        <v>236.67549916930335</v>
      </c>
      <c r="T48">
        <f t="shared" si="6"/>
        <v>84.979195797351792</v>
      </c>
      <c r="V48" s="2">
        <f t="shared" si="19"/>
        <v>2366.7549916930334</v>
      </c>
      <c r="Y48">
        <f t="shared" si="7"/>
        <v>84.362762779967923</v>
      </c>
      <c r="Z48">
        <f t="shared" si="8"/>
        <v>8766.7549916930329</v>
      </c>
    </row>
    <row r="49" spans="1:26" x14ac:dyDescent="0.2">
      <c r="A49" s="2">
        <v>36</v>
      </c>
      <c r="B49" s="2">
        <f t="shared" si="9"/>
        <v>4.8660352141756515</v>
      </c>
      <c r="C49" s="2">
        <f t="shared" si="21"/>
        <v>-6.3106777825934733E-3</v>
      </c>
      <c r="D49" s="2">
        <f t="shared" si="22"/>
        <v>145.28251432050368</v>
      </c>
      <c r="E49" s="2">
        <f t="shared" si="20"/>
        <v>1.4770631369355904</v>
      </c>
      <c r="F49" s="8">
        <f t="shared" si="23"/>
        <v>13.59250928622547</v>
      </c>
      <c r="G49" s="2">
        <f t="shared" si="24"/>
        <v>98.280219996823163</v>
      </c>
      <c r="H49" s="2">
        <f t="shared" si="25"/>
        <v>144.64476185035386</v>
      </c>
      <c r="I49" s="2">
        <f t="shared" si="26"/>
        <v>2511.3997535433873</v>
      </c>
      <c r="J49" s="2">
        <f t="shared" si="10"/>
        <v>0.86402325846162875</v>
      </c>
      <c r="K49" s="2">
        <f t="shared" si="11"/>
        <v>15039.427636919778</v>
      </c>
      <c r="L49" s="2">
        <f t="shared" si="27"/>
        <v>9.798931630760034</v>
      </c>
      <c r="M49" s="2">
        <f t="shared" si="1"/>
        <v>36946.337213954757</v>
      </c>
      <c r="N49">
        <f t="shared" si="2"/>
        <v>9.1184733321472216</v>
      </c>
      <c r="O49" s="2">
        <f t="shared" si="3"/>
        <v>555267</v>
      </c>
      <c r="P49" s="2">
        <v>1</v>
      </c>
      <c r="R49">
        <f t="shared" si="4"/>
        <v>0.98280219996823159</v>
      </c>
      <c r="S49">
        <f t="shared" si="5"/>
        <v>251.13997535433873</v>
      </c>
      <c r="T49">
        <f t="shared" si="6"/>
        <v>84.629483820763312</v>
      </c>
      <c r="V49" s="2">
        <f t="shared" si="19"/>
        <v>2511.3997535433873</v>
      </c>
      <c r="Y49">
        <f t="shared" si="7"/>
        <v>97.848795380013669</v>
      </c>
      <c r="Z49">
        <f t="shared" si="8"/>
        <v>8911.3997535433882</v>
      </c>
    </row>
    <row r="50" spans="1:26" x14ac:dyDescent="0.2">
      <c r="A50" s="2">
        <v>37</v>
      </c>
      <c r="B50" s="2">
        <f t="shared" si="9"/>
        <v>4.9155426552077923</v>
      </c>
      <c r="C50" s="2">
        <f t="shared" ref="C50" si="28">-((L50/D50)-(D50/(6378000+(I50))))*COS(E50)</f>
        <v>-6.5154795870255352E-3</v>
      </c>
      <c r="D50" s="2">
        <f t="shared" ref="D50" si="29">B49+D49</f>
        <v>150.14854953467932</v>
      </c>
      <c r="E50" s="2">
        <f>E49+C49</f>
        <v>1.470752459152997</v>
      </c>
      <c r="F50" s="8">
        <f t="shared" ref="F50" si="30">((6378000/(6378000+(I50)))*D50*COS(E50))</f>
        <v>14.99014280413277</v>
      </c>
      <c r="G50" s="2">
        <f t="shared" ref="G50" si="31">F50+G49</f>
        <v>113.27036280095594</v>
      </c>
      <c r="H50" s="2">
        <f t="shared" ref="H50" si="32">D50*SIN(E50)</f>
        <v>149.39777448465929</v>
      </c>
      <c r="I50" s="2">
        <f t="shared" ref="I50" si="33">H50+I49</f>
        <v>2660.7975280280466</v>
      </c>
      <c r="J50" s="2">
        <f t="shared" si="10"/>
        <v>0.84626512008362575</v>
      </c>
      <c r="K50" s="2">
        <f t="shared" si="11"/>
        <v>15733.592727563253</v>
      </c>
      <c r="L50" s="2">
        <f t="shared" ref="L50" si="34">((9.80665)/(1+(I50/6378000))^2)</f>
        <v>9.798472768743709</v>
      </c>
      <c r="M50" s="2">
        <f t="shared" si="1"/>
        <v>36790.496858786835</v>
      </c>
      <c r="N50">
        <f t="shared" si="2"/>
        <v>9.5393487816624294</v>
      </c>
      <c r="O50" s="2">
        <f t="shared" si="3"/>
        <v>555267</v>
      </c>
      <c r="P50" s="2">
        <v>1</v>
      </c>
      <c r="R50">
        <f t="shared" si="4"/>
        <v>1.1327036280095593</v>
      </c>
      <c r="S50">
        <f t="shared" si="5"/>
        <v>266.07975280280465</v>
      </c>
      <c r="T50">
        <f t="shared" si="6"/>
        <v>84.267908617953736</v>
      </c>
      <c r="V50" s="2">
        <f t="shared" si="19"/>
        <v>2660.7975280280466</v>
      </c>
      <c r="Y50">
        <f t="shared" si="7"/>
        <v>112.70398661842722</v>
      </c>
      <c r="Z50">
        <f t="shared" si="8"/>
        <v>9060.7975280280461</v>
      </c>
    </row>
    <row r="51" spans="1:26" x14ac:dyDescent="0.2">
      <c r="A51" s="2">
        <v>38</v>
      </c>
      <c r="B51" s="2">
        <f t="shared" si="9"/>
        <v>4.9661127001168364</v>
      </c>
      <c r="C51" s="2">
        <f t="shared" ref="C51:C58" si="35">-((L51/D51)-(D51/(6378000+(I51))))*COS(E51)</f>
        <v>-6.717821255630271E-3</v>
      </c>
      <c r="D51" s="2">
        <f t="shared" ref="D51:D58" si="36">B50+D50</f>
        <v>155.06409218988711</v>
      </c>
      <c r="E51" s="2">
        <f t="shared" ref="E51:E58" si="37">E50+C50</f>
        <v>1.4642369795659715</v>
      </c>
      <c r="F51" s="8">
        <f t="shared" ref="F51:F58" si="38">((6378000/(6378000+(I51)))*D51*COS(E51))</f>
        <v>16.48499991570759</v>
      </c>
      <c r="G51" s="2">
        <f t="shared" ref="G51:G58" si="39">F51+G50</f>
        <v>129.75536271666351</v>
      </c>
      <c r="H51" s="2">
        <f t="shared" ref="H51:H58" si="40">D51*SIN(E51)</f>
        <v>154.18455671294797</v>
      </c>
      <c r="I51" s="2">
        <f t="shared" ref="I51:I58" si="41">H51+I50</f>
        <v>2814.9820847409947</v>
      </c>
      <c r="J51" s="2">
        <f t="shared" si="10"/>
        <v>0.82832062620068692</v>
      </c>
      <c r="K51" s="2">
        <f t="shared" si="11"/>
        <v>16424.801827160038</v>
      </c>
      <c r="L51" s="2">
        <f t="shared" ref="L51:L58" si="42">((9.80665)/(1+(I51/6378000))^2)</f>
        <v>9.7979992383462431</v>
      </c>
      <c r="M51" s="2">
        <f t="shared" si="1"/>
        <v>36634.656503618913</v>
      </c>
      <c r="N51">
        <f t="shared" si="2"/>
        <v>9.9584320003707205</v>
      </c>
      <c r="O51" s="2">
        <f t="shared" si="3"/>
        <v>555267</v>
      </c>
      <c r="P51" s="2">
        <v>1</v>
      </c>
      <c r="R51">
        <f t="shared" si="4"/>
        <v>1.297553627166635</v>
      </c>
      <c r="S51">
        <f t="shared" si="5"/>
        <v>281.49820847409944</v>
      </c>
      <c r="T51">
        <f t="shared" si="6"/>
        <v>83.894599136113541</v>
      </c>
      <c r="V51" s="2">
        <f t="shared" si="19"/>
        <v>2814.9820847409947</v>
      </c>
      <c r="Y51">
        <f t="shared" si="7"/>
        <v>129.01938030306476</v>
      </c>
      <c r="Z51">
        <f t="shared" si="8"/>
        <v>9214.9820847409937</v>
      </c>
    </row>
    <row r="52" spans="1:26" x14ac:dyDescent="0.2">
      <c r="A52" s="2">
        <v>39</v>
      </c>
      <c r="B52" s="2">
        <f t="shared" si="9"/>
        <v>5.017835576721831</v>
      </c>
      <c r="C52" s="2">
        <f t="shared" si="35"/>
        <v>-6.9174981546465649E-3</v>
      </c>
      <c r="D52" s="2">
        <f t="shared" si="36"/>
        <v>160.03020489000394</v>
      </c>
      <c r="E52" s="2">
        <f t="shared" si="37"/>
        <v>1.4575191583103413</v>
      </c>
      <c r="F52" s="8">
        <f t="shared" si="38"/>
        <v>18.080594179557931</v>
      </c>
      <c r="G52" s="2">
        <f t="shared" si="39"/>
        <v>147.83595689622143</v>
      </c>
      <c r="H52" s="2">
        <f t="shared" si="40"/>
        <v>159.00457117183967</v>
      </c>
      <c r="I52" s="2">
        <f t="shared" si="41"/>
        <v>2973.9866559128345</v>
      </c>
      <c r="J52" s="2">
        <f t="shared" si="10"/>
        <v>0.81021360458713887</v>
      </c>
      <c r="K52" s="2">
        <f t="shared" si="11"/>
        <v>17111.285372999286</v>
      </c>
      <c r="L52" s="2">
        <f t="shared" si="42"/>
        <v>9.7975109407102199</v>
      </c>
      <c r="M52" s="2">
        <f t="shared" si="1"/>
        <v>36478.816148450991</v>
      </c>
      <c r="N52">
        <f t="shared" si="2"/>
        <v>10.374650094357646</v>
      </c>
      <c r="O52" s="2">
        <f t="shared" si="3"/>
        <v>555267</v>
      </c>
      <c r="P52" s="2">
        <v>1</v>
      </c>
      <c r="R52">
        <f t="shared" si="4"/>
        <v>1.4783595689622144</v>
      </c>
      <c r="S52">
        <f t="shared" si="5"/>
        <v>297.39866559128347</v>
      </c>
      <c r="T52">
        <f t="shared" si="6"/>
        <v>83.50969633064264</v>
      </c>
      <c r="V52" s="2">
        <f t="shared" si="19"/>
        <v>2973.9866559128345</v>
      </c>
      <c r="Y52">
        <f t="shared" si="7"/>
        <v>146.88847612373812</v>
      </c>
      <c r="Z52">
        <f t="shared" si="8"/>
        <v>9373.986655912835</v>
      </c>
    </row>
    <row r="53" spans="1:26" x14ac:dyDescent="0.2">
      <c r="A53" s="2">
        <v>40</v>
      </c>
      <c r="B53" s="2">
        <f t="shared" si="9"/>
        <v>5.0708020943016123</v>
      </c>
      <c r="C53" s="2">
        <f t="shared" si="35"/>
        <v>-7.1143102562385829E-3</v>
      </c>
      <c r="D53" s="2">
        <f t="shared" si="36"/>
        <v>165.04804046672578</v>
      </c>
      <c r="E53" s="2">
        <f t="shared" si="37"/>
        <v>1.4506016601556948</v>
      </c>
      <c r="F53" s="8">
        <f t="shared" si="38"/>
        <v>19.780431589183312</v>
      </c>
      <c r="G53" s="2">
        <f t="shared" si="39"/>
        <v>167.61638848540474</v>
      </c>
      <c r="H53" s="2">
        <f t="shared" si="40"/>
        <v>163.85727052629187</v>
      </c>
      <c r="I53" s="2">
        <f t="shared" si="41"/>
        <v>3137.8439264391263</v>
      </c>
      <c r="J53" s="2">
        <f t="shared" si="10"/>
        <v>0.79196800023079328</v>
      </c>
      <c r="K53" s="2">
        <f t="shared" si="11"/>
        <v>17791.294949925468</v>
      </c>
      <c r="L53" s="2">
        <f t="shared" si="42"/>
        <v>9.7970077787889398</v>
      </c>
      <c r="M53" s="2">
        <f t="shared" si="1"/>
        <v>36322.975793283069</v>
      </c>
      <c r="N53">
        <f t="shared" si="2"/>
        <v>10.786942991567669</v>
      </c>
      <c r="O53" s="2">
        <f t="shared" si="3"/>
        <v>555267</v>
      </c>
      <c r="P53" s="2">
        <v>1</v>
      </c>
      <c r="R53">
        <f t="shared" si="4"/>
        <v>1.6761638848540474</v>
      </c>
      <c r="S53">
        <f t="shared" si="5"/>
        <v>313.78439264391261</v>
      </c>
      <c r="T53">
        <f t="shared" si="6"/>
        <v>83.113352881591865</v>
      </c>
      <c r="V53" s="2">
        <f t="shared" si="19"/>
        <v>3137.8439264391263</v>
      </c>
      <c r="Y53">
        <f t="shared" si="7"/>
        <v>166.40708871808792</v>
      </c>
      <c r="Z53">
        <f t="shared" si="8"/>
        <v>9537.8439264391272</v>
      </c>
    </row>
    <row r="54" spans="1:26" x14ac:dyDescent="0.2">
      <c r="A54" s="2">
        <v>41</v>
      </c>
      <c r="B54" s="2">
        <f t="shared" si="9"/>
        <v>5.1251033346953285</v>
      </c>
      <c r="C54" s="2">
        <f t="shared" si="35"/>
        <v>-7.3080618850350698E-3</v>
      </c>
      <c r="D54" s="2">
        <f t="shared" si="36"/>
        <v>170.11884256102741</v>
      </c>
      <c r="E54" s="2">
        <f t="shared" si="37"/>
        <v>1.4434873498994563</v>
      </c>
      <c r="F54" s="8">
        <f t="shared" si="38"/>
        <v>21.588008168075554</v>
      </c>
      <c r="G54" s="2">
        <f t="shared" si="39"/>
        <v>189.2043966534803</v>
      </c>
      <c r="H54" s="2">
        <f t="shared" si="40"/>
        <v>168.74209654439923</v>
      </c>
      <c r="I54" s="2">
        <f t="shared" si="41"/>
        <v>3306.5860229835257</v>
      </c>
      <c r="J54" s="2">
        <f t="shared" si="10"/>
        <v>0.77360780890336855</v>
      </c>
      <c r="K54" s="2">
        <f t="shared" si="11"/>
        <v>18463.110284424863</v>
      </c>
      <c r="L54" s="2">
        <f t="shared" si="42"/>
        <v>9.7964896573814642</v>
      </c>
      <c r="M54" s="2">
        <f t="shared" si="1"/>
        <v>36167.135438115147</v>
      </c>
      <c r="N54">
        <f t="shared" si="2"/>
        <v>11.194267682350578</v>
      </c>
      <c r="O54" s="2">
        <f t="shared" si="3"/>
        <v>555267</v>
      </c>
      <c r="P54" s="2">
        <v>1</v>
      </c>
      <c r="R54">
        <f t="shared" si="4"/>
        <v>1.892043966534803</v>
      </c>
      <c r="S54">
        <f t="shared" si="5"/>
        <v>330.65860229835255</v>
      </c>
      <c r="T54">
        <f t="shared" si="6"/>
        <v>82.70573292976276</v>
      </c>
      <c r="V54" s="2">
        <f t="shared" si="19"/>
        <v>3306.5860229835257</v>
      </c>
      <c r="Y54">
        <f t="shared" si="7"/>
        <v>187.67319413940388</v>
      </c>
      <c r="Z54">
        <f t="shared" si="8"/>
        <v>9706.5860229835253</v>
      </c>
    </row>
    <row r="55" spans="1:26" x14ac:dyDescent="0.2">
      <c r="A55" s="2">
        <v>42</v>
      </c>
      <c r="B55" s="2">
        <f t="shared" si="9"/>
        <v>5.180830344176325</v>
      </c>
      <c r="C55" s="2">
        <f t="shared" si="35"/>
        <v>-7.4985615500108849E-3</v>
      </c>
      <c r="D55" s="2">
        <f t="shared" si="36"/>
        <v>175.24394589572273</v>
      </c>
      <c r="E55" s="2">
        <f t="shared" si="37"/>
        <v>1.4361792880144213</v>
      </c>
      <c r="F55" s="8">
        <f t="shared" si="38"/>
        <v>23.506807626758143</v>
      </c>
      <c r="G55" s="2">
        <f t="shared" si="39"/>
        <v>212.71120428023843</v>
      </c>
      <c r="H55" s="2">
        <f t="shared" si="40"/>
        <v>173.65847911559354</v>
      </c>
      <c r="I55" s="2">
        <f t="shared" si="41"/>
        <v>3480.244502099119</v>
      </c>
      <c r="J55" s="2">
        <f t="shared" si="10"/>
        <v>0.75515701082999864</v>
      </c>
      <c r="K55" s="2">
        <f t="shared" si="11"/>
        <v>19125.045896013722</v>
      </c>
      <c r="L55" s="2">
        <f t="shared" si="42"/>
        <v>9.7959564831706167</v>
      </c>
      <c r="M55" s="2">
        <f t="shared" si="1"/>
        <v>36011.295082947225</v>
      </c>
      <c r="N55">
        <f t="shared" si="2"/>
        <v>11.595602252228383</v>
      </c>
      <c r="O55" s="2">
        <f t="shared" si="3"/>
        <v>555267</v>
      </c>
      <c r="P55" s="2">
        <v>1</v>
      </c>
      <c r="R55">
        <f t="shared" si="4"/>
        <v>2.1271120428023842</v>
      </c>
      <c r="S55">
        <f t="shared" si="5"/>
        <v>348.02445020991189</v>
      </c>
      <c r="T55">
        <f t="shared" si="6"/>
        <v>82.287011827329849</v>
      </c>
      <c r="V55" s="2">
        <f t="shared" si="19"/>
        <v>3480.244502099119</v>
      </c>
      <c r="Y55">
        <f t="shared" si="7"/>
        <v>210.78676377289977</v>
      </c>
      <c r="Z55">
        <f t="shared" si="8"/>
        <v>9880.2445020991181</v>
      </c>
    </row>
    <row r="56" spans="1:26" x14ac:dyDescent="0.2">
      <c r="A56" s="2">
        <v>43</v>
      </c>
      <c r="B56" s="2">
        <f t="shared" si="9"/>
        <v>5.2380738275825358</v>
      </c>
      <c r="C56" s="2">
        <f t="shared" si="35"/>
        <v>-7.6856218571375035E-3</v>
      </c>
      <c r="D56" s="2">
        <f t="shared" si="36"/>
        <v>180.42477623989905</v>
      </c>
      <c r="E56" s="2">
        <f t="shared" si="37"/>
        <v>1.4286807264644104</v>
      </c>
      <c r="F56" s="8">
        <f t="shared" si="38"/>
        <v>25.540299071011553</v>
      </c>
      <c r="G56" s="2">
        <f t="shared" si="39"/>
        <v>238.25150335124999</v>
      </c>
      <c r="H56" s="2">
        <f t="shared" si="40"/>
        <v>178.60583522270537</v>
      </c>
      <c r="I56" s="2">
        <f t="shared" si="41"/>
        <v>3658.8503373218246</v>
      </c>
      <c r="J56" s="2">
        <f t="shared" si="10"/>
        <v>0.73663950474456996</v>
      </c>
      <c r="K56" s="2">
        <f t="shared" si="11"/>
        <v>19775.457373465408</v>
      </c>
      <c r="L56" s="2">
        <f t="shared" si="42"/>
        <v>9.7954081647640816</v>
      </c>
      <c r="M56" s="2">
        <f t="shared" si="1"/>
        <v>35855.454727779303</v>
      </c>
      <c r="N56">
        <f t="shared" si="2"/>
        <v>11.98994968720034</v>
      </c>
      <c r="O56" s="2">
        <f t="shared" si="3"/>
        <v>555267</v>
      </c>
      <c r="P56" s="2">
        <v>1</v>
      </c>
      <c r="R56">
        <f t="shared" si="4"/>
        <v>2.3825150335125</v>
      </c>
      <c r="S56">
        <f t="shared" si="5"/>
        <v>365.88503373218248</v>
      </c>
      <c r="T56">
        <f t="shared" si="6"/>
        <v>81.857375898095128</v>
      </c>
      <c r="V56" s="2">
        <f t="shared" si="19"/>
        <v>3658.8503373218246</v>
      </c>
      <c r="Y56">
        <f t="shared" si="7"/>
        <v>235.84958582703243</v>
      </c>
      <c r="Z56">
        <f t="shared" si="8"/>
        <v>10058.850337321825</v>
      </c>
    </row>
    <row r="57" spans="1:26" x14ac:dyDescent="0.2">
      <c r="A57" s="2">
        <v>44</v>
      </c>
      <c r="B57" s="2">
        <f t="shared" si="9"/>
        <v>5.2969238461152894</v>
      </c>
      <c r="C57" s="2">
        <f t="shared" si="35"/>
        <v>-7.8690594979607034E-3</v>
      </c>
      <c r="D57" s="2">
        <f t="shared" si="36"/>
        <v>185.66285006748157</v>
      </c>
      <c r="E57" s="2">
        <f t="shared" si="37"/>
        <v>1.4209951046072729</v>
      </c>
      <c r="F57" s="8">
        <f t="shared" si="38"/>
        <v>27.691934751479813</v>
      </c>
      <c r="G57" s="2">
        <f t="shared" si="39"/>
        <v>265.94343810272983</v>
      </c>
      <c r="H57" s="2">
        <f t="shared" si="40"/>
        <v>183.58356787922759</v>
      </c>
      <c r="I57" s="2">
        <f t="shared" si="41"/>
        <v>3842.4339052010523</v>
      </c>
      <c r="J57" s="2">
        <f t="shared" si="10"/>
        <v>0.71807904261443511</v>
      </c>
      <c r="K57" s="2">
        <f t="shared" si="11"/>
        <v>20412.747248937809</v>
      </c>
      <c r="L57" s="2">
        <f t="shared" si="42"/>
        <v>9.7948446127387072</v>
      </c>
      <c r="M57" s="2">
        <f t="shared" si="1"/>
        <v>35699.614372611373</v>
      </c>
      <c r="N57">
        <f t="shared" si="2"/>
        <v>12.376341435253105</v>
      </c>
      <c r="O57" s="2">
        <f t="shared" si="3"/>
        <v>555267</v>
      </c>
      <c r="P57" s="2">
        <v>1</v>
      </c>
      <c r="R57">
        <f t="shared" si="4"/>
        <v>2.6594343810272982</v>
      </c>
      <c r="S57">
        <f t="shared" si="5"/>
        <v>384.24339052010521</v>
      </c>
      <c r="T57">
        <f t="shared" si="6"/>
        <v>81.41702220274766</v>
      </c>
      <c r="V57" s="2">
        <f t="shared" si="19"/>
        <v>3842.4339052010523</v>
      </c>
      <c r="Y57">
        <f t="shared" si="7"/>
        <v>262.96507461359323</v>
      </c>
      <c r="Z57">
        <f t="shared" si="8"/>
        <v>10242.433905201053</v>
      </c>
    </row>
    <row r="58" spans="1:26" x14ac:dyDescent="0.2">
      <c r="A58" s="2">
        <v>45</v>
      </c>
      <c r="B58" s="2">
        <f t="shared" si="9"/>
        <v>5.3574695201442584</v>
      </c>
      <c r="C58" s="2">
        <f t="shared" si="35"/>
        <v>-8.0486953089996746E-3</v>
      </c>
      <c r="D58" s="2">
        <f t="shared" si="36"/>
        <v>190.95977391359685</v>
      </c>
      <c r="E58" s="2">
        <f t="shared" si="37"/>
        <v>1.4131260451093122</v>
      </c>
      <c r="F58" s="8">
        <f t="shared" si="38"/>
        <v>29.965147845877251</v>
      </c>
      <c r="G58" s="2">
        <f t="shared" si="39"/>
        <v>295.90858594860708</v>
      </c>
      <c r="H58" s="2">
        <f t="shared" si="40"/>
        <v>188.59106504385488</v>
      </c>
      <c r="I58" s="2">
        <f t="shared" si="41"/>
        <v>4031.0249702449073</v>
      </c>
      <c r="J58" s="2">
        <f t="shared" si="10"/>
        <v>0.69949916531337708</v>
      </c>
      <c r="K58" s="2">
        <f t="shared" si="11"/>
        <v>21035.370448589274</v>
      </c>
      <c r="L58" s="2">
        <f t="shared" si="42"/>
        <v>9.794265739688031</v>
      </c>
      <c r="M58" s="2">
        <f t="shared" si="1"/>
        <v>35543.774017443451</v>
      </c>
      <c r="N58">
        <f t="shared" si="2"/>
        <v>12.753840711093954</v>
      </c>
      <c r="O58" s="2">
        <f t="shared" si="3"/>
        <v>555267</v>
      </c>
      <c r="P58" s="2">
        <v>1</v>
      </c>
      <c r="R58">
        <f t="shared" si="4"/>
        <v>2.9590858594860707</v>
      </c>
      <c r="S58">
        <f t="shared" si="5"/>
        <v>403.10249702449073</v>
      </c>
      <c r="T58">
        <f t="shared" si="6"/>
        <v>80.966158304777181</v>
      </c>
      <c r="V58" s="2">
        <f t="shared" si="19"/>
        <v>4031.0249702449073</v>
      </c>
      <c r="Y58">
        <f t="shared" si="7"/>
        <v>292.23806792376683</v>
      </c>
      <c r="Z58">
        <f t="shared" si="8"/>
        <v>10431.024970244907</v>
      </c>
    </row>
    <row r="59" spans="1:26" x14ac:dyDescent="0.2">
      <c r="A59" s="2">
        <v>46</v>
      </c>
      <c r="B59" s="2">
        <f t="shared" si="9"/>
        <v>5.4197987382797379</v>
      </c>
      <c r="C59" s="2">
        <f t="shared" ref="C59:C81" si="43">-((L59/D59)-(D59/(6378000+(I59))))*COS(E59)</f>
        <v>-8.2243543966033627E-3</v>
      </c>
      <c r="D59" s="2">
        <f t="shared" ref="D59:D81" si="44">B58+D58</f>
        <v>196.31724343374111</v>
      </c>
      <c r="E59" s="2">
        <f t="shared" ref="E59:E72" si="45">E58+C58</f>
        <v>1.4050773498003124</v>
      </c>
      <c r="F59" s="8">
        <f t="shared" ref="F59:F81" si="46">((6378000/(6378000+(I59)))*D59*COS(E59))</f>
        <v>32.363350266101676</v>
      </c>
      <c r="G59" s="2">
        <f t="shared" ref="G59:G81" si="47">F59+G58</f>
        <v>328.27193621470877</v>
      </c>
      <c r="H59" s="2">
        <f t="shared" ref="H59:H81" si="48">D59*SIN(E59)</f>
        <v>193.62769852494952</v>
      </c>
      <c r="I59" s="2">
        <f t="shared" ref="I59:I81" si="49">H59+I58</f>
        <v>4224.652668769857</v>
      </c>
      <c r="J59" s="2">
        <f t="shared" si="10"/>
        <v>0.68092313951560179</v>
      </c>
      <c r="K59" s="2">
        <f t="shared" si="11"/>
        <v>21641.839303711669</v>
      </c>
      <c r="L59" s="2">
        <f t="shared" ref="L59:L81" si="50">((9.80665)/(1+(I59/6378000))^2)</f>
        <v>9.7936714602731065</v>
      </c>
      <c r="M59" s="2">
        <f t="shared" si="1"/>
        <v>35387.933662275529</v>
      </c>
      <c r="N59">
        <f t="shared" si="2"/>
        <v>13.12154553442352</v>
      </c>
      <c r="O59" s="2">
        <f t="shared" si="3"/>
        <v>555267</v>
      </c>
      <c r="P59" s="2">
        <v>1</v>
      </c>
      <c r="R59">
        <f t="shared" si="4"/>
        <v>3.2827193621470876</v>
      </c>
      <c r="S59">
        <f t="shared" si="5"/>
        <v>422.46526687698571</v>
      </c>
      <c r="T59">
        <f t="shared" si="6"/>
        <v>80.505002032984748</v>
      </c>
      <c r="V59" s="2">
        <f t="shared" si="19"/>
        <v>4224.652668769857</v>
      </c>
      <c r="Y59">
        <f t="shared" si="7"/>
        <v>323.77461290625769</v>
      </c>
      <c r="Z59">
        <f t="shared" si="8"/>
        <v>10624.652668769857</v>
      </c>
    </row>
    <row r="60" spans="1:26" x14ac:dyDescent="0.2">
      <c r="A60" s="2">
        <v>47</v>
      </c>
      <c r="B60" s="2">
        <f t="shared" si="9"/>
        <v>5.4839978738959303</v>
      </c>
      <c r="C60" s="2">
        <f t="shared" si="43"/>
        <v>-8.395866321651629E-3</v>
      </c>
      <c r="D60" s="2">
        <f t="shared" si="44"/>
        <v>201.73704217202084</v>
      </c>
      <c r="E60" s="2">
        <f t="shared" si="45"/>
        <v>1.396852995403709</v>
      </c>
      <c r="F60" s="8">
        <f t="shared" si="46"/>
        <v>34.889930483705186</v>
      </c>
      <c r="G60" s="2">
        <f t="shared" si="47"/>
        <v>363.16186669841397</v>
      </c>
      <c r="H60" s="2">
        <f t="shared" si="48"/>
        <v>198.69282288799462</v>
      </c>
      <c r="I60" s="2">
        <f t="shared" si="49"/>
        <v>4423.3454916578512</v>
      </c>
      <c r="J60" s="2">
        <f t="shared" si="10"/>
        <v>0.66237389607606834</v>
      </c>
      <c r="K60" s="2">
        <f t="shared" si="11"/>
        <v>22230.728111681976</v>
      </c>
      <c r="L60" s="2">
        <f t="shared" si="50"/>
        <v>9.7930616912766322</v>
      </c>
      <c r="M60" s="2">
        <f t="shared" si="1"/>
        <v>35232.093307107607</v>
      </c>
      <c r="N60">
        <f t="shared" si="2"/>
        <v>13.478591495261499</v>
      </c>
      <c r="O60" s="2">
        <f t="shared" si="3"/>
        <v>555267</v>
      </c>
      <c r="P60" s="2">
        <v>1</v>
      </c>
      <c r="R60">
        <f t="shared" si="4"/>
        <v>3.6316186669841399</v>
      </c>
      <c r="S60">
        <f t="shared" si="5"/>
        <v>442.33454916578512</v>
      </c>
      <c r="T60">
        <f t="shared" si="6"/>
        <v>80.033781236839502</v>
      </c>
      <c r="V60" s="2">
        <f t="shared" si="19"/>
        <v>4423.3454916578512</v>
      </c>
      <c r="Y60">
        <f t="shared" si="7"/>
        <v>357.68174095688772</v>
      </c>
      <c r="Z60">
        <f t="shared" si="8"/>
        <v>10823.345491657852</v>
      </c>
    </row>
    <row r="61" spans="1:26" x14ac:dyDescent="0.2">
      <c r="A61" s="2">
        <v>48</v>
      </c>
      <c r="B61" s="2">
        <f t="shared" si="9"/>
        <v>5.5501515102119825</v>
      </c>
      <c r="C61" s="2">
        <f t="shared" si="43"/>
        <v>-8.5630653382535674E-3</v>
      </c>
      <c r="D61" s="2">
        <f t="shared" si="44"/>
        <v>207.22104004591677</v>
      </c>
      <c r="E61" s="2">
        <f t="shared" si="45"/>
        <v>1.3884571290820573</v>
      </c>
      <c r="F61" s="8">
        <f t="shared" si="46"/>
        <v>37.548251368362912</v>
      </c>
      <c r="G61" s="2">
        <f t="shared" si="47"/>
        <v>400.71011806677689</v>
      </c>
      <c r="H61" s="2">
        <f t="shared" si="48"/>
        <v>203.78577437933316</v>
      </c>
      <c r="I61" s="2">
        <f t="shared" si="49"/>
        <v>4627.1312660371841</v>
      </c>
      <c r="J61" s="2">
        <f t="shared" si="10"/>
        <v>0.64387397015367687</v>
      </c>
      <c r="K61" s="2">
        <f t="shared" si="11"/>
        <v>22800.677241065925</v>
      </c>
      <c r="L61" s="2">
        <f t="shared" si="50"/>
        <v>9.7924363516602284</v>
      </c>
      <c r="M61" s="2">
        <f t="shared" si="1"/>
        <v>35076.252951939685</v>
      </c>
      <c r="N61">
        <f t="shared" si="2"/>
        <v>13.824154242889602</v>
      </c>
      <c r="O61" s="2">
        <f t="shared" si="3"/>
        <v>555267</v>
      </c>
      <c r="P61" s="2">
        <v>1</v>
      </c>
      <c r="R61">
        <f t="shared" si="4"/>
        <v>4.0071011806677692</v>
      </c>
      <c r="S61">
        <f t="shared" si="5"/>
        <v>462.71312660371842</v>
      </c>
      <c r="T61">
        <f t="shared" si="6"/>
        <v>79.552733531252841</v>
      </c>
      <c r="V61" s="2">
        <f t="shared" si="19"/>
        <v>4627.1312660371841</v>
      </c>
      <c r="Y61">
        <f t="shared" si="7"/>
        <v>394.06723223557731</v>
      </c>
      <c r="Z61">
        <f t="shared" si="8"/>
        <v>11027.131266037184</v>
      </c>
    </row>
    <row r="62" spans="1:26" x14ac:dyDescent="0.2">
      <c r="A62" s="2">
        <v>49</v>
      </c>
      <c r="B62" s="2">
        <f t="shared" si="9"/>
        <v>5.6183421749605813</v>
      </c>
      <c r="C62" s="2">
        <f t="shared" si="43"/>
        <v>-8.7257906803783498E-3</v>
      </c>
      <c r="D62" s="2">
        <f t="shared" si="44"/>
        <v>212.77119155612874</v>
      </c>
      <c r="E62" s="2">
        <f t="shared" si="45"/>
        <v>1.3798940637438037</v>
      </c>
      <c r="F62" s="8">
        <f t="shared" si="46"/>
        <v>40.34164803519991</v>
      </c>
      <c r="G62" s="2">
        <f t="shared" si="47"/>
        <v>441.0517661019768</v>
      </c>
      <c r="H62" s="2">
        <f t="shared" si="48"/>
        <v>208.90586987955163</v>
      </c>
      <c r="I62" s="2">
        <f t="shared" si="49"/>
        <v>4836.0371359167357</v>
      </c>
      <c r="J62" s="2">
        <f t="shared" si="10"/>
        <v>0.62544544332379426</v>
      </c>
      <c r="K62" s="2">
        <f t="shared" si="11"/>
        <v>23350.396779933199</v>
      </c>
      <c r="L62" s="2">
        <f t="shared" si="50"/>
        <v>9.7917953626248693</v>
      </c>
      <c r="M62" s="2">
        <f t="shared" si="1"/>
        <v>34920.412596771755</v>
      </c>
      <c r="N62">
        <f t="shared" si="2"/>
        <v>14.157451697841692</v>
      </c>
      <c r="O62" s="2">
        <f t="shared" si="3"/>
        <v>555267</v>
      </c>
      <c r="P62" s="2">
        <v>1</v>
      </c>
      <c r="R62">
        <f t="shared" si="4"/>
        <v>4.4105176610197683</v>
      </c>
      <c r="S62">
        <f t="shared" si="5"/>
        <v>483.60371359167357</v>
      </c>
      <c r="T62">
        <f t="shared" si="6"/>
        <v>79.062106027676151</v>
      </c>
      <c r="V62" s="2">
        <f t="shared" si="19"/>
        <v>4836.0371359167357</v>
      </c>
      <c r="Y62">
        <f t="shared" si="7"/>
        <v>433.03937053499112</v>
      </c>
      <c r="Z62">
        <f t="shared" si="8"/>
        <v>11236.037135916737</v>
      </c>
    </row>
    <row r="63" spans="1:26" x14ac:dyDescent="0.2">
      <c r="A63" s="2">
        <v>50</v>
      </c>
      <c r="B63" s="2">
        <f t="shared" si="9"/>
        <v>5.6886500855992885</v>
      </c>
      <c r="C63" s="2">
        <f t="shared" si="43"/>
        <v>-8.8838868901599515E-3</v>
      </c>
      <c r="D63" s="2">
        <f t="shared" si="44"/>
        <v>218.38953373108933</v>
      </c>
      <c r="E63" s="2">
        <f t="shared" si="45"/>
        <v>1.3711682730634254</v>
      </c>
      <c r="F63" s="8">
        <f t="shared" si="46"/>
        <v>43.273425698075549</v>
      </c>
      <c r="G63" s="2">
        <f t="shared" si="47"/>
        <v>484.32519180005232</v>
      </c>
      <c r="H63" s="2">
        <f t="shared" si="48"/>
        <v>214.05240589975404</v>
      </c>
      <c r="I63" s="2">
        <f t="shared" si="49"/>
        <v>5050.0895418164901</v>
      </c>
      <c r="J63" s="2">
        <f t="shared" si="10"/>
        <v>0.60710988791535414</v>
      </c>
      <c r="K63" s="2">
        <f t="shared" si="11"/>
        <v>23878.669730811209</v>
      </c>
      <c r="L63" s="2">
        <f t="shared" si="50"/>
        <v>9.7911386476743036</v>
      </c>
      <c r="M63" s="2">
        <f t="shared" si="1"/>
        <v>34764.572241603833</v>
      </c>
      <c r="N63">
        <f t="shared" si="2"/>
        <v>14.47774598901875</v>
      </c>
      <c r="O63" s="2">
        <f t="shared" si="3"/>
        <v>555267</v>
      </c>
      <c r="P63" s="2">
        <v>1</v>
      </c>
      <c r="R63">
        <f t="shared" si="4"/>
        <v>4.8432519180005231</v>
      </c>
      <c r="S63">
        <f t="shared" si="5"/>
        <v>505.00895418164902</v>
      </c>
      <c r="T63">
        <f t="shared" si="6"/>
        <v>78.562155048775878</v>
      </c>
      <c r="V63" s="2">
        <f t="shared" si="19"/>
        <v>5050.0895418164901</v>
      </c>
      <c r="Y63">
        <f t="shared" si="7"/>
        <v>474.70668933390704</v>
      </c>
      <c r="Z63">
        <f t="shared" si="8"/>
        <v>11450.089541816491</v>
      </c>
    </row>
    <row r="64" spans="1:26" x14ac:dyDescent="0.2">
      <c r="A64" s="2">
        <v>51</v>
      </c>
      <c r="B64" s="2">
        <f t="shared" si="9"/>
        <v>5.7611529059465898</v>
      </c>
      <c r="C64" s="2">
        <f t="shared" si="43"/>
        <v>-9.0372041814509706E-3</v>
      </c>
      <c r="D64" s="2">
        <f t="shared" si="44"/>
        <v>224.07818381668861</v>
      </c>
      <c r="E64" s="2">
        <f t="shared" si="45"/>
        <v>1.3622843861732654</v>
      </c>
      <c r="F64" s="8">
        <f t="shared" si="46"/>
        <v>46.346857527164538</v>
      </c>
      <c r="G64" s="2">
        <f t="shared" si="47"/>
        <v>530.67204932721688</v>
      </c>
      <c r="H64" s="2">
        <f t="shared" si="48"/>
        <v>219.22465763367981</v>
      </c>
      <c r="I64" s="2">
        <f t="shared" si="49"/>
        <v>5269.3141994501702</v>
      </c>
      <c r="J64" s="2">
        <f t="shared" si="10"/>
        <v>0.5888883137953741</v>
      </c>
      <c r="K64" s="2">
        <f t="shared" si="11"/>
        <v>24384.354759665908</v>
      </c>
      <c r="L64" s="2">
        <f t="shared" si="50"/>
        <v>9.7904661326812423</v>
      </c>
      <c r="M64" s="2">
        <f t="shared" si="1"/>
        <v>34608.731886435911</v>
      </c>
      <c r="N64">
        <f t="shared" si="2"/>
        <v>14.784345120408437</v>
      </c>
      <c r="O64" s="2">
        <f t="shared" si="3"/>
        <v>555267</v>
      </c>
      <c r="P64" s="2">
        <v>1</v>
      </c>
      <c r="R64">
        <f t="shared" si="4"/>
        <v>5.3067204932721692</v>
      </c>
      <c r="S64">
        <f t="shared" si="5"/>
        <v>526.93141994501707</v>
      </c>
      <c r="T64">
        <f t="shared" si="6"/>
        <v>78.053145824298113</v>
      </c>
      <c r="V64" s="2">
        <f t="shared" si="19"/>
        <v>5269.3141994501702</v>
      </c>
      <c r="Y64">
        <f t="shared" si="7"/>
        <v>519.1777099759679</v>
      </c>
      <c r="Z64">
        <f t="shared" si="8"/>
        <v>11669.314199450171</v>
      </c>
    </row>
    <row r="65" spans="1:26" x14ac:dyDescent="0.2">
      <c r="A65" s="2">
        <v>52</v>
      </c>
      <c r="B65" s="2">
        <f t="shared" si="9"/>
        <v>5.8359255150537095</v>
      </c>
      <c r="C65" s="2">
        <f t="shared" si="43"/>
        <v>-9.1855988320684555E-3</v>
      </c>
      <c r="D65" s="2">
        <f t="shared" si="44"/>
        <v>229.83933672263521</v>
      </c>
      <c r="E65" s="2">
        <f t="shared" si="45"/>
        <v>1.3532471819918144</v>
      </c>
      <c r="F65" s="8">
        <f t="shared" si="46"/>
        <v>49.565182510402444</v>
      </c>
      <c r="G65" s="2">
        <f t="shared" si="47"/>
        <v>580.23723183761933</v>
      </c>
      <c r="H65" s="2">
        <f t="shared" si="48"/>
        <v>224.42187807816384</v>
      </c>
      <c r="I65" s="2">
        <f t="shared" si="49"/>
        <v>5493.7360775283341</v>
      </c>
      <c r="J65" s="2">
        <f t="shared" si="10"/>
        <v>0.57080111781027598</v>
      </c>
      <c r="K65" s="2">
        <f t="shared" si="11"/>
        <v>24866.388509823035</v>
      </c>
      <c r="L65" s="2">
        <f t="shared" si="50"/>
        <v>9.7897777459561457</v>
      </c>
      <c r="M65" s="2">
        <f t="shared" si="1"/>
        <v>34452.891531267989</v>
      </c>
      <c r="N65">
        <f t="shared" si="2"/>
        <v>15.076604374026076</v>
      </c>
      <c r="O65" s="2">
        <f t="shared" si="3"/>
        <v>555267</v>
      </c>
      <c r="P65" s="2">
        <v>1</v>
      </c>
      <c r="R65">
        <f t="shared" si="4"/>
        <v>5.802372318376193</v>
      </c>
      <c r="S65">
        <f t="shared" si="5"/>
        <v>549.37360775283344</v>
      </c>
      <c r="T65">
        <f t="shared" si="6"/>
        <v>77.535352166102982</v>
      </c>
      <c r="V65" s="2">
        <f t="shared" si="19"/>
        <v>5493.7360775283341</v>
      </c>
      <c r="Y65">
        <f t="shared" si="7"/>
        <v>566.56067301924679</v>
      </c>
      <c r="Z65">
        <f t="shared" si="8"/>
        <v>11893.736077528334</v>
      </c>
    </row>
    <row r="66" spans="1:26" x14ac:dyDescent="0.2">
      <c r="A66" s="2">
        <v>53</v>
      </c>
      <c r="B66" s="2">
        <f t="shared" si="9"/>
        <v>5.9130397890547322</v>
      </c>
      <c r="C66" s="2">
        <f t="shared" si="43"/>
        <v>-9.328933598080515E-3</v>
      </c>
      <c r="D66" s="2">
        <f t="shared" si="44"/>
        <v>235.67526223768891</v>
      </c>
      <c r="E66" s="2">
        <f t="shared" si="45"/>
        <v>1.344061583159746</v>
      </c>
      <c r="F66" s="8">
        <f t="shared" si="46"/>
        <v>52.93160331956161</v>
      </c>
      <c r="G66" s="2">
        <f t="shared" si="47"/>
        <v>633.16883515718098</v>
      </c>
      <c r="H66" s="2">
        <f t="shared" si="48"/>
        <v>229.64329723381738</v>
      </c>
      <c r="I66" s="2">
        <f t="shared" si="49"/>
        <v>5723.3793747621512</v>
      </c>
      <c r="J66" s="2">
        <f t="shared" si="10"/>
        <v>0.55286803607889312</v>
      </c>
      <c r="K66" s="2">
        <f t="shared" si="11"/>
        <v>25323.787494804285</v>
      </c>
      <c r="L66" s="2">
        <f t="shared" si="50"/>
        <v>9.7890734183183721</v>
      </c>
      <c r="M66" s="2">
        <f t="shared" si="1"/>
        <v>34297.051176100067</v>
      </c>
      <c r="N66">
        <f t="shared" si="2"/>
        <v>15.353927457549817</v>
      </c>
      <c r="O66" s="2">
        <f t="shared" si="3"/>
        <v>555267</v>
      </c>
      <c r="P66" s="2">
        <v>1</v>
      </c>
      <c r="R66">
        <f t="shared" si="4"/>
        <v>6.3316883515718096</v>
      </c>
      <c r="S66">
        <f t="shared" si="5"/>
        <v>572.33793747621507</v>
      </c>
      <c r="T66">
        <f t="shared" si="6"/>
        <v>77.009056120725162</v>
      </c>
      <c r="V66" s="2">
        <f t="shared" si="19"/>
        <v>5723.3793747621512</v>
      </c>
      <c r="Y66">
        <f t="shared" si="7"/>
        <v>616.96326390228046</v>
      </c>
      <c r="Z66">
        <f t="shared" si="8"/>
        <v>12123.379374762151</v>
      </c>
    </row>
    <row r="67" spans="1:26" x14ac:dyDescent="0.2">
      <c r="A67" s="2">
        <v>54</v>
      </c>
      <c r="B67" s="2">
        <f t="shared" si="9"/>
        <v>5.9925643966711952</v>
      </c>
      <c r="C67" s="2">
        <f t="shared" si="43"/>
        <v>-9.4670781434322091E-3</v>
      </c>
      <c r="D67" s="2">
        <f t="shared" si="44"/>
        <v>241.58830202674363</v>
      </c>
      <c r="E67" s="2">
        <f t="shared" si="45"/>
        <v>1.3347326495616654</v>
      </c>
      <c r="F67" s="8">
        <f t="shared" si="46"/>
        <v>56.449284182879367</v>
      </c>
      <c r="G67" s="2">
        <f t="shared" si="47"/>
        <v>689.61811934006039</v>
      </c>
      <c r="H67" s="2">
        <f t="shared" si="48"/>
        <v>234.88812139704112</v>
      </c>
      <c r="I67" s="2">
        <f t="shared" si="49"/>
        <v>5958.267496159192</v>
      </c>
      <c r="J67" s="2">
        <f t="shared" si="10"/>
        <v>0.5351080993166073</v>
      </c>
      <c r="K67" s="2">
        <f t="shared" si="11"/>
        <v>25755.649586639349</v>
      </c>
      <c r="L67" s="2">
        <f t="shared" si="50"/>
        <v>9.7883530831693033</v>
      </c>
      <c r="M67" s="2">
        <f t="shared" si="1"/>
        <v>34141.210820932145</v>
      </c>
      <c r="N67">
        <f t="shared" si="2"/>
        <v>15.615767406690987</v>
      </c>
      <c r="O67" s="2">
        <f t="shared" si="3"/>
        <v>555267</v>
      </c>
      <c r="P67" s="2">
        <v>1</v>
      </c>
      <c r="R67">
        <f t="shared" si="4"/>
        <v>6.8961811934006043</v>
      </c>
      <c r="S67">
        <f t="shared" si="5"/>
        <v>595.8267496159192</v>
      </c>
      <c r="T67">
        <f t="shared" si="6"/>
        <v>76.474547598197361</v>
      </c>
      <c r="V67" s="2">
        <f t="shared" si="19"/>
        <v>5958.267496159192</v>
      </c>
      <c r="Y67">
        <f t="shared" si="7"/>
        <v>670.49233416614652</v>
      </c>
      <c r="Z67">
        <f t="shared" si="8"/>
        <v>12358.267496159191</v>
      </c>
    </row>
    <row r="68" spans="1:26" x14ac:dyDescent="0.2">
      <c r="A68" s="2">
        <v>55</v>
      </c>
      <c r="B68" s="2">
        <f t="shared" si="9"/>
        <v>6.0745646089828327</v>
      </c>
      <c r="C68" s="2">
        <f t="shared" si="43"/>
        <v>-9.5999094782068198E-3</v>
      </c>
      <c r="D68" s="2">
        <f t="shared" si="44"/>
        <v>247.58086642341482</v>
      </c>
      <c r="E68" s="2">
        <f t="shared" si="45"/>
        <v>1.3252655714182331</v>
      </c>
      <c r="F68" s="8">
        <f t="shared" si="46"/>
        <v>60.121348767254268</v>
      </c>
      <c r="G68" s="2">
        <f t="shared" si="47"/>
        <v>749.73946810731468</v>
      </c>
      <c r="H68" s="2">
        <f t="shared" si="48"/>
        <v>240.15553255357784</v>
      </c>
      <c r="I68" s="2">
        <f t="shared" si="49"/>
        <v>6198.4230287127702</v>
      </c>
      <c r="J68" s="2">
        <f t="shared" si="10"/>
        <v>0.5175395913537153</v>
      </c>
      <c r="K68" s="2">
        <f t="shared" si="11"/>
        <v>26161.155118319806</v>
      </c>
      <c r="L68" s="2">
        <f t="shared" si="50"/>
        <v>9.7876166765672856</v>
      </c>
      <c r="M68" s="2">
        <f t="shared" si="1"/>
        <v>33985.370465764223</v>
      </c>
      <c r="N68">
        <f t="shared" si="2"/>
        <v>15.861627253616899</v>
      </c>
      <c r="O68" s="2">
        <f t="shared" si="3"/>
        <v>555267</v>
      </c>
      <c r="P68" s="2">
        <v>1</v>
      </c>
      <c r="R68">
        <f t="shared" si="4"/>
        <v>7.4973946810731471</v>
      </c>
      <c r="S68">
        <f t="shared" si="5"/>
        <v>619.84230287127707</v>
      </c>
      <c r="T68">
        <f t="shared" si="6"/>
        <v>75.93212397625814</v>
      </c>
      <c r="V68" s="2">
        <f t="shared" si="19"/>
        <v>6198.4230287127702</v>
      </c>
      <c r="Y68">
        <f t="shared" si="7"/>
        <v>727.25361955805738</v>
      </c>
      <c r="Z68">
        <f t="shared" si="8"/>
        <v>12598.42302871277</v>
      </c>
    </row>
    <row r="69" spans="1:26" x14ac:dyDescent="0.2">
      <c r="A69" s="2">
        <v>56</v>
      </c>
      <c r="B69" s="2">
        <f t="shared" si="9"/>
        <v>6.1591021240138684</v>
      </c>
      <c r="C69" s="2">
        <f t="shared" si="43"/>
        <v>-9.727312398868336E-3</v>
      </c>
      <c r="D69" s="2">
        <f t="shared" si="44"/>
        <v>253.65543103239764</v>
      </c>
      <c r="E69" s="2">
        <f t="shared" si="45"/>
        <v>1.3156656619400262</v>
      </c>
      <c r="F69" s="8">
        <f t="shared" si="46"/>
        <v>63.950878074049641</v>
      </c>
      <c r="G69" s="2">
        <f t="shared" si="47"/>
        <v>813.69034618136436</v>
      </c>
      <c r="H69" s="2">
        <f t="shared" si="48"/>
        <v>245.44468788278468</v>
      </c>
      <c r="I69" s="2">
        <f t="shared" si="49"/>
        <v>6443.8677165955551</v>
      </c>
      <c r="J69" s="2">
        <f t="shared" si="10"/>
        <v>0.50018001099396425</v>
      </c>
      <c r="K69" s="2">
        <f t="shared" si="11"/>
        <v>26539.567620691272</v>
      </c>
      <c r="L69" s="2">
        <f t="shared" si="50"/>
        <v>9.7868641373038852</v>
      </c>
      <c r="M69" s="2">
        <f t="shared" si="1"/>
        <v>33829.530110596301</v>
      </c>
      <c r="N69">
        <f t="shared" si="2"/>
        <v>16.091060473731915</v>
      </c>
      <c r="O69" s="2">
        <f t="shared" si="3"/>
        <v>555267</v>
      </c>
      <c r="P69" s="2">
        <v>1</v>
      </c>
      <c r="R69">
        <f t="shared" si="4"/>
        <v>8.1369034618136435</v>
      </c>
      <c r="S69">
        <f t="shared" si="5"/>
        <v>644.38677165955551</v>
      </c>
      <c r="T69">
        <f t="shared" si="6"/>
        <v>75.382089679449237</v>
      </c>
      <c r="V69" s="2">
        <f t="shared" si="19"/>
        <v>6443.8677165955551</v>
      </c>
      <c r="Y69">
        <f t="shared" si="7"/>
        <v>787.35145641810311</v>
      </c>
      <c r="Z69">
        <f t="shared" si="8"/>
        <v>12843.867716595556</v>
      </c>
    </row>
    <row r="70" spans="1:26" x14ac:dyDescent="0.2">
      <c r="A70" s="2">
        <v>57</v>
      </c>
      <c r="B70" s="2">
        <f t="shared" si="9"/>
        <v>6.246234906622961</v>
      </c>
      <c r="C70" s="2">
        <f t="shared" si="43"/>
        <v>-9.8491799239357695E-3</v>
      </c>
      <c r="D70" s="2">
        <f t="shared" si="44"/>
        <v>259.81453315641153</v>
      </c>
      <c r="E70" s="2">
        <f t="shared" si="45"/>
        <v>1.3059383495411578</v>
      </c>
      <c r="F70" s="8">
        <f t="shared" si="46"/>
        <v>67.940908353476885</v>
      </c>
      <c r="G70" s="2">
        <f t="shared" si="47"/>
        <v>881.63125453484122</v>
      </c>
      <c r="H70" s="2">
        <f t="shared" si="48"/>
        <v>250.75471938067739</v>
      </c>
      <c r="I70" s="2">
        <f t="shared" si="49"/>
        <v>6694.6224359762327</v>
      </c>
      <c r="J70" s="2">
        <f t="shared" si="10"/>
        <v>0.48304603734128898</v>
      </c>
      <c r="K70" s="2">
        <f t="shared" si="11"/>
        <v>26890.234215247616</v>
      </c>
      <c r="L70" s="2">
        <f t="shared" si="50"/>
        <v>9.7860954069811861</v>
      </c>
      <c r="M70" s="2">
        <f t="shared" si="1"/>
        <v>33673.689755428371</v>
      </c>
      <c r="N70">
        <f t="shared" si="2"/>
        <v>16.303671223830364</v>
      </c>
      <c r="O70" s="2">
        <f t="shared" si="3"/>
        <v>555267</v>
      </c>
      <c r="P70" s="2">
        <v>1</v>
      </c>
      <c r="R70">
        <f t="shared" si="4"/>
        <v>8.8163125453484117</v>
      </c>
      <c r="S70">
        <f t="shared" si="5"/>
        <v>669.46224359762323</v>
      </c>
      <c r="T70">
        <f t="shared" si="6"/>
        <v>74.82475573298882</v>
      </c>
      <c r="V70" s="2">
        <f t="shared" si="19"/>
        <v>6694.6224359762327</v>
      </c>
      <c r="Y70">
        <f t="shared" si="7"/>
        <v>850.88849781559327</v>
      </c>
      <c r="Z70">
        <f t="shared" si="8"/>
        <v>13094.622435976233</v>
      </c>
    </row>
    <row r="71" spans="1:26" x14ac:dyDescent="0.2">
      <c r="A71" s="2">
        <v>58</v>
      </c>
      <c r="B71" s="2">
        <f t="shared" si="9"/>
        <v>6.3360170441248158</v>
      </c>
      <c r="C71" s="2">
        <f t="shared" si="43"/>
        <v>-9.9654137187025048E-3</v>
      </c>
      <c r="D71" s="2">
        <f t="shared" si="44"/>
        <v>266.06076806303452</v>
      </c>
      <c r="E71" s="2">
        <f t="shared" si="45"/>
        <v>1.2960891696172221</v>
      </c>
      <c r="F71" s="8">
        <f t="shared" si="46"/>
        <v>72.094429043368791</v>
      </c>
      <c r="G71" s="2">
        <f t="shared" si="47"/>
        <v>953.72568357821001</v>
      </c>
      <c r="H71" s="2">
        <f t="shared" si="48"/>
        <v>256.08473360857909</v>
      </c>
      <c r="I71" s="2">
        <f t="shared" si="49"/>
        <v>6950.7071695848117</v>
      </c>
      <c r="J71" s="2">
        <f t="shared" si="10"/>
        <v>0.4661534987042143</v>
      </c>
      <c r="K71" s="2">
        <f t="shared" si="11"/>
        <v>27212.585685016795</v>
      </c>
      <c r="L71" s="2">
        <f t="shared" si="50"/>
        <v>9.7853104300896945</v>
      </c>
      <c r="M71" s="2">
        <f t="shared" si="1"/>
        <v>33517.849400260449</v>
      </c>
      <c r="N71">
        <f t="shared" si="2"/>
        <v>16.499114385074947</v>
      </c>
      <c r="O71" s="2">
        <f t="shared" si="3"/>
        <v>555267</v>
      </c>
      <c r="P71" s="2">
        <v>1</v>
      </c>
      <c r="R71">
        <f t="shared" si="4"/>
        <v>9.5372568357821006</v>
      </c>
      <c r="S71">
        <f t="shared" si="5"/>
        <v>695.07071695848117</v>
      </c>
      <c r="T71">
        <f t="shared" si="6"/>
        <v>74.260439291682317</v>
      </c>
      <c r="V71" s="2">
        <f t="shared" si="19"/>
        <v>6950.7071695848117</v>
      </c>
      <c r="Y71">
        <f t="shared" si="7"/>
        <v>917.96543095343679</v>
      </c>
      <c r="Z71">
        <f t="shared" si="8"/>
        <v>13350.707169584812</v>
      </c>
    </row>
    <row r="72" spans="1:26" x14ac:dyDescent="0.2">
      <c r="A72" s="2">
        <v>59</v>
      </c>
      <c r="B72" s="2">
        <f t="shared" si="9"/>
        <v>6.428498618012167</v>
      </c>
      <c r="C72" s="2">
        <f t="shared" si="43"/>
        <v>-1.0075924502835289E-2</v>
      </c>
      <c r="D72" s="2">
        <f t="shared" si="44"/>
        <v>272.3967851071593</v>
      </c>
      <c r="E72" s="2">
        <f t="shared" si="45"/>
        <v>1.2861237558985197</v>
      </c>
      <c r="F72" s="8">
        <f t="shared" si="46"/>
        <v>76.414380738880737</v>
      </c>
      <c r="G72" s="2">
        <f t="shared" si="47"/>
        <v>1030.1400643170907</v>
      </c>
      <c r="H72" s="2">
        <f t="shared" si="48"/>
        <v>261.43381157292521</v>
      </c>
      <c r="I72" s="2">
        <f t="shared" si="49"/>
        <v>7212.1409811577369</v>
      </c>
      <c r="J72" s="2">
        <f t="shared" si="10"/>
        <v>0.4495173451682376</v>
      </c>
      <c r="K72" s="2">
        <f t="shared" si="11"/>
        <v>27506.136246038459</v>
      </c>
      <c r="L72" s="2">
        <f t="shared" si="50"/>
        <v>9.7845091540865052</v>
      </c>
      <c r="M72" s="2">
        <f t="shared" si="1"/>
        <v>33362.009045092527</v>
      </c>
      <c r="N72">
        <f t="shared" si="2"/>
        <v>16.677095424442552</v>
      </c>
      <c r="O72" s="2">
        <f t="shared" si="3"/>
        <v>555267</v>
      </c>
      <c r="P72" s="2">
        <v>1</v>
      </c>
      <c r="R72">
        <f t="shared" si="4"/>
        <v>10.301400643170908</v>
      </c>
      <c r="S72">
        <f t="shared" si="5"/>
        <v>721.21409811577371</v>
      </c>
      <c r="T72">
        <f t="shared" si="6"/>
        <v>73.689463144498887</v>
      </c>
      <c r="V72" s="2">
        <f t="shared" si="19"/>
        <v>7212.1409811577369</v>
      </c>
      <c r="Y72">
        <f t="shared" si="7"/>
        <v>988.68069739681039</v>
      </c>
      <c r="Z72">
        <f t="shared" si="8"/>
        <v>13612.140981157736</v>
      </c>
    </row>
    <row r="73" spans="1:26" x14ac:dyDescent="0.2">
      <c r="A73" s="2">
        <v>60</v>
      </c>
      <c r="B73" s="2">
        <f t="shared" si="9"/>
        <v>6.5237255920874659</v>
      </c>
      <c r="C73" s="2">
        <f t="shared" si="43"/>
        <v>-1.0180632434967892E-2</v>
      </c>
      <c r="D73" s="2">
        <f t="shared" si="44"/>
        <v>278.82528372517146</v>
      </c>
      <c r="E73" s="2">
        <f>E72+C72</f>
        <v>1.2760478313956845</v>
      </c>
      <c r="F73" s="8">
        <f t="shared" si="46"/>
        <v>80.903653200269346</v>
      </c>
      <c r="G73" s="2">
        <f t="shared" si="47"/>
        <v>1111.0437175173602</v>
      </c>
      <c r="H73" s="2">
        <f t="shared" si="48"/>
        <v>266.80100874044524</v>
      </c>
      <c r="I73" s="2">
        <f t="shared" si="49"/>
        <v>7478.9419898981823</v>
      </c>
      <c r="J73" s="2">
        <f t="shared" si="10"/>
        <v>0.43315162490688397</v>
      </c>
      <c r="K73" s="2">
        <f t="shared" si="11"/>
        <v>27770.483041862564</v>
      </c>
      <c r="L73" s="2">
        <f t="shared" si="50"/>
        <v>9.7836915294731739</v>
      </c>
      <c r="M73" s="2">
        <f t="shared" si="1"/>
        <v>33206.168689924605</v>
      </c>
      <c r="N73">
        <f t="shared" si="2"/>
        <v>16.837370088236501</v>
      </c>
      <c r="O73" s="2">
        <f t="shared" si="3"/>
        <v>555267</v>
      </c>
      <c r="P73" s="2">
        <v>1</v>
      </c>
      <c r="R73">
        <f t="shared" si="4"/>
        <v>11.110437175173601</v>
      </c>
      <c r="S73">
        <f t="shared" si="5"/>
        <v>747.89419898981828</v>
      </c>
      <c r="T73">
        <f t="shared" si="6"/>
        <v>73.112155195793989</v>
      </c>
      <c r="V73" s="2">
        <f t="shared" si="19"/>
        <v>7478.9419898981823</v>
      </c>
      <c r="Y73">
        <f t="shared" si="7"/>
        <v>1063.1302177048783</v>
      </c>
      <c r="Z73">
        <f t="shared" si="8"/>
        <v>13878.941989898183</v>
      </c>
    </row>
    <row r="74" spans="1:26" x14ac:dyDescent="0.2">
      <c r="A74" s="2">
        <v>61</v>
      </c>
      <c r="B74" s="2">
        <f t="shared" si="9"/>
        <v>6.6217397172541936</v>
      </c>
      <c r="C74" s="2">
        <f t="shared" si="43"/>
        <v>-1.0279467468743963E-2</v>
      </c>
      <c r="D74" s="2">
        <f t="shared" si="44"/>
        <v>285.34900931725895</v>
      </c>
      <c r="E74" s="2">
        <f t="shared" ref="E74:E81" si="51">E73+C73</f>
        <v>1.2658671989607166</v>
      </c>
      <c r="F74" s="8">
        <f t="shared" si="46"/>
        <v>85.56508340638797</v>
      </c>
      <c r="G74" s="2">
        <f t="shared" si="47"/>
        <v>1196.608800923748</v>
      </c>
      <c r="H74" s="2">
        <f t="shared" si="48"/>
        <v>272.18535519158496</v>
      </c>
      <c r="I74" s="2">
        <f t="shared" si="49"/>
        <v>7751.127345089767</v>
      </c>
      <c r="J74" s="2">
        <f t="shared" si="10"/>
        <v>0.41706946428211544</v>
      </c>
      <c r="K74" s="2">
        <f t="shared" si="11"/>
        <v>28005.305383081628</v>
      </c>
      <c r="L74" s="2">
        <f t="shared" si="50"/>
        <v>9.7828575098730539</v>
      </c>
      <c r="M74" s="2">
        <f t="shared" si="1"/>
        <v>33050.328334756683</v>
      </c>
      <c r="N74">
        <f t="shared" si="2"/>
        <v>16.979743941011453</v>
      </c>
      <c r="O74" s="2">
        <f t="shared" si="3"/>
        <v>555267</v>
      </c>
      <c r="P74" s="2">
        <v>1</v>
      </c>
      <c r="R74">
        <f t="shared" si="4"/>
        <v>11.966088009237481</v>
      </c>
      <c r="S74">
        <f t="shared" si="5"/>
        <v>775.1127345089767</v>
      </c>
      <c r="T74">
        <f t="shared" si="6"/>
        <v>72.528847924496333</v>
      </c>
      <c r="V74" s="2">
        <f t="shared" si="19"/>
        <v>7751.127345089767</v>
      </c>
      <c r="Y74">
        <f t="shared" si="7"/>
        <v>1141.407122050616</v>
      </c>
      <c r="Z74">
        <f t="shared" si="8"/>
        <v>14151.127345089768</v>
      </c>
    </row>
    <row r="75" spans="1:26" x14ac:dyDescent="0.2">
      <c r="A75" s="2">
        <v>62</v>
      </c>
      <c r="B75" s="2">
        <f t="shared" si="9"/>
        <v>6.7225784531579755</v>
      </c>
      <c r="C75" s="2">
        <f t="shared" si="43"/>
        <v>-1.0372369675158614E-2</v>
      </c>
      <c r="D75" s="2">
        <f t="shared" si="44"/>
        <v>291.97074903451312</v>
      </c>
      <c r="E75" s="2">
        <f t="shared" si="51"/>
        <v>1.2555877314919728</v>
      </c>
      <c r="F75" s="8">
        <f t="shared" si="46"/>
        <v>90.401453661901812</v>
      </c>
      <c r="G75" s="2">
        <f t="shared" si="47"/>
        <v>1287.0102545856498</v>
      </c>
      <c r="H75" s="2">
        <f t="shared" si="48"/>
        <v>277.58585591367307</v>
      </c>
      <c r="I75" s="2">
        <f t="shared" si="49"/>
        <v>8028.7132010034402</v>
      </c>
      <c r="J75" s="2">
        <f t="shared" si="10"/>
        <v>0.40128305176451562</v>
      </c>
      <c r="K75" s="2">
        <f t="shared" si="11"/>
        <v>28210.363753190664</v>
      </c>
      <c r="L75" s="2">
        <f t="shared" si="50"/>
        <v>9.7820070521074971</v>
      </c>
      <c r="M75" s="2">
        <f t="shared" si="1"/>
        <v>32894.487979588754</v>
      </c>
      <c r="N75">
        <f t="shared" si="2"/>
        <v>17.104071762821818</v>
      </c>
      <c r="O75" s="2">
        <f t="shared" si="3"/>
        <v>555267</v>
      </c>
      <c r="P75" s="2">
        <v>1</v>
      </c>
      <c r="R75">
        <f t="shared" si="4"/>
        <v>12.870102545856499</v>
      </c>
      <c r="S75">
        <f t="shared" si="5"/>
        <v>802.87132010034406</v>
      </c>
      <c r="T75">
        <f t="shared" si="6"/>
        <v>71.939877822895284</v>
      </c>
      <c r="V75" s="2">
        <f t="shared" si="19"/>
        <v>8028.7132010034402</v>
      </c>
      <c r="Y75">
        <f t="shared" si="7"/>
        <v>1223.6014884032152</v>
      </c>
      <c r="Z75">
        <f t="shared" si="8"/>
        <v>14428.71320100344</v>
      </c>
    </row>
    <row r="76" spans="1:26" x14ac:dyDescent="0.2">
      <c r="A76" s="2">
        <v>63</v>
      </c>
      <c r="B76" s="2">
        <f t="shared" si="9"/>
        <v>6.8262749068069279</v>
      </c>
      <c r="C76" s="2">
        <f t="shared" si="43"/>
        <v>-1.0459289526497169E-2</v>
      </c>
      <c r="D76" s="2">
        <f t="shared" si="44"/>
        <v>298.69332748767107</v>
      </c>
      <c r="E76" s="2">
        <f t="shared" si="51"/>
        <v>1.2452153618168142</v>
      </c>
      <c r="F76" s="8">
        <f t="shared" si="46"/>
        <v>95.415489766461064</v>
      </c>
      <c r="G76" s="2">
        <f t="shared" si="47"/>
        <v>1382.425744352111</v>
      </c>
      <c r="H76" s="2">
        <f t="shared" si="48"/>
        <v>283.00149123398876</v>
      </c>
      <c r="I76" s="2">
        <f t="shared" si="49"/>
        <v>8311.7146922374286</v>
      </c>
      <c r="J76" s="2">
        <f t="shared" si="10"/>
        <v>0.38580362568324411</v>
      </c>
      <c r="K76" s="2">
        <f t="shared" si="11"/>
        <v>28385.498601089352</v>
      </c>
      <c r="L76" s="2">
        <f t="shared" si="50"/>
        <v>9.7811401162705724</v>
      </c>
      <c r="M76" s="2">
        <f t="shared" si="1"/>
        <v>32738.647624420835</v>
      </c>
      <c r="N76">
        <f t="shared" si="2"/>
        <v>17.210256817110288</v>
      </c>
      <c r="O76" s="2">
        <f t="shared" si="3"/>
        <v>555267</v>
      </c>
      <c r="P76" s="2">
        <v>1</v>
      </c>
      <c r="R76">
        <f t="shared" si="4"/>
        <v>13.824257443521111</v>
      </c>
      <c r="S76">
        <f t="shared" si="5"/>
        <v>831.17146922374286</v>
      </c>
      <c r="T76">
        <f t="shared" si="6"/>
        <v>71.345584816959217</v>
      </c>
      <c r="V76" s="2">
        <f t="shared" si="19"/>
        <v>8311.7146922374286</v>
      </c>
      <c r="Y76">
        <f t="shared" si="7"/>
        <v>1309.8000898197258</v>
      </c>
      <c r="Z76">
        <f t="shared" si="8"/>
        <v>14711.714692237429</v>
      </c>
    </row>
    <row r="77" spans="1:26" x14ac:dyDescent="0.2">
      <c r="A77" s="2">
        <v>64</v>
      </c>
      <c r="B77" s="2">
        <f t="shared" si="9"/>
        <v>6.9328577882392945</v>
      </c>
      <c r="C77" s="2">
        <f t="shared" si="43"/>
        <v>-1.0540188137666957E-2</v>
      </c>
      <c r="D77" s="2">
        <f t="shared" si="44"/>
        <v>305.519602394478</v>
      </c>
      <c r="E77" s="2">
        <f t="shared" si="51"/>
        <v>1.234756072290317</v>
      </c>
      <c r="F77" s="8">
        <f t="shared" si="46"/>
        <v>100.6098592541809</v>
      </c>
      <c r="G77" s="2">
        <f t="shared" si="47"/>
        <v>1483.0356036062919</v>
      </c>
      <c r="H77" s="2">
        <f t="shared" si="48"/>
        <v>288.4312173915726</v>
      </c>
      <c r="I77" s="2">
        <f t="shared" si="49"/>
        <v>8600.1459096290018</v>
      </c>
      <c r="J77" s="2">
        <f t="shared" si="10"/>
        <v>0.37064146579532325</v>
      </c>
      <c r="K77" s="2">
        <f t="shared" si="11"/>
        <v>28530.628939347996</v>
      </c>
      <c r="L77" s="2">
        <f t="shared" si="50"/>
        <v>9.7802566658018897</v>
      </c>
      <c r="M77" s="2">
        <f t="shared" si="1"/>
        <v>32582.807269252909</v>
      </c>
      <c r="N77">
        <f t="shared" si="2"/>
        <v>17.298250000830144</v>
      </c>
      <c r="O77" s="2">
        <f t="shared" si="3"/>
        <v>555267</v>
      </c>
      <c r="P77" s="2">
        <v>1</v>
      </c>
      <c r="R77">
        <f t="shared" si="4"/>
        <v>14.83035603606292</v>
      </c>
      <c r="S77">
        <f t="shared" si="5"/>
        <v>860.01459096290023</v>
      </c>
      <c r="T77">
        <f t="shared" si="6"/>
        <v>70.746311670385538</v>
      </c>
      <c r="V77" s="2">
        <f t="shared" si="19"/>
        <v>8600.1459096290018</v>
      </c>
      <c r="Y77">
        <f t="shared" si="7"/>
        <v>1400.0861523474534</v>
      </c>
      <c r="Z77">
        <f t="shared" si="8"/>
        <v>15000.145909629002</v>
      </c>
    </row>
    <row r="78" spans="1:26" x14ac:dyDescent="0.2">
      <c r="A78" s="2">
        <v>65</v>
      </c>
      <c r="B78" s="2">
        <f t="shared" si="9"/>
        <v>7.0423513832439291</v>
      </c>
      <c r="C78" s="2">
        <f t="shared" si="43"/>
        <v>-1.0615037461258818E-2</v>
      </c>
      <c r="D78" s="2">
        <f t="shared" si="44"/>
        <v>312.45246018271729</v>
      </c>
      <c r="E78" s="2">
        <f t="shared" si="51"/>
        <v>1.22421588415265</v>
      </c>
      <c r="F78" s="8">
        <f t="shared" si="46"/>
        <v>105.98716971176209</v>
      </c>
      <c r="G78" s="2">
        <f t="shared" si="47"/>
        <v>1589.0227733180541</v>
      </c>
      <c r="H78" s="2">
        <f t="shared" si="48"/>
        <v>293.87396724536501</v>
      </c>
      <c r="I78" s="2">
        <f t="shared" si="49"/>
        <v>8894.0198768743667</v>
      </c>
      <c r="J78" s="2">
        <f t="shared" si="10"/>
        <v>0.35580588864349183</v>
      </c>
      <c r="K78" s="2">
        <f t="shared" si="11"/>
        <v>28645.750765999095</v>
      </c>
      <c r="L78" s="2">
        <f t="shared" si="50"/>
        <v>9.7793566675570194</v>
      </c>
      <c r="M78" s="2">
        <f t="shared" ref="M78:M141" si="52">$B$1-($B$7*A78)</f>
        <v>32426.966914084987</v>
      </c>
      <c r="N78">
        <f t="shared" ref="N78:N141" si="53">(0.5*J78*(D78)^2)/1000</f>
        <v>17.368048887570296</v>
      </c>
      <c r="O78" s="2">
        <f t="shared" ref="O78:O141" si="54">$B$5*P78</f>
        <v>555267</v>
      </c>
      <c r="P78" s="2">
        <v>1</v>
      </c>
      <c r="R78">
        <f t="shared" ref="R78:R141" si="55">G78/100</f>
        <v>15.890227733180541</v>
      </c>
      <c r="S78">
        <f t="shared" ref="S78:S141" si="56">I78/10</f>
        <v>889.40198768743664</v>
      </c>
      <c r="T78">
        <f t="shared" ref="T78:T141" si="57">E78*180/PI()</f>
        <v>70.142403374823374</v>
      </c>
      <c r="V78" s="2">
        <f t="shared" si="19"/>
        <v>8894.0198768743667</v>
      </c>
      <c r="Y78">
        <f t="shared" ref="Y78:Y141" si="58">(G78*COS((PI()/2) - E78))</f>
        <v>1494.539124976423</v>
      </c>
      <c r="Z78">
        <f t="shared" ref="Z78:Z141" si="59">6400+(I78)</f>
        <v>15294.019876874367</v>
      </c>
    </row>
    <row r="79" spans="1:26" x14ac:dyDescent="0.2">
      <c r="A79" s="2">
        <v>66</v>
      </c>
      <c r="B79" s="2">
        <f t="shared" ref="B79:B142" si="60">((O78-K79)/M79)-(L79*SIN(E79))</f>
        <v>7.1547755430758802</v>
      </c>
      <c r="C79" s="2">
        <f t="shared" si="43"/>
        <v>-1.0683820433252944E-2</v>
      </c>
      <c r="D79" s="2">
        <f t="shared" si="44"/>
        <v>319.49481156596124</v>
      </c>
      <c r="E79" s="2">
        <f t="shared" si="51"/>
        <v>1.2136008466913912</v>
      </c>
      <c r="F79" s="8">
        <f t="shared" si="46"/>
        <v>111.54996718345511</v>
      </c>
      <c r="G79" s="2">
        <f t="shared" si="47"/>
        <v>1700.5727405015091</v>
      </c>
      <c r="H79" s="2">
        <f t="shared" si="48"/>
        <v>299.32865111506436</v>
      </c>
      <c r="I79" s="2">
        <f t="shared" si="49"/>
        <v>9193.3485279894303</v>
      </c>
      <c r="J79" s="2">
        <f t="shared" ref="J79:J142" si="61">$J$13*EXP(-I79/7194)</f>
        <v>0.34130524665178408</v>
      </c>
      <c r="K79" s="2">
        <f t="shared" ref="K79:K142" si="62">0.7*(PI()*(0.75))*0.5*J79*(D79)^2</f>
        <v>28730.935326134444</v>
      </c>
      <c r="L79" s="2">
        <f t="shared" si="50"/>
        <v>9.7784400918752166</v>
      </c>
      <c r="M79" s="2">
        <f t="shared" si="52"/>
        <v>32271.126558917065</v>
      </c>
      <c r="N79">
        <f t="shared" si="53"/>
        <v>17.419696673553727</v>
      </c>
      <c r="O79" s="2">
        <f t="shared" si="54"/>
        <v>555267</v>
      </c>
      <c r="P79" s="2">
        <v>1</v>
      </c>
      <c r="R79">
        <f t="shared" si="55"/>
        <v>17.00572740501509</v>
      </c>
      <c r="S79">
        <f t="shared" si="56"/>
        <v>919.33485279894307</v>
      </c>
      <c r="T79">
        <f t="shared" si="57"/>
        <v>69.534206528919967</v>
      </c>
      <c r="V79" s="2">
        <f t="shared" si="19"/>
        <v>9193.3485279894303</v>
      </c>
      <c r="Y79">
        <f t="shared" si="58"/>
        <v>1593.2344630024559</v>
      </c>
      <c r="Z79">
        <f t="shared" si="59"/>
        <v>15593.34852798943</v>
      </c>
    </row>
    <row r="80" spans="1:26" x14ac:dyDescent="0.2">
      <c r="A80" s="2">
        <v>67</v>
      </c>
      <c r="B80" s="2">
        <f t="shared" si="60"/>
        <v>7.2701456910452098</v>
      </c>
      <c r="C80" s="2">
        <f t="shared" si="43"/>
        <v>-1.0746531066891033E-2</v>
      </c>
      <c r="D80" s="2">
        <f t="shared" si="44"/>
        <v>326.6495871090371</v>
      </c>
      <c r="E80" s="2">
        <f t="shared" si="51"/>
        <v>1.2029170262581383</v>
      </c>
      <c r="F80" s="8">
        <f t="shared" si="46"/>
        <v>117.30073467082691</v>
      </c>
      <c r="G80" s="2">
        <f t="shared" si="47"/>
        <v>1817.8734751723359</v>
      </c>
      <c r="H80" s="2">
        <f t="shared" si="48"/>
        <v>304.79415774999075</v>
      </c>
      <c r="I80" s="2">
        <f t="shared" si="49"/>
        <v>9498.1426857394217</v>
      </c>
      <c r="J80" s="2">
        <f t="shared" si="61"/>
        <v>0.32714693088831187</v>
      </c>
      <c r="K80" s="2">
        <f t="shared" si="62"/>
        <v>28786.327228031474</v>
      </c>
      <c r="L80" s="2">
        <f t="shared" si="50"/>
        <v>9.7775069126439274</v>
      </c>
      <c r="M80" s="2">
        <f t="shared" si="52"/>
        <v>32115.286203749143</v>
      </c>
      <c r="N80">
        <f t="shared" si="53"/>
        <v>17.453281035436291</v>
      </c>
      <c r="O80" s="2">
        <f t="shared" si="54"/>
        <v>555267</v>
      </c>
      <c r="P80" s="2">
        <v>1</v>
      </c>
      <c r="R80">
        <f t="shared" si="55"/>
        <v>18.178734751723358</v>
      </c>
      <c r="S80">
        <f t="shared" si="56"/>
        <v>949.81426857394217</v>
      </c>
      <c r="T80">
        <f t="shared" si="57"/>
        <v>68.922068709018959</v>
      </c>
      <c r="V80" s="2">
        <f t="shared" ref="V80:V143" si="63">H80+I79</f>
        <v>9498.1426857394217</v>
      </c>
      <c r="Y80">
        <f t="shared" si="58"/>
        <v>1696.2434260669904</v>
      </c>
      <c r="Z80">
        <f t="shared" si="59"/>
        <v>15898.142685739422</v>
      </c>
    </row>
    <row r="81" spans="1:26" x14ac:dyDescent="0.2">
      <c r="A81" s="2">
        <v>68</v>
      </c>
      <c r="B81" s="2">
        <f t="shared" si="60"/>
        <v>7.3884728457923554</v>
      </c>
      <c r="C81" s="2">
        <f t="shared" si="43"/>
        <v>-1.0803174492865945E-2</v>
      </c>
      <c r="D81" s="2">
        <f t="shared" si="44"/>
        <v>333.91973280008233</v>
      </c>
      <c r="E81" s="2">
        <f t="shared" si="51"/>
        <v>1.1921704951912473</v>
      </c>
      <c r="F81" s="8">
        <f t="shared" si="46"/>
        <v>123.24189073494452</v>
      </c>
      <c r="G81" s="2">
        <f t="shared" si="47"/>
        <v>1941.1153659072804</v>
      </c>
      <c r="H81" s="2">
        <f t="shared" si="48"/>
        <v>310.26935542023273</v>
      </c>
      <c r="I81" s="2">
        <f t="shared" si="49"/>
        <v>9808.4120411596541</v>
      </c>
      <c r="J81" s="2">
        <f t="shared" si="61"/>
        <v>0.31333737740558532</v>
      </c>
      <c r="K81" s="2">
        <f t="shared" si="62"/>
        <v>28812.142426944432</v>
      </c>
      <c r="L81" s="2">
        <f t="shared" si="50"/>
        <v>9.7765571073598423</v>
      </c>
      <c r="M81" s="2">
        <f t="shared" si="52"/>
        <v>31959.445848581221</v>
      </c>
      <c r="N81">
        <f t="shared" si="53"/>
        <v>17.46893290787019</v>
      </c>
      <c r="O81" s="2">
        <f t="shared" si="54"/>
        <v>555267</v>
      </c>
      <c r="P81" s="2">
        <v>1</v>
      </c>
      <c r="R81">
        <f t="shared" si="55"/>
        <v>19.411153659072806</v>
      </c>
      <c r="S81">
        <f t="shared" si="56"/>
        <v>980.84120411596541</v>
      </c>
      <c r="T81">
        <f t="shared" si="57"/>
        <v>68.306337834479876</v>
      </c>
      <c r="V81" s="2">
        <f t="shared" si="63"/>
        <v>9808.4120411596541</v>
      </c>
      <c r="Y81">
        <f t="shared" si="58"/>
        <v>1803.6328920307901</v>
      </c>
      <c r="Z81">
        <f t="shared" si="59"/>
        <v>16208.412041159654</v>
      </c>
    </row>
    <row r="82" spans="1:26" x14ac:dyDescent="0.2">
      <c r="A82" s="2">
        <v>69</v>
      </c>
      <c r="B82" s="2">
        <f t="shared" si="60"/>
        <v>7.5097636609985674</v>
      </c>
      <c r="C82" s="2">
        <f t="shared" ref="C82:C96" si="64">-((L82/D82)-(D82/(6378000+(I82))))*COS(E82)</f>
        <v>-1.0853766944621961E-2</v>
      </c>
      <c r="D82" s="2">
        <f t="shared" ref="D82:D96" si="65">B81+D81</f>
        <v>341.30820564587469</v>
      </c>
      <c r="E82" s="2">
        <f t="shared" ref="E82:E96" si="66">E81+C81</f>
        <v>1.1813673206983812</v>
      </c>
      <c r="F82" s="8">
        <f t="shared" ref="F82:F96" si="67">((6378000/(6378000+(I82)))*D82*COS(E82))</f>
        <v>129.37578820815364</v>
      </c>
      <c r="G82" s="2">
        <f t="shared" ref="G82:G96" si="68">F82+G81</f>
        <v>2070.4911541154343</v>
      </c>
      <c r="H82" s="2">
        <f t="shared" ref="H82:H96" si="69">D82*SIN(E82)</f>
        <v>315.75309312345365</v>
      </c>
      <c r="I82" s="2">
        <f t="shared" ref="I82:I96" si="70">H82+I81</f>
        <v>10124.165134283108</v>
      </c>
      <c r="J82" s="2">
        <f t="shared" si="61"/>
        <v>0.29988207705024622</v>
      </c>
      <c r="K82" s="2">
        <f t="shared" si="62"/>
        <v>28808.666088117567</v>
      </c>
      <c r="L82" s="2">
        <f t="shared" ref="L82:L96" si="71">((9.80665)/(1+(I82/6378000))^2)</f>
        <v>9.775590657186001</v>
      </c>
      <c r="M82" s="2">
        <f t="shared" si="52"/>
        <v>31803.605493413295</v>
      </c>
      <c r="N82">
        <f t="shared" si="53"/>
        <v>17.46682518783911</v>
      </c>
      <c r="O82" s="2">
        <f t="shared" si="54"/>
        <v>555267</v>
      </c>
      <c r="P82" s="2">
        <v>1</v>
      </c>
      <c r="R82">
        <f t="shared" si="55"/>
        <v>20.704911541154342</v>
      </c>
      <c r="S82">
        <f t="shared" si="56"/>
        <v>1012.4165134283109</v>
      </c>
      <c r="T82">
        <f t="shared" si="57"/>
        <v>67.68736153069527</v>
      </c>
      <c r="V82" s="2">
        <f t="shared" si="63"/>
        <v>10124.165134283108</v>
      </c>
      <c r="Y82">
        <f t="shared" si="58"/>
        <v>1915.4651877166189</v>
      </c>
      <c r="Z82">
        <f t="shared" si="59"/>
        <v>16524.16513428311</v>
      </c>
    </row>
    <row r="83" spans="1:26" x14ac:dyDescent="0.2">
      <c r="A83" s="2">
        <v>70</v>
      </c>
      <c r="B83" s="2">
        <f t="shared" si="60"/>
        <v>7.6340204812148151</v>
      </c>
      <c r="C83" s="2">
        <f t="shared" si="64"/>
        <v>-1.0898335688205082E-2</v>
      </c>
      <c r="D83" s="2">
        <f t="shared" si="65"/>
        <v>348.81796930687324</v>
      </c>
      <c r="E83" s="2">
        <f t="shared" si="66"/>
        <v>1.1705135537537592</v>
      </c>
      <c r="F83" s="8">
        <f t="shared" si="67"/>
        <v>135.70471302211459</v>
      </c>
      <c r="G83" s="2">
        <f t="shared" si="68"/>
        <v>2206.1958671375487</v>
      </c>
      <c r="H83" s="2">
        <f t="shared" si="69"/>
        <v>321.244201899953</v>
      </c>
      <c r="I83" s="2">
        <f t="shared" si="70"/>
        <v>10445.409336183062</v>
      </c>
      <c r="J83" s="2">
        <f t="shared" si="61"/>
        <v>0.28678558861646797</v>
      </c>
      <c r="K83" s="2">
        <f t="shared" si="62"/>
        <v>28776.250339049024</v>
      </c>
      <c r="L83" s="2">
        <f t="shared" si="71"/>
        <v>9.7746075470047398</v>
      </c>
      <c r="M83" s="2">
        <f t="shared" si="52"/>
        <v>31647.76513824537</v>
      </c>
      <c r="N83">
        <f t="shared" si="53"/>
        <v>17.447171371845645</v>
      </c>
      <c r="O83" s="2">
        <f t="shared" si="54"/>
        <v>555267</v>
      </c>
      <c r="P83" s="2">
        <v>1</v>
      </c>
      <c r="R83">
        <f t="shared" si="55"/>
        <v>22.061958671375486</v>
      </c>
      <c r="S83">
        <f t="shared" si="56"/>
        <v>1044.5409336183061</v>
      </c>
      <c r="T83">
        <f t="shared" si="57"/>
        <v>67.06548649294983</v>
      </c>
      <c r="V83" s="2">
        <f t="shared" si="63"/>
        <v>10445.409336183062</v>
      </c>
      <c r="Y83">
        <f t="shared" si="58"/>
        <v>2031.7979374224046</v>
      </c>
      <c r="Z83">
        <f t="shared" si="59"/>
        <v>16845.40933618306</v>
      </c>
    </row>
    <row r="84" spans="1:26" x14ac:dyDescent="0.2">
      <c r="A84" s="2">
        <v>71</v>
      </c>
      <c r="B84" s="2">
        <f t="shared" si="60"/>
        <v>7.7612414134285768</v>
      </c>
      <c r="C84" s="2">
        <f t="shared" si="64"/>
        <v>-1.0936918896743763E-2</v>
      </c>
      <c r="D84" s="2">
        <f t="shared" si="65"/>
        <v>356.45198978808804</v>
      </c>
      <c r="E84" s="2">
        <f t="shared" si="66"/>
        <v>1.1596152180655541</v>
      </c>
      <c r="F84" s="8">
        <f t="shared" si="67"/>
        <v>142.23088315817452</v>
      </c>
      <c r="G84" s="2">
        <f t="shared" si="68"/>
        <v>2348.4267502957232</v>
      </c>
      <c r="H84" s="2">
        <f t="shared" si="69"/>
        <v>326.74149624791801</v>
      </c>
      <c r="I84" s="2">
        <f t="shared" si="70"/>
        <v>10772.15083243098</v>
      </c>
      <c r="J84" s="2">
        <f t="shared" si="61"/>
        <v>0.27405155520061536</v>
      </c>
      <c r="K84" s="2">
        <f t="shared" si="62"/>
        <v>28715.311919587839</v>
      </c>
      <c r="L84" s="2">
        <f t="shared" si="71"/>
        <v>9.7736077654660889</v>
      </c>
      <c r="M84" s="2">
        <f t="shared" si="52"/>
        <v>31491.924783077448</v>
      </c>
      <c r="N84">
        <f t="shared" si="53"/>
        <v>17.410224131154386</v>
      </c>
      <c r="O84" s="2">
        <f t="shared" si="54"/>
        <v>555267</v>
      </c>
      <c r="P84" s="2">
        <v>1</v>
      </c>
      <c r="R84">
        <f t="shared" si="55"/>
        <v>23.484267502957231</v>
      </c>
      <c r="S84">
        <f t="shared" si="56"/>
        <v>1077.215083243098</v>
      </c>
      <c r="T84">
        <f t="shared" si="57"/>
        <v>66.441057854298862</v>
      </c>
      <c r="V84" s="2">
        <f t="shared" si="63"/>
        <v>10772.15083243098</v>
      </c>
      <c r="Y84">
        <f t="shared" si="58"/>
        <v>2152.6839299633025</v>
      </c>
      <c r="Z84">
        <f t="shared" si="59"/>
        <v>17172.15083243098</v>
      </c>
    </row>
    <row r="85" spans="1:26" x14ac:dyDescent="0.2">
      <c r="A85" s="2">
        <v>72</v>
      </c>
      <c r="B85" s="2">
        <f t="shared" si="60"/>
        <v>7.8914204139243882</v>
      </c>
      <c r="C85" s="2">
        <f t="shared" si="64"/>
        <v>-1.0969565470267558E-2</v>
      </c>
      <c r="D85" s="2">
        <f t="shared" si="65"/>
        <v>364.21323120151663</v>
      </c>
      <c r="E85" s="2">
        <f t="shared" si="66"/>
        <v>1.1486782991688103</v>
      </c>
      <c r="F85" s="8">
        <f t="shared" si="67"/>
        <v>148.9564477255191</v>
      </c>
      <c r="G85" s="2">
        <f t="shared" si="68"/>
        <v>2497.3831980212422</v>
      </c>
      <c r="H85" s="2">
        <f t="shared" si="69"/>
        <v>332.24377563026849</v>
      </c>
      <c r="I85" s="2">
        <f t="shared" si="70"/>
        <v>11104.394608061248</v>
      </c>
      <c r="J85" s="2">
        <f t="shared" si="61"/>
        <v>0.26168272359921574</v>
      </c>
      <c r="K85" s="2">
        <f t="shared" si="62"/>
        <v>28626.329737115757</v>
      </c>
      <c r="L85" s="2">
        <f t="shared" si="71"/>
        <v>9.7725913050313782</v>
      </c>
      <c r="M85" s="2">
        <f t="shared" si="52"/>
        <v>31336.084427909525</v>
      </c>
      <c r="N85">
        <f t="shared" si="53"/>
        <v>17.356273829487581</v>
      </c>
      <c r="O85" s="2">
        <f t="shared" si="54"/>
        <v>555267</v>
      </c>
      <c r="P85" s="2">
        <v>1</v>
      </c>
      <c r="R85">
        <f t="shared" si="55"/>
        <v>24.97383198021242</v>
      </c>
      <c r="S85">
        <f t="shared" si="56"/>
        <v>1110.4394608061248</v>
      </c>
      <c r="T85">
        <f t="shared" si="57"/>
        <v>65.814418560638558</v>
      </c>
      <c r="V85" s="2">
        <f t="shared" si="63"/>
        <v>11104.394608061248</v>
      </c>
      <c r="Y85">
        <f t="shared" si="58"/>
        <v>2278.1710048504046</v>
      </c>
      <c r="Z85">
        <f t="shared" si="59"/>
        <v>17504.394608061248</v>
      </c>
    </row>
    <row r="86" spans="1:26" x14ac:dyDescent="0.2">
      <c r="A86" s="2">
        <v>73</v>
      </c>
      <c r="B86" s="2">
        <f t="shared" si="60"/>
        <v>8.0245473899323887</v>
      </c>
      <c r="C86" s="2">
        <f t="shared" si="64"/>
        <v>-1.099633480217526E-2</v>
      </c>
      <c r="D86" s="2">
        <f t="shared" si="65"/>
        <v>372.10465161544101</v>
      </c>
      <c r="E86" s="2">
        <f t="shared" si="66"/>
        <v>1.1377087336985428</v>
      </c>
      <c r="F86" s="8">
        <f t="shared" si="67"/>
        <v>155.88348617186904</v>
      </c>
      <c r="G86" s="2">
        <f t="shared" si="68"/>
        <v>2653.2666841931114</v>
      </c>
      <c r="H86" s="2">
        <f t="shared" si="69"/>
        <v>337.74982606409742</v>
      </c>
      <c r="I86" s="2">
        <f t="shared" si="70"/>
        <v>11442.144434125345</v>
      </c>
      <c r="J86" s="2">
        <f t="shared" si="61"/>
        <v>0.24968096657798103</v>
      </c>
      <c r="K86" s="2">
        <f t="shared" si="62"/>
        <v>28509.842332875971</v>
      </c>
      <c r="L86" s="2">
        <f t="shared" si="71"/>
        <v>9.771558162011825</v>
      </c>
      <c r="M86" s="2">
        <f t="shared" si="52"/>
        <v>31180.244072741603</v>
      </c>
      <c r="N86">
        <f t="shared" si="53"/>
        <v>17.2856469868487</v>
      </c>
      <c r="O86" s="2">
        <f t="shared" si="54"/>
        <v>555267</v>
      </c>
      <c r="P86" s="2">
        <v>1</v>
      </c>
      <c r="R86">
        <f t="shared" si="55"/>
        <v>26.532666841931114</v>
      </c>
      <c r="S86">
        <f t="shared" si="56"/>
        <v>1144.2144434125344</v>
      </c>
      <c r="T86">
        <f t="shared" si="57"/>
        <v>65.185908756099792</v>
      </c>
      <c r="V86" s="2">
        <f t="shared" si="63"/>
        <v>11442.144434125345</v>
      </c>
      <c r="Y86">
        <f t="shared" si="58"/>
        <v>2408.3019580578157</v>
      </c>
      <c r="Z86">
        <f t="shared" si="59"/>
        <v>17842.144434125345</v>
      </c>
    </row>
    <row r="87" spans="1:26" x14ac:dyDescent="0.2">
      <c r="A87" s="2">
        <v>74</v>
      </c>
      <c r="B87" s="2">
        <f t="shared" si="60"/>
        <v>8.1606083154995606</v>
      </c>
      <c r="C87" s="2">
        <f t="shared" si="64"/>
        <v>-1.1017296494236982E-2</v>
      </c>
      <c r="D87" s="2">
        <f t="shared" si="65"/>
        <v>380.12919900537338</v>
      </c>
      <c r="E87" s="2">
        <f t="shared" si="66"/>
        <v>1.1267123988963674</v>
      </c>
      <c r="F87" s="8">
        <f t="shared" si="67"/>
        <v>163.01400763078649</v>
      </c>
      <c r="G87" s="2">
        <f t="shared" si="68"/>
        <v>2816.280691823898</v>
      </c>
      <c r="H87" s="2">
        <f t="shared" si="69"/>
        <v>343.25842178343169</v>
      </c>
      <c r="I87" s="2">
        <f t="shared" si="70"/>
        <v>11785.402855908776</v>
      </c>
      <c r="J87" s="2">
        <f t="shared" si="61"/>
        <v>0.23804730782666797</v>
      </c>
      <c r="K87" s="2">
        <f t="shared" si="62"/>
        <v>28366.445264484126</v>
      </c>
      <c r="L87" s="2">
        <f t="shared" si="71"/>
        <v>9.7705083366017931</v>
      </c>
      <c r="M87" s="2">
        <f t="shared" si="52"/>
        <v>31024.403717573681</v>
      </c>
      <c r="N87">
        <f t="shared" si="53"/>
        <v>17.198704692526988</v>
      </c>
      <c r="O87" s="2">
        <f t="shared" si="54"/>
        <v>555267</v>
      </c>
      <c r="P87" s="2">
        <v>1</v>
      </c>
      <c r="R87">
        <f t="shared" si="55"/>
        <v>28.162806918238982</v>
      </c>
      <c r="S87">
        <f t="shared" si="56"/>
        <v>1178.5402855908776</v>
      </c>
      <c r="T87">
        <f t="shared" si="57"/>
        <v>64.555865181822327</v>
      </c>
      <c r="V87" s="2">
        <f t="shared" si="63"/>
        <v>11785.402855908776</v>
      </c>
      <c r="Y87">
        <f t="shared" si="58"/>
        <v>2543.1144676706544</v>
      </c>
      <c r="Z87">
        <f t="shared" si="59"/>
        <v>18185.402855908775</v>
      </c>
    </row>
    <row r="88" spans="1:26" x14ac:dyDescent="0.2">
      <c r="A88" s="2">
        <v>75</v>
      </c>
      <c r="B88" s="2">
        <f t="shared" si="60"/>
        <v>8.299585360961153</v>
      </c>
      <c r="C88" s="2">
        <f t="shared" si="64"/>
        <v>-1.1032530022548717E-2</v>
      </c>
      <c r="D88" s="2">
        <f t="shared" si="65"/>
        <v>388.28980732087297</v>
      </c>
      <c r="E88" s="2">
        <f t="shared" si="66"/>
        <v>1.1156951024021304</v>
      </c>
      <c r="F88" s="8">
        <f t="shared" si="67"/>
        <v>170.34995040893682</v>
      </c>
      <c r="G88" s="2">
        <f t="shared" si="68"/>
        <v>2986.6306422328348</v>
      </c>
      <c r="H88" s="2">
        <f t="shared" si="69"/>
        <v>348.76832696588707</v>
      </c>
      <c r="I88" s="2">
        <f t="shared" si="70"/>
        <v>12134.171182874663</v>
      </c>
      <c r="J88" s="2">
        <f t="shared" si="61"/>
        <v>0.22678194940307012</v>
      </c>
      <c r="K88" s="2">
        <f t="shared" si="62"/>
        <v>28196.788408810375</v>
      </c>
      <c r="L88" s="2">
        <f t="shared" si="71"/>
        <v>9.7694418329066703</v>
      </c>
      <c r="M88" s="2">
        <f t="shared" si="52"/>
        <v>30868.563362405755</v>
      </c>
      <c r="N88">
        <f t="shared" si="53"/>
        <v>17.095840969822589</v>
      </c>
      <c r="O88" s="2">
        <f t="shared" si="54"/>
        <v>555267</v>
      </c>
      <c r="P88" s="2">
        <v>1</v>
      </c>
      <c r="R88">
        <f t="shared" si="55"/>
        <v>29.86630642232835</v>
      </c>
      <c r="S88">
        <f t="shared" si="56"/>
        <v>1213.4171182874663</v>
      </c>
      <c r="T88">
        <f t="shared" si="57"/>
        <v>63.924620591058272</v>
      </c>
      <c r="V88" s="2">
        <f t="shared" si="63"/>
        <v>12134.171182874663</v>
      </c>
      <c r="Y88">
        <f t="shared" si="58"/>
        <v>2682.6410395465564</v>
      </c>
      <c r="Z88">
        <f t="shared" si="59"/>
        <v>18534.171182874663</v>
      </c>
    </row>
    <row r="89" spans="1:26" x14ac:dyDescent="0.2">
      <c r="A89" s="2">
        <v>76</v>
      </c>
      <c r="B89" s="2">
        <f t="shared" si="60"/>
        <v>8.4414570353359188</v>
      </c>
      <c r="C89" s="2">
        <f t="shared" si="64"/>
        <v>-1.1042124357345891E-2</v>
      </c>
      <c r="D89" s="2">
        <f t="shared" si="65"/>
        <v>396.58939268183411</v>
      </c>
      <c r="E89" s="2">
        <f t="shared" si="66"/>
        <v>1.1046625723795818</v>
      </c>
      <c r="F89" s="8">
        <f t="shared" si="67"/>
        <v>177.89318161593704</v>
      </c>
      <c r="G89" s="2">
        <f t="shared" si="68"/>
        <v>3164.5238238487718</v>
      </c>
      <c r="H89" s="2">
        <f t="shared" si="69"/>
        <v>354.27829751375901</v>
      </c>
      <c r="I89" s="2">
        <f t="shared" si="70"/>
        <v>12488.449480388423</v>
      </c>
      <c r="J89" s="2">
        <f t="shared" si="61"/>
        <v>0.21588430145949281</v>
      </c>
      <c r="K89" s="2">
        <f t="shared" si="62"/>
        <v>28001.573188766328</v>
      </c>
      <c r="L89" s="2">
        <f t="shared" si="71"/>
        <v>9.7683586589650613</v>
      </c>
      <c r="M89" s="2">
        <f t="shared" si="52"/>
        <v>30712.723007237833</v>
      </c>
      <c r="N89">
        <f t="shared" si="53"/>
        <v>16.977481094634847</v>
      </c>
      <c r="O89" s="2">
        <f t="shared" si="54"/>
        <v>555267</v>
      </c>
      <c r="P89" s="2">
        <v>1</v>
      </c>
      <c r="R89">
        <f t="shared" si="55"/>
        <v>31.645238238487718</v>
      </c>
      <c r="S89">
        <f t="shared" si="56"/>
        <v>1248.8449480388422</v>
      </c>
      <c r="T89">
        <f t="shared" si="57"/>
        <v>63.292503183414858</v>
      </c>
      <c r="V89" s="2">
        <f t="shared" si="63"/>
        <v>12488.449480388423</v>
      </c>
      <c r="Y89">
        <f t="shared" si="58"/>
        <v>2826.9089729646389</v>
      </c>
      <c r="Z89">
        <f t="shared" si="59"/>
        <v>18888.449480388423</v>
      </c>
    </row>
    <row r="90" spans="1:26" x14ac:dyDescent="0.2">
      <c r="A90" s="2">
        <v>77</v>
      </c>
      <c r="B90" s="2">
        <f t="shared" si="60"/>
        <v>8.5861983409184077</v>
      </c>
      <c r="C90" s="2">
        <f t="shared" si="64"/>
        <v>-1.1046177540018989E-2</v>
      </c>
      <c r="D90" s="2">
        <f t="shared" si="65"/>
        <v>405.03084971717004</v>
      </c>
      <c r="E90" s="2">
        <f t="shared" si="66"/>
        <v>1.0936204480222358</v>
      </c>
      <c r="F90" s="8">
        <f t="shared" si="67"/>
        <v>185.64549693871442</v>
      </c>
      <c r="G90" s="2">
        <f t="shared" si="68"/>
        <v>3350.1693207874864</v>
      </c>
      <c r="H90" s="2">
        <f t="shared" si="69"/>
        <v>359.7870828801681</v>
      </c>
      <c r="I90" s="2">
        <f t="shared" si="70"/>
        <v>12848.236563268591</v>
      </c>
      <c r="J90" s="2">
        <f t="shared" si="61"/>
        <v>0.20535301403675416</v>
      </c>
      <c r="K90" s="2">
        <f t="shared" si="62"/>
        <v>27781.549727075268</v>
      </c>
      <c r="L90" s="2">
        <f t="shared" si="71"/>
        <v>9.7672588267652642</v>
      </c>
      <c r="M90" s="2">
        <f t="shared" si="52"/>
        <v>30556.882652069908</v>
      </c>
      <c r="N90">
        <f t="shared" si="53"/>
        <v>16.844079869780284</v>
      </c>
      <c r="O90" s="2">
        <f t="shared" si="54"/>
        <v>555267</v>
      </c>
      <c r="P90" s="2">
        <v>1</v>
      </c>
      <c r="R90">
        <f t="shared" si="55"/>
        <v>33.501693207874865</v>
      </c>
      <c r="S90">
        <f t="shared" si="56"/>
        <v>1284.823656326859</v>
      </c>
      <c r="T90">
        <f t="shared" si="57"/>
        <v>62.65983606088033</v>
      </c>
      <c r="V90" s="2">
        <f t="shared" si="63"/>
        <v>12848.236563268591</v>
      </c>
      <c r="Y90">
        <f t="shared" si="58"/>
        <v>2975.9403460809194</v>
      </c>
      <c r="Z90">
        <f t="shared" si="59"/>
        <v>19248.236563268591</v>
      </c>
    </row>
    <row r="91" spans="1:26" x14ac:dyDescent="0.2">
      <c r="A91" s="2">
        <v>78</v>
      </c>
      <c r="B91" s="2">
        <f t="shared" si="60"/>
        <v>8.7337809392950749</v>
      </c>
      <c r="C91" s="2">
        <f t="shared" si="64"/>
        <v>-1.1044796221054021E-2</v>
      </c>
      <c r="D91" s="2">
        <f t="shared" si="65"/>
        <v>413.61704805808847</v>
      </c>
      <c r="E91" s="2">
        <f t="shared" si="66"/>
        <v>1.0825742704822168</v>
      </c>
      <c r="F91" s="8">
        <f t="shared" si="67"/>
        <v>193.60862056161417</v>
      </c>
      <c r="G91" s="2">
        <f t="shared" si="68"/>
        <v>3543.7779413491007</v>
      </c>
      <c r="H91" s="2">
        <f t="shared" si="69"/>
        <v>365.29342793106059</v>
      </c>
      <c r="I91" s="2">
        <f t="shared" si="70"/>
        <v>13213.529991199652</v>
      </c>
      <c r="J91" s="2">
        <f t="shared" si="61"/>
        <v>0.19518601070412581</v>
      </c>
      <c r="K91" s="2">
        <f t="shared" si="62"/>
        <v>27537.513929847744</v>
      </c>
      <c r="L91" s="2">
        <f t="shared" si="71"/>
        <v>9.766142352255855</v>
      </c>
      <c r="M91" s="2">
        <f t="shared" si="52"/>
        <v>30401.042296901986</v>
      </c>
      <c r="N91">
        <f t="shared" si="53"/>
        <v>16.69611985675121</v>
      </c>
      <c r="O91" s="2">
        <f t="shared" si="54"/>
        <v>555267</v>
      </c>
      <c r="P91" s="2">
        <v>1</v>
      </c>
      <c r="R91">
        <f t="shared" si="55"/>
        <v>35.437779413491008</v>
      </c>
      <c r="S91">
        <f t="shared" si="56"/>
        <v>1321.3529991199653</v>
      </c>
      <c r="T91">
        <f t="shared" si="57"/>
        <v>62.026936708085039</v>
      </c>
      <c r="V91" s="2">
        <f t="shared" si="63"/>
        <v>13213.529991199652</v>
      </c>
      <c r="Y91">
        <f t="shared" si="58"/>
        <v>3129.7520208598548</v>
      </c>
      <c r="Z91">
        <f t="shared" si="59"/>
        <v>19613.529991199652</v>
      </c>
    </row>
    <row r="92" spans="1:26" x14ac:dyDescent="0.2">
      <c r="A92" s="2">
        <v>79</v>
      </c>
      <c r="B92" s="2">
        <f t="shared" si="60"/>
        <v>8.8841733279690196</v>
      </c>
      <c r="C92" s="2">
        <f t="shared" si="64"/>
        <v>-1.1038095162940086E-2</v>
      </c>
      <c r="D92" s="2">
        <f t="shared" si="65"/>
        <v>422.35082899738353</v>
      </c>
      <c r="E92" s="2">
        <f t="shared" si="66"/>
        <v>1.0715294742611627</v>
      </c>
      <c r="F92" s="8">
        <f t="shared" si="67"/>
        <v>201.78420523283989</v>
      </c>
      <c r="G92" s="2">
        <f t="shared" si="68"/>
        <v>3745.5621465819404</v>
      </c>
      <c r="H92" s="2">
        <f t="shared" si="69"/>
        <v>370.79607483413417</v>
      </c>
      <c r="I92" s="2">
        <f t="shared" si="70"/>
        <v>13584.326066033786</v>
      </c>
      <c r="J92" s="2">
        <f t="shared" si="61"/>
        <v>0.18538052381873574</v>
      </c>
      <c r="K92" s="2">
        <f t="shared" si="62"/>
        <v>27270.304502727889</v>
      </c>
      <c r="L92" s="2">
        <f t="shared" si="71"/>
        <v>9.7650092553503818</v>
      </c>
      <c r="M92" s="2">
        <f t="shared" si="52"/>
        <v>30245.201941734063</v>
      </c>
      <c r="N92">
        <f t="shared" si="53"/>
        <v>16.534109566591674</v>
      </c>
      <c r="O92" s="2">
        <f t="shared" si="54"/>
        <v>555267</v>
      </c>
      <c r="P92" s="2">
        <v>1</v>
      </c>
      <c r="R92">
        <f t="shared" si="55"/>
        <v>37.455621465819405</v>
      </c>
      <c r="S92">
        <f t="shared" si="56"/>
        <v>1358.4326066033786</v>
      </c>
      <c r="T92">
        <f t="shared" si="57"/>
        <v>61.394116499036606</v>
      </c>
      <c r="V92" s="2">
        <f t="shared" si="63"/>
        <v>13584.326066033786</v>
      </c>
      <c r="Y92">
        <f t="shared" si="58"/>
        <v>3288.3556670099524</v>
      </c>
      <c r="Z92">
        <f t="shared" si="59"/>
        <v>19984.326066033784</v>
      </c>
    </row>
    <row r="93" spans="1:26" x14ac:dyDescent="0.2">
      <c r="A93" s="2">
        <v>80</v>
      </c>
      <c r="B93" s="2">
        <f t="shared" si="60"/>
        <v>9.0373410267407177</v>
      </c>
      <c r="C93" s="2">
        <f t="shared" si="64"/>
        <v>-1.1026196712342621E-2</v>
      </c>
      <c r="D93" s="2">
        <f t="shared" si="65"/>
        <v>431.23500232535253</v>
      </c>
      <c r="E93" s="2">
        <f t="shared" si="66"/>
        <v>1.0604913790982227</v>
      </c>
      <c r="F93" s="8">
        <f t="shared" si="67"/>
        <v>210.17383247719445</v>
      </c>
      <c r="G93" s="2">
        <f t="shared" si="68"/>
        <v>3955.7359790591349</v>
      </c>
      <c r="H93" s="2">
        <f t="shared" si="69"/>
        <v>376.29376496611269</v>
      </c>
      <c r="I93" s="2">
        <f t="shared" si="70"/>
        <v>13960.619830999898</v>
      </c>
      <c r="J93" s="2">
        <f t="shared" si="61"/>
        <v>0.17593313117480411</v>
      </c>
      <c r="K93" s="2">
        <f t="shared" si="62"/>
        <v>26980.799902507264</v>
      </c>
      <c r="L93" s="2">
        <f t="shared" si="71"/>
        <v>9.7638595599260292</v>
      </c>
      <c r="M93" s="2">
        <f t="shared" si="52"/>
        <v>30089.361586566141</v>
      </c>
      <c r="N93">
        <f t="shared" si="53"/>
        <v>16.358581611647079</v>
      </c>
      <c r="O93" s="2">
        <f t="shared" si="54"/>
        <v>555267</v>
      </c>
      <c r="P93" s="2">
        <v>1</v>
      </c>
      <c r="R93">
        <f t="shared" si="55"/>
        <v>39.557359790591349</v>
      </c>
      <c r="S93">
        <f t="shared" si="56"/>
        <v>1396.0619830999899</v>
      </c>
      <c r="T93">
        <f t="shared" si="57"/>
        <v>60.761680232336367</v>
      </c>
      <c r="V93" s="2">
        <f t="shared" si="63"/>
        <v>13960.619830999898</v>
      </c>
      <c r="Y93">
        <f t="shared" si="58"/>
        <v>3451.7578043190374</v>
      </c>
      <c r="Z93">
        <f t="shared" si="59"/>
        <v>20360.619830999898</v>
      </c>
    </row>
    <row r="94" spans="1:26" x14ac:dyDescent="0.2">
      <c r="A94" s="2">
        <v>81</v>
      </c>
      <c r="B94" s="2">
        <f t="shared" si="60"/>
        <v>9.1932467729596912</v>
      </c>
      <c r="C94" s="2">
        <f t="shared" si="64"/>
        <v>-1.1009230246033288E-2</v>
      </c>
      <c r="D94" s="2">
        <f t="shared" si="65"/>
        <v>440.27234335209323</v>
      </c>
      <c r="E94" s="2">
        <f t="shared" si="66"/>
        <v>1.04946518238588</v>
      </c>
      <c r="F94" s="8">
        <f t="shared" si="67"/>
        <v>218.77901295451295</v>
      </c>
      <c r="G94" s="2">
        <f t="shared" si="68"/>
        <v>4174.5149920136482</v>
      </c>
      <c r="H94" s="2">
        <f t="shared" si="69"/>
        <v>381.78524083021159</v>
      </c>
      <c r="I94" s="2">
        <f t="shared" si="70"/>
        <v>14342.40507183011</v>
      </c>
      <c r="J94" s="2">
        <f t="shared" si="61"/>
        <v>0.16683979381169003</v>
      </c>
      <c r="K94" s="2">
        <f t="shared" si="62"/>
        <v>26669.915227414378</v>
      </c>
      <c r="L94" s="2">
        <f t="shared" si="71"/>
        <v>9.7626932938163016</v>
      </c>
      <c r="M94" s="2">
        <f t="shared" si="52"/>
        <v>29933.521231398219</v>
      </c>
      <c r="N94">
        <f t="shared" si="53"/>
        <v>16.170090820132604</v>
      </c>
      <c r="O94" s="2">
        <f t="shared" si="54"/>
        <v>555267</v>
      </c>
      <c r="P94" s="2">
        <v>1</v>
      </c>
      <c r="R94">
        <f t="shared" si="55"/>
        <v>41.745149920136484</v>
      </c>
      <c r="S94">
        <f t="shared" si="56"/>
        <v>1434.240507183011</v>
      </c>
      <c r="T94">
        <f t="shared" si="57"/>
        <v>60.129925696638111</v>
      </c>
      <c r="V94" s="2">
        <f t="shared" si="63"/>
        <v>14342.40507183011</v>
      </c>
      <c r="Y94">
        <f t="shared" si="58"/>
        <v>3619.9598626632251</v>
      </c>
      <c r="Z94">
        <f t="shared" si="59"/>
        <v>20742.405071830108</v>
      </c>
    </row>
    <row r="95" spans="1:26" x14ac:dyDescent="0.2">
      <c r="A95" s="2">
        <v>82</v>
      </c>
      <c r="B95" s="2">
        <f t="shared" si="60"/>
        <v>9.3518507247347706</v>
      </c>
      <c r="C95" s="2">
        <f t="shared" si="64"/>
        <v>-1.0987331595195202E-2</v>
      </c>
      <c r="D95" s="2">
        <f t="shared" si="65"/>
        <v>449.46559012505293</v>
      </c>
      <c r="E95" s="2">
        <f t="shared" si="66"/>
        <v>1.0384559521398466</v>
      </c>
      <c r="F95" s="8">
        <f t="shared" si="67"/>
        <v>227.60118696265741</v>
      </c>
      <c r="G95" s="2">
        <f t="shared" si="68"/>
        <v>4402.1161789763055</v>
      </c>
      <c r="H95" s="2">
        <f t="shared" si="69"/>
        <v>387.26924797611002</v>
      </c>
      <c r="I95" s="2">
        <f t="shared" si="70"/>
        <v>14729.67431980622</v>
      </c>
      <c r="J95" s="2">
        <f t="shared" si="61"/>
        <v>0.15809589475006039</v>
      </c>
      <c r="K95" s="2">
        <f t="shared" si="62"/>
        <v>26338.599049760574</v>
      </c>
      <c r="L95" s="2">
        <f t="shared" si="71"/>
        <v>9.7615104887977093</v>
      </c>
      <c r="M95" s="2">
        <f t="shared" si="52"/>
        <v>29777.680876230294</v>
      </c>
      <c r="N95">
        <f t="shared" si="53"/>
        <v>15.969212315751971</v>
      </c>
      <c r="O95" s="2">
        <f t="shared" si="54"/>
        <v>555267</v>
      </c>
      <c r="P95" s="2">
        <v>1</v>
      </c>
      <c r="R95">
        <f t="shared" si="55"/>
        <v>44.021161789763056</v>
      </c>
      <c r="S95">
        <f t="shared" si="56"/>
        <v>1472.967431980622</v>
      </c>
      <c r="T95">
        <f t="shared" si="57"/>
        <v>59.499143267852617</v>
      </c>
      <c r="V95" s="2">
        <f t="shared" si="63"/>
        <v>14729.67431980622</v>
      </c>
      <c r="Y95">
        <f t="shared" si="58"/>
        <v>3792.9582588542544</v>
      </c>
      <c r="Z95">
        <f t="shared" si="59"/>
        <v>21129.674319806218</v>
      </c>
    </row>
    <row r="96" spans="1:26" x14ac:dyDescent="0.2">
      <c r="A96" s="2">
        <v>83</v>
      </c>
      <c r="B96" s="2">
        <f t="shared" si="60"/>
        <v>9.5131106711684819</v>
      </c>
      <c r="C96" s="2">
        <f t="shared" si="64"/>
        <v>-1.0960642452786492E-2</v>
      </c>
      <c r="D96" s="2">
        <f t="shared" si="65"/>
        <v>458.81744084978772</v>
      </c>
      <c r="E96" s="2">
        <f t="shared" si="66"/>
        <v>1.0274686205446515</v>
      </c>
      <c r="F96" s="8">
        <f t="shared" si="67"/>
        <v>236.64172508346448</v>
      </c>
      <c r="G96" s="2">
        <f t="shared" si="68"/>
        <v>4638.7579040597702</v>
      </c>
      <c r="H96" s="2">
        <f t="shared" si="69"/>
        <v>392.74453691526219</v>
      </c>
      <c r="I96" s="2">
        <f t="shared" si="70"/>
        <v>15122.418856721482</v>
      </c>
      <c r="J96" s="2">
        <f t="shared" si="61"/>
        <v>0.14969627842752833</v>
      </c>
      <c r="K96" s="2">
        <f t="shared" si="62"/>
        <v>25987.83019524068</v>
      </c>
      <c r="L96" s="2">
        <f t="shared" si="71"/>
        <v>9.7603111805704366</v>
      </c>
      <c r="M96" s="2">
        <f t="shared" si="52"/>
        <v>29621.840521062368</v>
      </c>
      <c r="N96">
        <f t="shared" si="53"/>
        <v>15.756539564972837</v>
      </c>
      <c r="O96" s="2">
        <f t="shared" si="54"/>
        <v>555267</v>
      </c>
      <c r="P96" s="2">
        <v>1</v>
      </c>
      <c r="R96">
        <f t="shared" si="55"/>
        <v>46.3875790405977</v>
      </c>
      <c r="S96">
        <f t="shared" si="56"/>
        <v>1512.2418856721483</v>
      </c>
      <c r="T96">
        <f t="shared" si="57"/>
        <v>58.869615539337204</v>
      </c>
      <c r="V96" s="2">
        <f t="shared" si="63"/>
        <v>15122.418856721482</v>
      </c>
      <c r="Y96">
        <f t="shared" si="58"/>
        <v>3970.7444893935958</v>
      </c>
      <c r="Z96">
        <f t="shared" si="59"/>
        <v>21522.418856721481</v>
      </c>
    </row>
    <row r="97" spans="1:26" x14ac:dyDescent="0.2">
      <c r="A97" s="2">
        <v>84</v>
      </c>
      <c r="B97" s="2">
        <f t="shared" si="60"/>
        <v>9.6769822486643342</v>
      </c>
      <c r="C97" s="2">
        <f t="shared" ref="C97:C160" si="72">-((L97/D97)-(D97/(6378000+(I97))))*COS(E97)</f>
        <v>-1.0929309768648419E-2</v>
      </c>
      <c r="D97" s="2">
        <f t="shared" ref="D97:D160" si="73">B96+D96</f>
        <v>468.33055152095619</v>
      </c>
      <c r="E97" s="2">
        <f t="shared" ref="E97:E160" si="74">E96+C96</f>
        <v>1.0165079780918651</v>
      </c>
      <c r="F97" s="8">
        <f t="shared" ref="F97:F160" si="75">((6378000/(6378000+(I97)))*D97*COS(E97))</f>
        <v>245.90192896961824</v>
      </c>
      <c r="G97" s="2">
        <f t="shared" ref="G97:G160" si="76">F97+G96</f>
        <v>4884.6598330293882</v>
      </c>
      <c r="H97" s="2">
        <f t="shared" ref="H97:H160" si="77">D97*SIN(E97)</f>
        <v>398.20986502492593</v>
      </c>
      <c r="I97" s="2">
        <f t="shared" ref="I97:I160" si="78">H97+I96</f>
        <v>15520.628721746409</v>
      </c>
      <c r="J97" s="2">
        <f t="shared" si="61"/>
        <v>0.141635290608778</v>
      </c>
      <c r="K97" s="2">
        <f t="shared" si="62"/>
        <v>25618.614473924419</v>
      </c>
      <c r="L97" s="2">
        <f t="shared" ref="L97:L160" si="79">((9.80665)/(1+(I97/6378000))^2)</f>
        <v>9.7590954087330815</v>
      </c>
      <c r="M97" s="2">
        <f t="shared" si="52"/>
        <v>29466.000165894446</v>
      </c>
      <c r="N97">
        <f t="shared" si="53"/>
        <v>15.532682395011991</v>
      </c>
      <c r="O97" s="2">
        <f t="shared" si="54"/>
        <v>555267</v>
      </c>
      <c r="P97" s="2">
        <v>1</v>
      </c>
      <c r="R97">
        <f t="shared" si="55"/>
        <v>48.84659833029388</v>
      </c>
      <c r="S97">
        <f t="shared" si="56"/>
        <v>1552.0628721746409</v>
      </c>
      <c r="T97">
        <f t="shared" si="57"/>
        <v>58.241616986040619</v>
      </c>
      <c r="V97" s="2">
        <f t="shared" si="63"/>
        <v>15520.628721746409</v>
      </c>
      <c r="Y97">
        <f t="shared" si="58"/>
        <v>4153.3052381193465</v>
      </c>
      <c r="Z97">
        <f t="shared" si="59"/>
        <v>21920.628721746409</v>
      </c>
    </row>
    <row r="98" spans="1:26" x14ac:dyDescent="0.2">
      <c r="A98" s="2">
        <v>85</v>
      </c>
      <c r="B98" s="2">
        <f t="shared" si="60"/>
        <v>9.8434191623443414</v>
      </c>
      <c r="C98" s="2">
        <f t="shared" si="72"/>
        <v>-1.0893485136988894E-2</v>
      </c>
      <c r="D98" s="2">
        <f t="shared" si="73"/>
        <v>478.00753376962052</v>
      </c>
      <c r="E98" s="2">
        <f t="shared" si="74"/>
        <v>1.0055786683232166</v>
      </c>
      <c r="F98" s="8">
        <f t="shared" si="75"/>
        <v>255.38303227004619</v>
      </c>
      <c r="G98" s="2">
        <f t="shared" si="76"/>
        <v>5140.0428652994342</v>
      </c>
      <c r="H98" s="2">
        <f t="shared" si="77"/>
        <v>403.66399843484828</v>
      </c>
      <c r="I98" s="2">
        <f t="shared" si="78"/>
        <v>15924.292720181256</v>
      </c>
      <c r="J98" s="2">
        <f t="shared" si="61"/>
        <v>0.13390681855043535</v>
      </c>
      <c r="K98" s="2">
        <f t="shared" si="62"/>
        <v>25231.981368811168</v>
      </c>
      <c r="L98" s="2">
        <f t="shared" si="79"/>
        <v>9.7578632167515611</v>
      </c>
      <c r="M98" s="2">
        <f t="shared" si="52"/>
        <v>29310.159810726524</v>
      </c>
      <c r="N98">
        <f t="shared" si="53"/>
        <v>15.298264986091068</v>
      </c>
      <c r="O98" s="2">
        <f t="shared" si="54"/>
        <v>555267</v>
      </c>
      <c r="P98" s="2">
        <v>1</v>
      </c>
      <c r="R98">
        <f t="shared" si="55"/>
        <v>51.400428652994343</v>
      </c>
      <c r="S98">
        <f t="shared" si="56"/>
        <v>1592.4292720181256</v>
      </c>
      <c r="T98">
        <f t="shared" si="57"/>
        <v>57.615413663305958</v>
      </c>
      <c r="V98" s="2">
        <f t="shared" si="63"/>
        <v>15924.292720181256</v>
      </c>
      <c r="Y98">
        <f t="shared" si="58"/>
        <v>4340.6224976639678</v>
      </c>
      <c r="Z98">
        <f t="shared" si="59"/>
        <v>22324.292720181256</v>
      </c>
    </row>
    <row r="99" spans="1:26" x14ac:dyDescent="0.2">
      <c r="A99" s="2">
        <v>86</v>
      </c>
      <c r="B99" s="2">
        <f t="shared" si="60"/>
        <v>10.01237341160814</v>
      </c>
      <c r="C99" s="2">
        <f t="shared" si="72"/>
        <v>-1.0853324180762446E-2</v>
      </c>
      <c r="D99" s="2">
        <f t="shared" si="73"/>
        <v>487.85095293196485</v>
      </c>
      <c r="E99" s="2">
        <f t="shared" si="74"/>
        <v>0.99468518318622778</v>
      </c>
      <c r="F99" s="8">
        <f t="shared" si="75"/>
        <v>265.08620169111458</v>
      </c>
      <c r="G99" s="2">
        <f t="shared" si="76"/>
        <v>5405.1290669905484</v>
      </c>
      <c r="H99" s="2">
        <f t="shared" si="77"/>
        <v>409.10571389111755</v>
      </c>
      <c r="I99" s="2">
        <f t="shared" si="78"/>
        <v>16333.398434072375</v>
      </c>
      <c r="J99" s="2">
        <f t="shared" si="61"/>
        <v>0.12650433120765886</v>
      </c>
      <c r="K99" s="2">
        <f t="shared" si="62"/>
        <v>24828.980688727002</v>
      </c>
      <c r="L99" s="2">
        <f t="shared" si="79"/>
        <v>9.7566146519221171</v>
      </c>
      <c r="M99" s="2">
        <f t="shared" si="52"/>
        <v>29154.319455558601</v>
      </c>
      <c r="N99">
        <f t="shared" si="53"/>
        <v>15.053923842072816</v>
      </c>
      <c r="O99" s="2">
        <f t="shared" si="54"/>
        <v>555267</v>
      </c>
      <c r="P99" s="2">
        <v>1</v>
      </c>
      <c r="R99">
        <f t="shared" si="55"/>
        <v>54.051290669905484</v>
      </c>
      <c r="S99">
        <f t="shared" si="56"/>
        <v>1633.3398434072374</v>
      </c>
      <c r="T99">
        <f t="shared" si="57"/>
        <v>56.991262940768003</v>
      </c>
      <c r="V99" s="2">
        <f t="shared" si="63"/>
        <v>16333.398434072375</v>
      </c>
      <c r="Y99">
        <f t="shared" si="58"/>
        <v>4532.6737035874557</v>
      </c>
      <c r="Z99">
        <f t="shared" si="59"/>
        <v>22733.398434072376</v>
      </c>
    </row>
    <row r="100" spans="1:26" x14ac:dyDescent="0.2">
      <c r="A100" s="2">
        <v>87</v>
      </c>
      <c r="B100" s="2">
        <f t="shared" si="60"/>
        <v>10.183795518863818</v>
      </c>
      <c r="C100" s="2">
        <f t="shared" si="72"/>
        <v>-1.080898593730879E-2</v>
      </c>
      <c r="D100" s="2">
        <f t="shared" si="73"/>
        <v>497.86332634357302</v>
      </c>
      <c r="E100" s="2">
        <f t="shared" si="74"/>
        <v>0.98383185900546533</v>
      </c>
      <c r="F100" s="8">
        <f t="shared" si="75"/>
        <v>275.01253819063044</v>
      </c>
      <c r="G100" s="2">
        <f t="shared" si="76"/>
        <v>5680.1416051811784</v>
      </c>
      <c r="H100" s="2">
        <f t="shared" si="77"/>
        <v>414.53380059225344</v>
      </c>
      <c r="I100" s="2">
        <f t="shared" si="78"/>
        <v>16747.93223466463</v>
      </c>
      <c r="J100" s="2">
        <f t="shared" si="61"/>
        <v>0.1194209192775179</v>
      </c>
      <c r="K100" s="2">
        <f t="shared" si="62"/>
        <v>24410.679193294858</v>
      </c>
      <c r="L100" s="2">
        <f t="shared" si="79"/>
        <v>9.7553497653287362</v>
      </c>
      <c r="M100" s="2">
        <f t="shared" si="52"/>
        <v>28998.479100390679</v>
      </c>
      <c r="N100">
        <f t="shared" si="53"/>
        <v>14.800305744165168</v>
      </c>
      <c r="O100" s="2">
        <f t="shared" si="54"/>
        <v>555267</v>
      </c>
      <c r="P100" s="2">
        <v>1</v>
      </c>
      <c r="R100">
        <f t="shared" si="55"/>
        <v>56.801416051811785</v>
      </c>
      <c r="S100">
        <f t="shared" si="56"/>
        <v>1674.7932234664629</v>
      </c>
      <c r="T100">
        <f t="shared" si="57"/>
        <v>56.369413271523037</v>
      </c>
      <c r="V100" s="2">
        <f t="shared" si="63"/>
        <v>16747.93223466463</v>
      </c>
      <c r="Y100">
        <f t="shared" si="58"/>
        <v>4729.431880011648</v>
      </c>
      <c r="Z100">
        <f t="shared" si="59"/>
        <v>23147.93223466463</v>
      </c>
    </row>
    <row r="101" spans="1:26" x14ac:dyDescent="0.2">
      <c r="A101" s="2">
        <v>88</v>
      </c>
      <c r="B101" s="2">
        <f t="shared" si="60"/>
        <v>10.357634760465292</v>
      </c>
      <c r="C101" s="2">
        <f t="shared" si="72"/>
        <v>-1.0760632249407494E-2</v>
      </c>
      <c r="D101" s="2">
        <f t="shared" si="73"/>
        <v>508.04712186243682</v>
      </c>
      <c r="E101" s="2">
        <f t="shared" si="74"/>
        <v>0.97302287306815649</v>
      </c>
      <c r="F101" s="8">
        <f t="shared" si="75"/>
        <v>285.16307830141756</v>
      </c>
      <c r="G101" s="2">
        <f t="shared" si="76"/>
        <v>5965.3046834825964</v>
      </c>
      <c r="H101" s="2">
        <f t="shared" si="77"/>
        <v>419.94706199315544</v>
      </c>
      <c r="I101" s="2">
        <f t="shared" si="78"/>
        <v>17167.879296657786</v>
      </c>
      <c r="J101" s="2">
        <f t="shared" si="61"/>
        <v>0.11264933488356982</v>
      </c>
      <c r="K101" s="2">
        <f t="shared" si="62"/>
        <v>23978.157198675744</v>
      </c>
      <c r="L101" s="2">
        <f t="shared" si="79"/>
        <v>9.7540686117948798</v>
      </c>
      <c r="M101" s="2">
        <f t="shared" si="52"/>
        <v>28842.638745222754</v>
      </c>
      <c r="N101">
        <f t="shared" si="53"/>
        <v>14.538065692966699</v>
      </c>
      <c r="O101" s="2">
        <f t="shared" si="54"/>
        <v>555267</v>
      </c>
      <c r="P101" s="2">
        <v>1</v>
      </c>
      <c r="R101">
        <f t="shared" si="55"/>
        <v>59.653046834825965</v>
      </c>
      <c r="S101">
        <f t="shared" si="56"/>
        <v>1716.7879296657786</v>
      </c>
      <c r="T101">
        <f t="shared" si="57"/>
        <v>55.750103996498979</v>
      </c>
      <c r="V101" s="2">
        <f t="shared" si="63"/>
        <v>17167.879296657786</v>
      </c>
      <c r="Y101">
        <f t="shared" si="58"/>
        <v>4930.8657955567196</v>
      </c>
      <c r="Z101">
        <f t="shared" si="59"/>
        <v>23567.879296657786</v>
      </c>
    </row>
    <row r="102" spans="1:26" x14ac:dyDescent="0.2">
      <c r="A102" s="2">
        <v>89</v>
      </c>
      <c r="B102" s="2">
        <f t="shared" si="60"/>
        <v>10.533839398899923</v>
      </c>
      <c r="C102" s="2">
        <f t="shared" si="72"/>
        <v>-1.0708427165664145E-2</v>
      </c>
      <c r="D102" s="2">
        <f t="shared" si="73"/>
        <v>518.40475662290214</v>
      </c>
      <c r="E102" s="2">
        <f t="shared" si="74"/>
        <v>0.962262240818749</v>
      </c>
      <c r="F102" s="8">
        <f t="shared" si="75"/>
        <v>295.53879558105126</v>
      </c>
      <c r="G102" s="2">
        <f t="shared" si="76"/>
        <v>6260.8434790636475</v>
      </c>
      <c r="H102" s="2">
        <f t="shared" si="77"/>
        <v>425.34431757305805</v>
      </c>
      <c r="I102" s="2">
        <f t="shared" si="78"/>
        <v>17593.223614230843</v>
      </c>
      <c r="J102" s="2">
        <f t="shared" si="61"/>
        <v>0.10618203071652355</v>
      </c>
      <c r="K102" s="2">
        <f t="shared" si="62"/>
        <v>23532.505173735197</v>
      </c>
      <c r="L102" s="2">
        <f t="shared" si="79"/>
        <v>9.7527712498297809</v>
      </c>
      <c r="M102" s="2">
        <f t="shared" si="52"/>
        <v>28686.798390054832</v>
      </c>
      <c r="N102">
        <f t="shared" si="53"/>
        <v>14.267864844706889</v>
      </c>
      <c r="O102" s="2">
        <f t="shared" si="54"/>
        <v>555267</v>
      </c>
      <c r="P102" s="2">
        <v>1</v>
      </c>
      <c r="R102">
        <f t="shared" si="55"/>
        <v>62.608434790636473</v>
      </c>
      <c r="S102">
        <f t="shared" si="56"/>
        <v>1759.3223614230842</v>
      </c>
      <c r="T102">
        <f t="shared" si="57"/>
        <v>55.133565183715568</v>
      </c>
      <c r="V102" s="2">
        <f t="shared" si="63"/>
        <v>17593.223614230843</v>
      </c>
      <c r="Y102">
        <f t="shared" si="58"/>
        <v>5136.9401283699772</v>
      </c>
      <c r="Z102">
        <f t="shared" si="59"/>
        <v>23993.223614230843</v>
      </c>
    </row>
    <row r="103" spans="1:26" x14ac:dyDescent="0.2">
      <c r="A103" s="2">
        <v>90</v>
      </c>
      <c r="B103" s="2">
        <f t="shared" si="60"/>
        <v>10.712356915284225</v>
      </c>
      <c r="C103" s="2">
        <f t="shared" si="72"/>
        <v>-1.0652536353867316E-2</v>
      </c>
      <c r="D103" s="2">
        <f t="shared" si="73"/>
        <v>528.93859602180203</v>
      </c>
      <c r="E103" s="2">
        <f t="shared" si="74"/>
        <v>0.95155381365308489</v>
      </c>
      <c r="F103" s="8">
        <f t="shared" si="75"/>
        <v>306.14060218417018</v>
      </c>
      <c r="G103" s="2">
        <f t="shared" si="76"/>
        <v>6566.9840812478178</v>
      </c>
      <c r="H103" s="2">
        <f t="shared" si="77"/>
        <v>430.72440456413568</v>
      </c>
      <c r="I103" s="2">
        <f t="shared" si="78"/>
        <v>18023.948018794978</v>
      </c>
      <c r="J103" s="2">
        <f t="shared" si="61"/>
        <v>0.10001119845734431</v>
      </c>
      <c r="K103" s="2">
        <f t="shared" si="62"/>
        <v>23074.820337207861</v>
      </c>
      <c r="L103" s="2">
        <f t="shared" si="79"/>
        <v>9.7514577415694053</v>
      </c>
      <c r="M103" s="2">
        <f t="shared" si="52"/>
        <v>28530.958034886906</v>
      </c>
      <c r="N103">
        <f t="shared" si="53"/>
        <v>13.99036844809153</v>
      </c>
      <c r="O103" s="2">
        <f t="shared" si="54"/>
        <v>555267</v>
      </c>
      <c r="P103" s="2">
        <v>1</v>
      </c>
      <c r="R103">
        <f t="shared" si="55"/>
        <v>65.669840812478185</v>
      </c>
      <c r="S103">
        <f t="shared" si="56"/>
        <v>1802.3948018794977</v>
      </c>
      <c r="T103">
        <f t="shared" si="57"/>
        <v>54.520017501899773</v>
      </c>
      <c r="V103" s="2">
        <f t="shared" si="63"/>
        <v>18023.948018794978</v>
      </c>
      <c r="Y103">
        <f t="shared" si="58"/>
        <v>5347.6156390391961</v>
      </c>
      <c r="Z103">
        <f t="shared" si="59"/>
        <v>24423.948018794978</v>
      </c>
    </row>
    <row r="104" spans="1:26" x14ac:dyDescent="0.2">
      <c r="A104" s="2">
        <v>91</v>
      </c>
      <c r="B104" s="2">
        <f t="shared" si="60"/>
        <v>10.893134241244454</v>
      </c>
      <c r="C104" s="2">
        <f t="shared" si="72"/>
        <v>-1.0593126530653285E-2</v>
      </c>
      <c r="D104" s="2">
        <f t="shared" si="73"/>
        <v>539.65095293708623</v>
      </c>
      <c r="E104" s="2">
        <f t="shared" si="74"/>
        <v>0.94090127729921758</v>
      </c>
      <c r="F104" s="8">
        <f t="shared" si="75"/>
        <v>316.9693505536585</v>
      </c>
      <c r="G104" s="2">
        <f t="shared" si="76"/>
        <v>6883.9534318014767</v>
      </c>
      <c r="H104" s="2">
        <f t="shared" si="77"/>
        <v>436.08617963786327</v>
      </c>
      <c r="I104" s="2">
        <f t="shared" si="78"/>
        <v>18460.034198432841</v>
      </c>
      <c r="J104" s="2">
        <f t="shared" si="61"/>
        <v>9.4128806321466543E-2</v>
      </c>
      <c r="K104" s="2">
        <f t="shared" si="62"/>
        <v>22606.203267286302</v>
      </c>
      <c r="L104" s="2">
        <f t="shared" si="79"/>
        <v>9.7501281527121577</v>
      </c>
      <c r="M104" s="2">
        <f t="shared" si="52"/>
        <v>28375.117679718984</v>
      </c>
      <c r="N104">
        <f t="shared" si="53"/>
        <v>13.706243788681029</v>
      </c>
      <c r="O104" s="2">
        <f t="shared" si="54"/>
        <v>555267</v>
      </c>
      <c r="P104" s="2">
        <v>1</v>
      </c>
      <c r="R104">
        <f t="shared" si="55"/>
        <v>68.839534318014771</v>
      </c>
      <c r="S104">
        <f t="shared" si="56"/>
        <v>1846.0034198432841</v>
      </c>
      <c r="T104">
        <f t="shared" si="57"/>
        <v>53.909672127713499</v>
      </c>
      <c r="V104" s="2">
        <f t="shared" si="63"/>
        <v>18460.034198432841</v>
      </c>
      <c r="Y104">
        <f t="shared" si="58"/>
        <v>5562.8493501970042</v>
      </c>
      <c r="Z104">
        <f t="shared" si="59"/>
        <v>24860.034198432841</v>
      </c>
    </row>
    <row r="105" spans="1:26" x14ac:dyDescent="0.2">
      <c r="A105" s="2">
        <v>92</v>
      </c>
      <c r="B105" s="2">
        <f t="shared" si="60"/>
        <v>11.07611798928173</v>
      </c>
      <c r="C105" s="2">
        <f t="shared" si="72"/>
        <v>-1.0530364910492578E-2</v>
      </c>
      <c r="D105" s="2">
        <f t="shared" si="73"/>
        <v>550.54408717833064</v>
      </c>
      <c r="E105" s="2">
        <f t="shared" si="74"/>
        <v>0.93030815076856432</v>
      </c>
      <c r="F105" s="8">
        <f t="shared" si="75"/>
        <v>328.0258352268815</v>
      </c>
      <c r="G105" s="2">
        <f t="shared" si="76"/>
        <v>7211.9792670283578</v>
      </c>
      <c r="H105" s="2">
        <f t="shared" si="77"/>
        <v>441.42852054666128</v>
      </c>
      <c r="I105" s="2">
        <f t="shared" si="78"/>
        <v>18901.462718979503</v>
      </c>
      <c r="J105" s="2">
        <f t="shared" si="61"/>
        <v>8.8526635575799525E-2</v>
      </c>
      <c r="K105" s="2">
        <f t="shared" si="62"/>
        <v>22127.754535827102</v>
      </c>
      <c r="L105" s="2">
        <f t="shared" si="79"/>
        <v>9.7487825524495992</v>
      </c>
      <c r="M105" s="2">
        <f t="shared" si="52"/>
        <v>28219.277324551062</v>
      </c>
      <c r="N105">
        <f t="shared" si="53"/>
        <v>13.416158148194253</v>
      </c>
      <c r="O105" s="2">
        <f t="shared" si="54"/>
        <v>555267</v>
      </c>
      <c r="P105" s="2">
        <v>1</v>
      </c>
      <c r="R105">
        <f t="shared" si="55"/>
        <v>72.119792670283573</v>
      </c>
      <c r="S105">
        <f t="shared" si="56"/>
        <v>1890.1462718979503</v>
      </c>
      <c r="T105">
        <f t="shared" si="57"/>
        <v>53.302730685659014</v>
      </c>
      <c r="V105" s="2">
        <f t="shared" si="63"/>
        <v>18901.462718979503</v>
      </c>
      <c r="Y105">
        <f t="shared" si="58"/>
        <v>5782.5947316482734</v>
      </c>
      <c r="Z105">
        <f t="shared" si="59"/>
        <v>25301.462718979503</v>
      </c>
    </row>
    <row r="106" spans="1:26" x14ac:dyDescent="0.2">
      <c r="A106" s="2">
        <v>93</v>
      </c>
      <c r="B106" s="2">
        <f t="shared" si="60"/>
        <v>11.261254680749179</v>
      </c>
      <c r="C106" s="2">
        <f t="shared" si="72"/>
        <v>-1.0464418676674402E-2</v>
      </c>
      <c r="D106" s="2">
        <f t="shared" si="73"/>
        <v>561.62020516761243</v>
      </c>
      <c r="E106" s="2">
        <f t="shared" si="74"/>
        <v>0.91977778585807179</v>
      </c>
      <c r="F106" s="8">
        <f t="shared" si="75"/>
        <v>339.31079475306774</v>
      </c>
      <c r="G106" s="2">
        <f t="shared" si="76"/>
        <v>7551.2900617814257</v>
      </c>
      <c r="H106" s="2">
        <f t="shared" si="77"/>
        <v>446.75032771873578</v>
      </c>
      <c r="I106" s="2">
        <f t="shared" si="78"/>
        <v>19348.213046698238</v>
      </c>
      <c r="J106" s="2">
        <f t="shared" si="61"/>
        <v>8.3196315893773909E-2</v>
      </c>
      <c r="K106" s="2">
        <f t="shared" si="62"/>
        <v>21640.571380023041</v>
      </c>
      <c r="L106" s="2">
        <f t="shared" si="79"/>
        <v>9.7474210133922234</v>
      </c>
      <c r="M106" s="2">
        <f t="shared" si="52"/>
        <v>28063.43696938314</v>
      </c>
      <c r="N106">
        <f t="shared" si="53"/>
        <v>13.12077678652825</v>
      </c>
      <c r="O106" s="2">
        <f t="shared" si="54"/>
        <v>555267</v>
      </c>
      <c r="P106" s="2">
        <v>1</v>
      </c>
      <c r="R106">
        <f t="shared" si="55"/>
        <v>75.512900617814253</v>
      </c>
      <c r="S106">
        <f t="shared" si="56"/>
        <v>1934.8213046698238</v>
      </c>
      <c r="T106">
        <f t="shared" si="57"/>
        <v>52.699385219555133</v>
      </c>
      <c r="V106" s="2">
        <f t="shared" si="63"/>
        <v>19348.213046698238</v>
      </c>
      <c r="Y106">
        <f t="shared" si="58"/>
        <v>6006.8018898879718</v>
      </c>
      <c r="Z106">
        <f t="shared" si="59"/>
        <v>25748.213046698238</v>
      </c>
    </row>
    <row r="107" spans="1:26" x14ac:dyDescent="0.2">
      <c r="A107" s="2">
        <v>94</v>
      </c>
      <c r="B107" s="2">
        <f t="shared" si="60"/>
        <v>11.448490970600023</v>
      </c>
      <c r="C107" s="2">
        <f t="shared" si="72"/>
        <v>-1.0395454476618824E-2</v>
      </c>
      <c r="D107" s="2">
        <f t="shared" si="73"/>
        <v>572.8814598483616</v>
      </c>
      <c r="E107" s="2">
        <f t="shared" si="74"/>
        <v>0.90931336718139744</v>
      </c>
      <c r="F107" s="8">
        <f t="shared" si="75"/>
        <v>350.82491371785295</v>
      </c>
      <c r="G107" s="2">
        <f t="shared" si="76"/>
        <v>7902.1149754992784</v>
      </c>
      <c r="H107" s="2">
        <f t="shared" si="77"/>
        <v>452.05052580436069</v>
      </c>
      <c r="I107" s="2">
        <f t="shared" si="78"/>
        <v>19800.263572502598</v>
      </c>
      <c r="J107" s="2">
        <f t="shared" si="61"/>
        <v>7.8129359427645553E-2</v>
      </c>
      <c r="K107" s="2">
        <f t="shared" si="62"/>
        <v>21145.744424918121</v>
      </c>
      <c r="L107" s="2">
        <f t="shared" si="79"/>
        <v>9.746043611490478</v>
      </c>
      <c r="M107" s="2">
        <f t="shared" si="52"/>
        <v>27907.596614215217</v>
      </c>
      <c r="N107">
        <f t="shared" si="53"/>
        <v>12.820760954604214</v>
      </c>
      <c r="O107" s="2">
        <f t="shared" si="54"/>
        <v>555267</v>
      </c>
      <c r="P107" s="2">
        <v>1</v>
      </c>
      <c r="R107">
        <f t="shared" si="55"/>
        <v>79.021149754992791</v>
      </c>
      <c r="S107">
        <f t="shared" si="56"/>
        <v>1980.0263572502597</v>
      </c>
      <c r="T107">
        <f t="shared" si="57"/>
        <v>52.099818194323817</v>
      </c>
      <c r="V107" s="2">
        <f t="shared" si="63"/>
        <v>19800.263572502598</v>
      </c>
      <c r="Y107">
        <f t="shared" si="58"/>
        <v>6235.4177609212393</v>
      </c>
      <c r="Z107">
        <f t="shared" si="59"/>
        <v>26200.263572502598</v>
      </c>
    </row>
    <row r="108" spans="1:26" x14ac:dyDescent="0.2">
      <c r="A108" s="2">
        <v>95</v>
      </c>
      <c r="B108" s="2">
        <f t="shared" si="60"/>
        <v>11.637773868100968</v>
      </c>
      <c r="C108" s="2">
        <f t="shared" si="72"/>
        <v>-1.032363794349668E-2</v>
      </c>
      <c r="D108" s="2">
        <f t="shared" si="73"/>
        <v>584.32995081896161</v>
      </c>
      <c r="E108" s="2">
        <f t="shared" si="74"/>
        <v>0.89891791270477861</v>
      </c>
      <c r="F108" s="8">
        <f t="shared" si="75"/>
        <v>362.56882487093088</v>
      </c>
      <c r="G108" s="2">
        <f t="shared" si="76"/>
        <v>8264.6838003702087</v>
      </c>
      <c r="H108" s="2">
        <f t="shared" si="77"/>
        <v>457.32806517214868</v>
      </c>
      <c r="I108" s="2">
        <f t="shared" si="78"/>
        <v>20257.591637674745</v>
      </c>
      <c r="J108" s="2">
        <f t="shared" si="61"/>
        <v>7.3317193491491295E-2</v>
      </c>
      <c r="K108" s="2">
        <f t="shared" si="62"/>
        <v>20644.354470524195</v>
      </c>
      <c r="L108" s="2">
        <f t="shared" si="79"/>
        <v>9.7446504259512299</v>
      </c>
      <c r="M108" s="2">
        <f t="shared" si="52"/>
        <v>27751.756259047292</v>
      </c>
      <c r="N108">
        <f t="shared" si="53"/>
        <v>12.516765946381691</v>
      </c>
      <c r="O108" s="2">
        <f t="shared" si="54"/>
        <v>555267</v>
      </c>
      <c r="P108" s="2">
        <v>1</v>
      </c>
      <c r="R108">
        <f t="shared" si="55"/>
        <v>82.646838003702086</v>
      </c>
      <c r="S108">
        <f t="shared" si="56"/>
        <v>2025.7591637674745</v>
      </c>
      <c r="T108">
        <f t="shared" si="57"/>
        <v>51.504202526693177</v>
      </c>
      <c r="V108" s="2">
        <f t="shared" si="63"/>
        <v>20257.591637674745</v>
      </c>
      <c r="Y108">
        <f t="shared" si="58"/>
        <v>6468.3863053494842</v>
      </c>
      <c r="Z108">
        <f t="shared" si="59"/>
        <v>26657.591637674745</v>
      </c>
    </row>
    <row r="109" spans="1:26" x14ac:dyDescent="0.2">
      <c r="A109" s="2">
        <v>96</v>
      </c>
      <c r="B109" s="2">
        <f t="shared" si="60"/>
        <v>11.829050952744579</v>
      </c>
      <c r="C109" s="2">
        <f t="shared" si="72"/>
        <v>-1.0249133245789266E-2</v>
      </c>
      <c r="D109" s="2">
        <f t="shared" si="73"/>
        <v>595.96772468706263</v>
      </c>
      <c r="E109" s="2">
        <f t="shared" si="74"/>
        <v>0.88859427476128194</v>
      </c>
      <c r="F109" s="8">
        <f t="shared" si="75"/>
        <v>374.54311135268563</v>
      </c>
      <c r="G109" s="2">
        <f t="shared" si="76"/>
        <v>8639.2269117228934</v>
      </c>
      <c r="H109" s="2">
        <f t="shared" si="77"/>
        <v>462.58192335410706</v>
      </c>
      <c r="I109" s="2">
        <f t="shared" si="78"/>
        <v>20720.173561028852</v>
      </c>
      <c r="J109" s="2">
        <f t="shared" si="61"/>
        <v>6.8751191762661243E-2</v>
      </c>
      <c r="K109" s="2">
        <f t="shared" si="62"/>
        <v>20137.469357522554</v>
      </c>
      <c r="L109" s="2">
        <f t="shared" si="79"/>
        <v>9.7432415391498353</v>
      </c>
      <c r="M109" s="2">
        <f t="shared" si="52"/>
        <v>27595.91590387937</v>
      </c>
      <c r="N109">
        <f t="shared" si="53"/>
        <v>12.209439198519194</v>
      </c>
      <c r="O109" s="2">
        <f t="shared" si="54"/>
        <v>555267</v>
      </c>
      <c r="P109" s="2">
        <v>1</v>
      </c>
      <c r="R109">
        <f t="shared" si="55"/>
        <v>86.392269117228935</v>
      </c>
      <c r="S109">
        <f t="shared" si="56"/>
        <v>2072.0173561028851</v>
      </c>
      <c r="T109">
        <f t="shared" si="57"/>
        <v>50.912701643309703</v>
      </c>
      <c r="V109" s="2">
        <f t="shared" si="63"/>
        <v>20720.173561028852</v>
      </c>
      <c r="Y109">
        <f t="shared" si="58"/>
        <v>6705.6487047445171</v>
      </c>
      <c r="Z109">
        <f t="shared" si="59"/>
        <v>27120.173561028852</v>
      </c>
    </row>
    <row r="110" spans="1:26" x14ac:dyDescent="0.2">
      <c r="A110" s="2">
        <v>97</v>
      </c>
      <c r="B110" s="2">
        <f t="shared" si="60"/>
        <v>12.022270584636715</v>
      </c>
      <c r="C110" s="2">
        <f t="shared" si="72"/>
        <v>-1.0172102666078261E-2</v>
      </c>
      <c r="D110" s="2">
        <f t="shared" si="73"/>
        <v>607.79677563980715</v>
      </c>
      <c r="E110" s="2">
        <f t="shared" si="74"/>
        <v>0.8783451415154927</v>
      </c>
      <c r="F110" s="8">
        <f t="shared" si="75"/>
        <v>386.74830901561569</v>
      </c>
      <c r="G110" s="2">
        <f t="shared" si="76"/>
        <v>9025.97522073851</v>
      </c>
      <c r="H110" s="2">
        <f t="shared" si="77"/>
        <v>467.81110643849092</v>
      </c>
      <c r="I110" s="2">
        <f t="shared" si="78"/>
        <v>21187.984667467343</v>
      </c>
      <c r="J110" s="2">
        <f t="shared" si="61"/>
        <v>6.4422703923751115E-2</v>
      </c>
      <c r="K110" s="2">
        <f t="shared" si="62"/>
        <v>19626.140925590418</v>
      </c>
      <c r="L110" s="2">
        <f t="shared" si="79"/>
        <v>9.7418170365379346</v>
      </c>
      <c r="M110" s="2">
        <f t="shared" si="52"/>
        <v>27440.075548711444</v>
      </c>
      <c r="N110">
        <f t="shared" si="53"/>
        <v>11.899418446193756</v>
      </c>
      <c r="O110" s="2">
        <f t="shared" si="54"/>
        <v>555267</v>
      </c>
      <c r="P110" s="2">
        <v>1</v>
      </c>
      <c r="R110">
        <f t="shared" si="55"/>
        <v>90.259752207385105</v>
      </c>
      <c r="S110">
        <f t="shared" si="56"/>
        <v>2118.7984667467344</v>
      </c>
      <c r="T110">
        <f t="shared" si="57"/>
        <v>50.325469564658761</v>
      </c>
      <c r="V110" s="2">
        <f t="shared" si="63"/>
        <v>21187.984667467343</v>
      </c>
      <c r="Y110">
        <f t="shared" si="58"/>
        <v>6947.1435583962302</v>
      </c>
      <c r="Z110">
        <f t="shared" si="59"/>
        <v>27587.984667467343</v>
      </c>
    </row>
    <row r="111" spans="1:26" x14ac:dyDescent="0.2">
      <c r="A111" s="2">
        <v>98</v>
      </c>
      <c r="B111" s="2">
        <f t="shared" si="60"/>
        <v>12.217382108681104</v>
      </c>
      <c r="C111" s="2">
        <f t="shared" si="72"/>
        <v>-1.0092706210025396E-2</v>
      </c>
      <c r="D111" s="2">
        <f t="shared" si="73"/>
        <v>619.81904622444381</v>
      </c>
      <c r="E111" s="2">
        <f t="shared" si="74"/>
        <v>0.86817303884941444</v>
      </c>
      <c r="F111" s="8">
        <f t="shared" si="75"/>
        <v>399.18490883628647</v>
      </c>
      <c r="G111" s="2">
        <f t="shared" si="76"/>
        <v>9425.1601295747969</v>
      </c>
      <c r="H111" s="2">
        <f t="shared" si="77"/>
        <v>473.01465040964638</v>
      </c>
      <c r="I111" s="2">
        <f t="shared" si="78"/>
        <v>21660.999317876987</v>
      </c>
      <c r="J111" s="2">
        <f t="shared" si="61"/>
        <v>6.0323083681298482E-2</v>
      </c>
      <c r="K111" s="2">
        <f t="shared" si="62"/>
        <v>19111.402078275638</v>
      </c>
      <c r="L111" s="2">
        <f t="shared" si="79"/>
        <v>9.7403770065472006</v>
      </c>
      <c r="M111" s="2">
        <f t="shared" si="52"/>
        <v>27284.235193543522</v>
      </c>
      <c r="N111">
        <f t="shared" si="53"/>
        <v>11.587329943521103</v>
      </c>
      <c r="O111" s="2">
        <f t="shared" si="54"/>
        <v>555267</v>
      </c>
      <c r="P111" s="2">
        <v>1</v>
      </c>
      <c r="R111">
        <f t="shared" si="55"/>
        <v>94.251601295747975</v>
      </c>
      <c r="S111">
        <f t="shared" si="56"/>
        <v>2166.0999317876986</v>
      </c>
      <c r="T111">
        <f t="shared" si="57"/>
        <v>49.742651013118703</v>
      </c>
      <c r="V111" s="2">
        <f t="shared" si="63"/>
        <v>21660.999317876987</v>
      </c>
      <c r="Y111">
        <f t="shared" si="58"/>
        <v>7192.807079586546</v>
      </c>
      <c r="Z111">
        <f t="shared" si="59"/>
        <v>28060.999317876987</v>
      </c>
    </row>
    <row r="112" spans="1:26" x14ac:dyDescent="0.2">
      <c r="A112" s="2">
        <v>99</v>
      </c>
      <c r="B112" s="2">
        <f t="shared" si="60"/>
        <v>12.414336051931876</v>
      </c>
      <c r="C112" s="2">
        <f t="shared" si="72"/>
        <v>-1.0011101246184618E-2</v>
      </c>
      <c r="D112" s="2">
        <f t="shared" si="73"/>
        <v>632.03642833312495</v>
      </c>
      <c r="E112" s="2">
        <f t="shared" si="74"/>
        <v>0.85808033263938899</v>
      </c>
      <c r="F112" s="8">
        <f t="shared" si="75"/>
        <v>411.85335941347387</v>
      </c>
      <c r="G112" s="2">
        <f t="shared" si="76"/>
        <v>9837.0134889882702</v>
      </c>
      <c r="H112" s="2">
        <f t="shared" si="77"/>
        <v>478.19162243417509</v>
      </c>
      <c r="I112" s="2">
        <f t="shared" si="78"/>
        <v>22139.190940311164</v>
      </c>
      <c r="J112" s="2">
        <f t="shared" si="61"/>
        <v>5.6443715111264475E-2</v>
      </c>
      <c r="K112" s="2">
        <f t="shared" si="62"/>
        <v>18594.263968049985</v>
      </c>
      <c r="L112" s="2">
        <f t="shared" si="79"/>
        <v>9.7389215404891942</v>
      </c>
      <c r="M112" s="2">
        <f t="shared" si="52"/>
        <v>27128.3948383756</v>
      </c>
      <c r="N112">
        <f t="shared" si="53"/>
        <v>11.273786756840668</v>
      </c>
      <c r="O112" s="2">
        <f t="shared" si="54"/>
        <v>555267</v>
      </c>
      <c r="P112" s="2">
        <v>1</v>
      </c>
      <c r="R112">
        <f t="shared" si="55"/>
        <v>98.370134889882706</v>
      </c>
      <c r="S112">
        <f t="shared" si="56"/>
        <v>2213.9190940311164</v>
      </c>
      <c r="T112">
        <f t="shared" si="57"/>
        <v>49.164381543418763</v>
      </c>
      <c r="V112" s="2">
        <f t="shared" si="63"/>
        <v>22139.190940311164</v>
      </c>
      <c r="Y112">
        <f t="shared" si="58"/>
        <v>7442.5732906123876</v>
      </c>
      <c r="Z112">
        <f t="shared" si="59"/>
        <v>28539.190940311164</v>
      </c>
    </row>
    <row r="113" spans="1:26" x14ac:dyDescent="0.2">
      <c r="A113" s="2">
        <v>100</v>
      </c>
      <c r="B113" s="2">
        <f t="shared" si="60"/>
        <v>12.613084313536346</v>
      </c>
      <c r="C113" s="2">
        <f t="shared" si="72"/>
        <v>-9.9274421769896936E-3</v>
      </c>
      <c r="D113" s="2">
        <f t="shared" si="73"/>
        <v>644.4507643850568</v>
      </c>
      <c r="E113" s="2">
        <f t="shared" si="74"/>
        <v>0.84806923139320434</v>
      </c>
      <c r="F113" s="8">
        <f t="shared" si="75"/>
        <v>424.75406954807698</v>
      </c>
      <c r="G113" s="2">
        <f t="shared" si="76"/>
        <v>10261.767558536347</v>
      </c>
      <c r="H113" s="2">
        <f t="shared" si="77"/>
        <v>483.34112209287355</v>
      </c>
      <c r="I113" s="2">
        <f t="shared" si="78"/>
        <v>22622.532062404036</v>
      </c>
      <c r="J113" s="2">
        <f t="shared" si="61"/>
        <v>5.2776037294826272E-2</v>
      </c>
      <c r="K113" s="2">
        <f t="shared" si="62"/>
        <v>18075.713314704153</v>
      </c>
      <c r="L113" s="2">
        <f t="shared" si="79"/>
        <v>9.7374507324515207</v>
      </c>
      <c r="M113" s="2">
        <f t="shared" si="52"/>
        <v>26972.554483207678</v>
      </c>
      <c r="N113">
        <f t="shared" si="53"/>
        <v>10.959387138846303</v>
      </c>
      <c r="O113" s="2">
        <f t="shared" si="54"/>
        <v>555267</v>
      </c>
      <c r="P113" s="2">
        <v>1</v>
      </c>
      <c r="R113">
        <f t="shared" si="55"/>
        <v>102.61767558536347</v>
      </c>
      <c r="S113">
        <f t="shared" si="56"/>
        <v>2262.2532062404034</v>
      </c>
      <c r="T113">
        <f t="shared" si="57"/>
        <v>48.590787693734228</v>
      </c>
      <c r="V113" s="2">
        <f t="shared" si="63"/>
        <v>22622.532062404036</v>
      </c>
      <c r="Y113">
        <f t="shared" si="58"/>
        <v>7696.3742158519099</v>
      </c>
      <c r="Z113">
        <f t="shared" si="59"/>
        <v>29022.532062404036</v>
      </c>
    </row>
    <row r="114" spans="1:26" x14ac:dyDescent="0.2">
      <c r="A114" s="2">
        <v>101</v>
      </c>
      <c r="B114" s="2">
        <f t="shared" si="60"/>
        <v>12.813580346744548</v>
      </c>
      <c r="C114" s="2">
        <f t="shared" si="72"/>
        <v>-9.8418801409802664E-3</v>
      </c>
      <c r="D114" s="2">
        <f t="shared" si="73"/>
        <v>657.06384869859312</v>
      </c>
      <c r="E114" s="2">
        <f t="shared" si="74"/>
        <v>0.83814178921621463</v>
      </c>
      <c r="F114" s="8">
        <f t="shared" si="75"/>
        <v>437.88741090029583</v>
      </c>
      <c r="G114" s="2">
        <f t="shared" si="76"/>
        <v>10699.654969436642</v>
      </c>
      <c r="H114" s="2">
        <f t="shared" si="77"/>
        <v>488.46228255799002</v>
      </c>
      <c r="I114" s="2">
        <f t="shared" si="78"/>
        <v>23110.994344962026</v>
      </c>
      <c r="J114" s="2">
        <f t="shared" si="61"/>
        <v>4.931156722097129E-2</v>
      </c>
      <c r="K114" s="2">
        <f t="shared" si="62"/>
        <v>17556.709869609513</v>
      </c>
      <c r="L114" s="2">
        <f t="shared" si="79"/>
        <v>9.7359646791904204</v>
      </c>
      <c r="M114" s="2">
        <f t="shared" si="52"/>
        <v>26816.714128039752</v>
      </c>
      <c r="N114">
        <f t="shared" si="53"/>
        <v>10.644712991156643</v>
      </c>
      <c r="O114" s="2">
        <f t="shared" si="54"/>
        <v>555267</v>
      </c>
      <c r="P114" s="2">
        <v>1</v>
      </c>
      <c r="R114">
        <f t="shared" si="55"/>
        <v>106.99654969436642</v>
      </c>
      <c r="S114">
        <f t="shared" si="56"/>
        <v>2311.0994344962028</v>
      </c>
      <c r="T114">
        <f t="shared" si="57"/>
        <v>48.021987155632551</v>
      </c>
      <c r="V114" s="2">
        <f t="shared" si="63"/>
        <v>23110.994344962026</v>
      </c>
      <c r="Y114">
        <f t="shared" si="58"/>
        <v>7954.1400722403714</v>
      </c>
      <c r="Z114">
        <f t="shared" si="59"/>
        <v>29510.994344962026</v>
      </c>
    </row>
    <row r="115" spans="1:26" x14ac:dyDescent="0.2">
      <c r="A115" s="2">
        <v>102</v>
      </c>
      <c r="B115" s="2">
        <f t="shared" si="60"/>
        <v>13.015779332518033</v>
      </c>
      <c r="C115" s="2">
        <f t="shared" si="72"/>
        <v>-9.7545627460710327E-3</v>
      </c>
      <c r="D115" s="2">
        <f t="shared" si="73"/>
        <v>669.87742904533764</v>
      </c>
      <c r="E115" s="2">
        <f t="shared" si="74"/>
        <v>0.82829990907523432</v>
      </c>
      <c r="F115" s="8">
        <f t="shared" si="75"/>
        <v>451.25372071946936</v>
      </c>
      <c r="G115" s="2">
        <f t="shared" si="76"/>
        <v>11150.908690156111</v>
      </c>
      <c r="H115" s="2">
        <f t="shared" si="77"/>
        <v>493.55427171541282</v>
      </c>
      <c r="I115" s="2">
        <f t="shared" si="78"/>
        <v>23604.548616677439</v>
      </c>
      <c r="J115" s="2">
        <f t="shared" si="61"/>
        <v>4.6041920944765717E-2</v>
      </c>
      <c r="K115" s="2">
        <f t="shared" si="62"/>
        <v>17038.184037571657</v>
      </c>
      <c r="L115" s="2">
        <f t="shared" si="79"/>
        <v>9.7344634800200467</v>
      </c>
      <c r="M115" s="2">
        <f t="shared" si="52"/>
        <v>26660.87377287183</v>
      </c>
      <c r="N115">
        <f t="shared" si="53"/>
        <v>10.330328422434121</v>
      </c>
      <c r="O115" s="2">
        <f t="shared" si="54"/>
        <v>555267</v>
      </c>
      <c r="P115" s="2">
        <v>1</v>
      </c>
      <c r="R115">
        <f t="shared" si="55"/>
        <v>111.50908690156112</v>
      </c>
      <c r="S115">
        <f t="shared" si="56"/>
        <v>2360.4548616677439</v>
      </c>
      <c r="T115">
        <f t="shared" si="57"/>
        <v>47.458088961080755</v>
      </c>
      <c r="V115" s="2">
        <f t="shared" si="63"/>
        <v>23604.548616677439</v>
      </c>
      <c r="Y115">
        <f t="shared" si="58"/>
        <v>8215.799456593697</v>
      </c>
      <c r="Z115">
        <f t="shared" si="59"/>
        <v>30004.548616677439</v>
      </c>
    </row>
    <row r="116" spans="1:26" x14ac:dyDescent="0.2">
      <c r="A116" s="2">
        <v>103</v>
      </c>
      <c r="B116" s="2">
        <f t="shared" si="60"/>
        <v>13.219638344328636</v>
      </c>
      <c r="C116" s="2">
        <f t="shared" si="72"/>
        <v>-9.6656338334330343E-3</v>
      </c>
      <c r="D116" s="2">
        <f t="shared" si="73"/>
        <v>682.89320837785567</v>
      </c>
      <c r="E116" s="2">
        <f t="shared" si="74"/>
        <v>0.81854534632916331</v>
      </c>
      <c r="F116" s="8">
        <f t="shared" si="75"/>
        <v>464.85330464187871</v>
      </c>
      <c r="G116" s="2">
        <f t="shared" si="76"/>
        <v>11615.761994797989</v>
      </c>
      <c r="H116" s="2">
        <f t="shared" si="77"/>
        <v>498.61629323146479</v>
      </c>
      <c r="I116" s="2">
        <f t="shared" si="78"/>
        <v>24103.164909908905</v>
      </c>
      <c r="J116" s="2">
        <f t="shared" si="61"/>
        <v>4.2958833001882919E-2</v>
      </c>
      <c r="K116" s="2">
        <f t="shared" si="62"/>
        <v>16521.034667048752</v>
      </c>
      <c r="L116" s="2">
        <f t="shared" si="79"/>
        <v>9.7329472366985268</v>
      </c>
      <c r="M116" s="2">
        <f t="shared" si="52"/>
        <v>26505.033417703904</v>
      </c>
      <c r="N116">
        <f t="shared" si="53"/>
        <v>10.016778408584283</v>
      </c>
      <c r="O116" s="2">
        <f t="shared" si="54"/>
        <v>555267</v>
      </c>
      <c r="P116" s="2">
        <v>1</v>
      </c>
      <c r="R116">
        <f t="shared" si="55"/>
        <v>116.1576199479799</v>
      </c>
      <c r="S116">
        <f t="shared" si="56"/>
        <v>2410.3164909908905</v>
      </c>
      <c r="T116">
        <f t="shared" si="57"/>
        <v>46.899193684735351</v>
      </c>
      <c r="V116" s="2">
        <f t="shared" si="63"/>
        <v>24103.164909908905</v>
      </c>
      <c r="Y116">
        <f t="shared" si="58"/>
        <v>8481.2795292882729</v>
      </c>
      <c r="Z116">
        <f t="shared" si="59"/>
        <v>30503.164909908905</v>
      </c>
    </row>
    <row r="117" spans="1:26" x14ac:dyDescent="0.2">
      <c r="A117" s="2">
        <v>104</v>
      </c>
      <c r="B117" s="2">
        <f t="shared" si="60"/>
        <v>13.425116503797447</v>
      </c>
      <c r="C117" s="2">
        <f t="shared" si="72"/>
        <v>-9.5752332713447044E-3</v>
      </c>
      <c r="D117" s="2">
        <f t="shared" si="73"/>
        <v>696.11284672218426</v>
      </c>
      <c r="E117" s="2">
        <f t="shared" si="74"/>
        <v>0.80887971249573032</v>
      </c>
      <c r="F117" s="8">
        <f t="shared" si="75"/>
        <v>478.68643955171348</v>
      </c>
      <c r="G117" s="2">
        <f t="shared" si="76"/>
        <v>12094.448434349702</v>
      </c>
      <c r="H117" s="2">
        <f t="shared" si="77"/>
        <v>503.64758756402529</v>
      </c>
      <c r="I117" s="2">
        <f t="shared" si="78"/>
        <v>24606.812497472929</v>
      </c>
      <c r="J117" s="2">
        <f t="shared" si="61"/>
        <v>4.0054174090961368E-2</v>
      </c>
      <c r="K117" s="2">
        <f t="shared" si="62"/>
        <v>16006.127018417634</v>
      </c>
      <c r="L117" s="2">
        <f t="shared" si="79"/>
        <v>9.731416053311067</v>
      </c>
      <c r="M117" s="2">
        <f t="shared" si="52"/>
        <v>26349.193062535982</v>
      </c>
      <c r="N117">
        <f t="shared" si="53"/>
        <v>9.7045875609063135</v>
      </c>
      <c r="O117" s="2">
        <f t="shared" si="54"/>
        <v>555267</v>
      </c>
      <c r="P117" s="2">
        <v>1</v>
      </c>
      <c r="R117">
        <f t="shared" si="55"/>
        <v>120.94448434349702</v>
      </c>
      <c r="S117">
        <f t="shared" si="56"/>
        <v>2460.6812497472929</v>
      </c>
      <c r="T117">
        <f t="shared" si="57"/>
        <v>46.345393659760788</v>
      </c>
      <c r="V117" s="2">
        <f t="shared" si="63"/>
        <v>24606.812497472929</v>
      </c>
      <c r="Y117">
        <f t="shared" si="58"/>
        <v>8750.5061938739927</v>
      </c>
      <c r="Z117">
        <f t="shared" si="59"/>
        <v>31006.812497472929</v>
      </c>
    </row>
    <row r="118" spans="1:26" x14ac:dyDescent="0.2">
      <c r="A118" s="2">
        <v>105</v>
      </c>
      <c r="B118" s="2">
        <f t="shared" si="60"/>
        <v>13.632175126885258</v>
      </c>
      <c r="C118" s="2">
        <f t="shared" si="72"/>
        <v>-9.4834967781829219E-3</v>
      </c>
      <c r="D118" s="2">
        <f t="shared" si="73"/>
        <v>709.53796322598168</v>
      </c>
      <c r="E118" s="2">
        <f t="shared" si="74"/>
        <v>0.79930447922438563</v>
      </c>
      <c r="F118" s="8">
        <f t="shared" si="75"/>
        <v>492.75337650030673</v>
      </c>
      <c r="G118" s="2">
        <f t="shared" si="76"/>
        <v>12587.201810850009</v>
      </c>
      <c r="H118" s="2">
        <f t="shared" si="77"/>
        <v>508.64743291774408</v>
      </c>
      <c r="I118" s="2">
        <f t="shared" si="78"/>
        <v>25115.459930390673</v>
      </c>
      <c r="J118" s="2">
        <f t="shared" si="61"/>
        <v>3.731996704555738E-2</v>
      </c>
      <c r="K118" s="2">
        <f t="shared" si="62"/>
        <v>15494.290918758179</v>
      </c>
      <c r="L118" s="2">
        <f t="shared" si="79"/>
        <v>9.7298700361502242</v>
      </c>
      <c r="M118" s="2">
        <f t="shared" si="52"/>
        <v>26193.35270736806</v>
      </c>
      <c r="N118">
        <f t="shared" si="53"/>
        <v>9.3942590073303958</v>
      </c>
      <c r="O118" s="2">
        <f t="shared" si="54"/>
        <v>555267</v>
      </c>
      <c r="P118" s="2">
        <v>1</v>
      </c>
      <c r="R118">
        <f t="shared" si="55"/>
        <v>125.87201810850009</v>
      </c>
      <c r="S118">
        <f t="shared" si="56"/>
        <v>2511.5459930390671</v>
      </c>
      <c r="T118">
        <f t="shared" si="57"/>
        <v>45.796773205459495</v>
      </c>
      <c r="V118" s="2">
        <f t="shared" si="63"/>
        <v>25115.459930390673</v>
      </c>
      <c r="Y118">
        <f t="shared" si="58"/>
        <v>9023.4042722634604</v>
      </c>
      <c r="Z118">
        <f t="shared" si="59"/>
        <v>31515.459930390673</v>
      </c>
    </row>
    <row r="119" spans="1:26" x14ac:dyDescent="0.2">
      <c r="A119" s="2">
        <v>106</v>
      </c>
      <c r="B119" s="2">
        <f t="shared" si="60"/>
        <v>13.840777860407098</v>
      </c>
      <c r="C119" s="2">
        <f t="shared" si="72"/>
        <v>-9.390555773561543E-3</v>
      </c>
      <c r="D119" s="2">
        <f t="shared" si="73"/>
        <v>723.17013835286696</v>
      </c>
      <c r="E119" s="2">
        <f t="shared" si="74"/>
        <v>0.78982098244620269</v>
      </c>
      <c r="F119" s="8">
        <f t="shared" si="75"/>
        <v>507.05434367863978</v>
      </c>
      <c r="G119" s="2">
        <f t="shared" si="76"/>
        <v>13094.256154528648</v>
      </c>
      <c r="H119" s="2">
        <f t="shared" si="77"/>
        <v>513.61514614315354</v>
      </c>
      <c r="I119" s="2">
        <f t="shared" si="78"/>
        <v>25629.075076533827</v>
      </c>
      <c r="J119" s="2">
        <f t="shared" si="61"/>
        <v>3.4748401126827283E-2</v>
      </c>
      <c r="K119" s="2">
        <f t="shared" si="62"/>
        <v>14986.319110309556</v>
      </c>
      <c r="L119" s="2">
        <f t="shared" si="79"/>
        <v>9.7283092935935631</v>
      </c>
      <c r="M119" s="2">
        <f t="shared" si="52"/>
        <v>26037.512352200138</v>
      </c>
      <c r="N119">
        <f t="shared" si="53"/>
        <v>9.0862733910792439</v>
      </c>
      <c r="O119" s="2">
        <f t="shared" si="54"/>
        <v>555267</v>
      </c>
      <c r="P119" s="2">
        <v>1</v>
      </c>
      <c r="R119">
        <f t="shared" si="55"/>
        <v>130.94256154528648</v>
      </c>
      <c r="S119">
        <f t="shared" si="56"/>
        <v>2562.9075076533827</v>
      </c>
      <c r="T119">
        <f t="shared" si="57"/>
        <v>45.253408865043696</v>
      </c>
      <c r="V119" s="2">
        <f t="shared" si="63"/>
        <v>25629.075076533827</v>
      </c>
      <c r="Y119">
        <f t="shared" si="58"/>
        <v>9299.8976752030831</v>
      </c>
      <c r="Z119">
        <f t="shared" si="59"/>
        <v>32029.075076533827</v>
      </c>
    </row>
    <row r="120" spans="1:26" x14ac:dyDescent="0.2">
      <c r="A120" s="2">
        <v>107</v>
      </c>
      <c r="B120" s="2">
        <f t="shared" si="60"/>
        <v>14.050890808706068</v>
      </c>
      <c r="C120" s="2">
        <f t="shared" si="72"/>
        <v>-9.2965372564859615E-3</v>
      </c>
      <c r="D120" s="2">
        <f t="shared" si="73"/>
        <v>737.01091621327407</v>
      </c>
      <c r="E120" s="2">
        <f t="shared" si="74"/>
        <v>0.78043042667264118</v>
      </c>
      <c r="F120" s="8">
        <f t="shared" si="75"/>
        <v>521.58954943803394</v>
      </c>
      <c r="G120" s="2">
        <f t="shared" si="76"/>
        <v>13615.845703966683</v>
      </c>
      <c r="H120" s="2">
        <f t="shared" si="77"/>
        <v>518.55008357952954</v>
      </c>
      <c r="I120" s="2">
        <f t="shared" si="78"/>
        <v>26147.625160113355</v>
      </c>
      <c r="J120" s="2">
        <f t="shared" si="61"/>
        <v>3.2331844676582427E-2</v>
      </c>
      <c r="K120" s="2">
        <f t="shared" si="62"/>
        <v>14482.965798349451</v>
      </c>
      <c r="L120" s="2">
        <f t="shared" si="79"/>
        <v>9.726733935978837</v>
      </c>
      <c r="M120" s="2">
        <f t="shared" si="52"/>
        <v>25881.671997032212</v>
      </c>
      <c r="N120">
        <f t="shared" si="53"/>
        <v>8.7810879902406622</v>
      </c>
      <c r="O120" s="2">
        <f t="shared" si="54"/>
        <v>555267</v>
      </c>
      <c r="P120" s="2">
        <v>1</v>
      </c>
      <c r="R120">
        <f t="shared" si="55"/>
        <v>136.15845703966681</v>
      </c>
      <c r="S120">
        <f t="shared" si="56"/>
        <v>2614.7625160113357</v>
      </c>
      <c r="T120">
        <f t="shared" si="57"/>
        <v>44.715369651936406</v>
      </c>
      <c r="V120" s="2">
        <f t="shared" si="63"/>
        <v>26147.625160113355</v>
      </c>
      <c r="Y120">
        <f t="shared" si="58"/>
        <v>9579.9095677909263</v>
      </c>
      <c r="Z120">
        <f t="shared" si="59"/>
        <v>32547.625160113355</v>
      </c>
    </row>
    <row r="121" spans="1:26" x14ac:dyDescent="0.2">
      <c r="A121" s="2">
        <v>108</v>
      </c>
      <c r="B121" s="2">
        <f t="shared" si="60"/>
        <v>14.26248265038333</v>
      </c>
      <c r="C121" s="2">
        <f t="shared" si="72"/>
        <v>-9.2015637092769439E-3</v>
      </c>
      <c r="D121" s="2">
        <f t="shared" si="73"/>
        <v>751.06180702198014</v>
      </c>
      <c r="E121" s="2">
        <f t="shared" si="74"/>
        <v>0.77113388941615524</v>
      </c>
      <c r="F121" s="8">
        <f t="shared" si="75"/>
        <v>536.35918535386293</v>
      </c>
      <c r="G121" s="2">
        <f t="shared" si="76"/>
        <v>14152.204889320546</v>
      </c>
      <c r="H121" s="2">
        <f t="shared" si="77"/>
        <v>523.4516418414039</v>
      </c>
      <c r="I121" s="2">
        <f t="shared" si="78"/>
        <v>26671.076801954758</v>
      </c>
      <c r="J121" s="2">
        <f t="shared" si="61"/>
        <v>3.0062856177992647E-2</v>
      </c>
      <c r="K121" s="2">
        <f t="shared" si="62"/>
        <v>13984.945402780502</v>
      </c>
      <c r="L121" s="2">
        <f t="shared" si="79"/>
        <v>9.7251440754769618</v>
      </c>
      <c r="M121" s="2">
        <f t="shared" si="52"/>
        <v>25725.83164186429</v>
      </c>
      <c r="N121">
        <f t="shared" si="53"/>
        <v>8.4791359608487404</v>
      </c>
      <c r="O121" s="2">
        <f t="shared" si="54"/>
        <v>555267</v>
      </c>
      <c r="P121" s="2">
        <v>1</v>
      </c>
      <c r="R121">
        <f t="shared" si="55"/>
        <v>141.52204889320546</v>
      </c>
      <c r="S121">
        <f t="shared" si="56"/>
        <v>2667.107680195476</v>
      </c>
      <c r="T121">
        <f t="shared" si="57"/>
        <v>44.182717303053636</v>
      </c>
      <c r="V121" s="2">
        <f t="shared" si="63"/>
        <v>26671.076801954758</v>
      </c>
      <c r="Y121">
        <f t="shared" si="58"/>
        <v>9863.3625298616553</v>
      </c>
      <c r="Z121">
        <f t="shared" si="59"/>
        <v>33071.076801954754</v>
      </c>
    </row>
    <row r="122" spans="1:26" x14ac:dyDescent="0.2">
      <c r="A122" s="2">
        <v>109</v>
      </c>
      <c r="B122" s="2">
        <f t="shared" si="60"/>
        <v>14.475524745043632</v>
      </c>
      <c r="C122" s="2">
        <f t="shared" si="72"/>
        <v>-9.10575302592374E-3</v>
      </c>
      <c r="D122" s="2">
        <f t="shared" si="73"/>
        <v>765.32428967236342</v>
      </c>
      <c r="E122" s="2">
        <f t="shared" si="74"/>
        <v>0.7619323257068783</v>
      </c>
      <c r="F122" s="8">
        <f t="shared" si="75"/>
        <v>551.36342932705236</v>
      </c>
      <c r="G122" s="2">
        <f t="shared" si="76"/>
        <v>14703.568318647598</v>
      </c>
      <c r="H122" s="2">
        <f t="shared" si="77"/>
        <v>528.31925854868769</v>
      </c>
      <c r="I122" s="2">
        <f t="shared" si="78"/>
        <v>27199.396060503444</v>
      </c>
      <c r="J122" s="2">
        <f t="shared" si="61"/>
        <v>2.7934193777959429E-2</v>
      </c>
      <c r="K122" s="2">
        <f t="shared" si="62"/>
        <v>13492.931516197466</v>
      </c>
      <c r="L122" s="2">
        <f t="shared" si="79"/>
        <v>9.7235398259628294</v>
      </c>
      <c r="M122" s="2">
        <f t="shared" si="52"/>
        <v>25569.991286696368</v>
      </c>
      <c r="N122">
        <f t="shared" si="53"/>
        <v>8.1808257051552342</v>
      </c>
      <c r="O122" s="2">
        <f t="shared" si="54"/>
        <v>555267</v>
      </c>
      <c r="P122" s="2">
        <v>1</v>
      </c>
      <c r="R122">
        <f t="shared" si="55"/>
        <v>147.03568318647598</v>
      </c>
      <c r="S122">
        <f t="shared" si="56"/>
        <v>2719.9396060503445</v>
      </c>
      <c r="T122">
        <f t="shared" si="57"/>
        <v>43.655506537591322</v>
      </c>
      <c r="V122" s="2">
        <f t="shared" si="63"/>
        <v>27199.396060503444</v>
      </c>
      <c r="Y122">
        <f t="shared" si="58"/>
        <v>10150.178711110088</v>
      </c>
      <c r="Z122">
        <f t="shared" si="59"/>
        <v>33599.396060503444</v>
      </c>
    </row>
    <row r="123" spans="1:26" x14ac:dyDescent="0.2">
      <c r="A123" s="2">
        <v>110</v>
      </c>
      <c r="B123" s="2">
        <f t="shared" si="60"/>
        <v>14.689991230076153</v>
      </c>
      <c r="C123" s="2">
        <f t="shared" si="72"/>
        <v>-9.0092184634551573E-3</v>
      </c>
      <c r="D123" s="2">
        <f t="shared" si="73"/>
        <v>779.79981441740711</v>
      </c>
      <c r="E123" s="2">
        <f t="shared" si="74"/>
        <v>0.75282657268095454</v>
      </c>
      <c r="F123" s="8">
        <f t="shared" si="75"/>
        <v>566.6024487180822</v>
      </c>
      <c r="G123" s="2">
        <f t="shared" si="76"/>
        <v>15270.17076736568</v>
      </c>
      <c r="H123" s="2">
        <f t="shared" si="77"/>
        <v>533.15241300043647</v>
      </c>
      <c r="I123" s="2">
        <f t="shared" si="78"/>
        <v>27732.548473503881</v>
      </c>
      <c r="J123" s="2">
        <f t="shared" si="61"/>
        <v>2.5938823331040743E-2</v>
      </c>
      <c r="K123" s="2">
        <f t="shared" si="62"/>
        <v>13007.556069675544</v>
      </c>
      <c r="L123" s="2">
        <f t="shared" si="79"/>
        <v>9.7219213028843079</v>
      </c>
      <c r="M123" s="2">
        <f t="shared" si="52"/>
        <v>25414.150931528442</v>
      </c>
      <c r="N123">
        <f t="shared" si="53"/>
        <v>7.8865403658432331</v>
      </c>
      <c r="O123" s="2">
        <f t="shared" si="54"/>
        <v>555267</v>
      </c>
      <c r="P123" s="2">
        <v>1</v>
      </c>
      <c r="R123">
        <f t="shared" si="55"/>
        <v>152.70170767365681</v>
      </c>
      <c r="S123">
        <f t="shared" si="56"/>
        <v>2773.254847350388</v>
      </c>
      <c r="T123">
        <f t="shared" si="57"/>
        <v>43.133785319917415</v>
      </c>
      <c r="V123" s="2">
        <f t="shared" si="63"/>
        <v>27732.548473503881</v>
      </c>
      <c r="Y123">
        <f t="shared" si="58"/>
        <v>10440.279980871979</v>
      </c>
      <c r="Z123">
        <f t="shared" si="59"/>
        <v>34132.548473503877</v>
      </c>
    </row>
    <row r="124" spans="1:26" x14ac:dyDescent="0.2">
      <c r="A124" s="2">
        <v>111</v>
      </c>
      <c r="B124" s="2">
        <f t="shared" si="60"/>
        <v>14.905859107550896</v>
      </c>
      <c r="C124" s="2">
        <f t="shared" si="72"/>
        <v>-8.912068614865187E-3</v>
      </c>
      <c r="D124" s="2">
        <f t="shared" si="73"/>
        <v>794.48980564748331</v>
      </c>
      <c r="E124" s="2">
        <f t="shared" si="74"/>
        <v>0.74381735421749939</v>
      </c>
      <c r="F124" s="8">
        <f t="shared" si="75"/>
        <v>582.07640350818144</v>
      </c>
      <c r="G124" s="2">
        <f t="shared" si="76"/>
        <v>15852.247170873861</v>
      </c>
      <c r="H124" s="2">
        <f t="shared" si="77"/>
        <v>537.95062679237208</v>
      </c>
      <c r="I124" s="2">
        <f t="shared" si="78"/>
        <v>28270.499100296252</v>
      </c>
      <c r="J124" s="2">
        <f t="shared" si="61"/>
        <v>2.4069925029796792E-2</v>
      </c>
      <c r="K124" s="2">
        <f t="shared" si="62"/>
        <v>12529.408705986385</v>
      </c>
      <c r="L124" s="2">
        <f t="shared" si="79"/>
        <v>9.7202886231294503</v>
      </c>
      <c r="M124" s="2">
        <f t="shared" si="52"/>
        <v>25258.31057636052</v>
      </c>
      <c r="N124">
        <f t="shared" si="53"/>
        <v>7.596637446005186</v>
      </c>
      <c r="O124" s="2">
        <f t="shared" si="54"/>
        <v>555267</v>
      </c>
      <c r="P124" s="2">
        <v>1</v>
      </c>
      <c r="R124">
        <f t="shared" si="55"/>
        <v>158.52247170873861</v>
      </c>
      <c r="S124">
        <f t="shared" si="56"/>
        <v>2827.0499100296252</v>
      </c>
      <c r="T124">
        <f t="shared" si="57"/>
        <v>42.617595125250098</v>
      </c>
      <c r="V124" s="2">
        <f t="shared" si="63"/>
        <v>28270.499100296252</v>
      </c>
      <c r="Y124">
        <f t="shared" si="58"/>
        <v>10733.588072523324</v>
      </c>
      <c r="Z124">
        <f t="shared" si="59"/>
        <v>34670.499100296249</v>
      </c>
    </row>
    <row r="125" spans="1:26" x14ac:dyDescent="0.2">
      <c r="A125" s="2">
        <v>112</v>
      </c>
      <c r="B125" s="2">
        <f t="shared" si="60"/>
        <v>15.123108321368926</v>
      </c>
      <c r="C125" s="2">
        <f t="shared" si="72"/>
        <v>-8.8144074020969302E-3</v>
      </c>
      <c r="D125" s="2">
        <f t="shared" si="73"/>
        <v>809.3956647550342</v>
      </c>
      <c r="E125" s="2">
        <f t="shared" si="74"/>
        <v>0.73490528560263424</v>
      </c>
      <c r="F125" s="8">
        <f t="shared" si="75"/>
        <v>597.78544948239528</v>
      </c>
      <c r="G125" s="2">
        <f t="shared" si="76"/>
        <v>16450.032620356258</v>
      </c>
      <c r="H125" s="2">
        <f t="shared" si="77"/>
        <v>542.71346437836962</v>
      </c>
      <c r="I125" s="2">
        <f t="shared" si="78"/>
        <v>28813.212564674621</v>
      </c>
      <c r="J125" s="2">
        <f t="shared" si="61"/>
        <v>2.2320898690559459E-2</v>
      </c>
      <c r="K125" s="2">
        <f t="shared" si="62"/>
        <v>12059.036358434185</v>
      </c>
      <c r="L125" s="2">
        <f t="shared" si="79"/>
        <v>9.7186419048921895</v>
      </c>
      <c r="M125" s="2">
        <f t="shared" si="52"/>
        <v>25102.470221192598</v>
      </c>
      <c r="N125">
        <f t="shared" si="53"/>
        <v>7.311448553789293</v>
      </c>
      <c r="O125" s="2">
        <f t="shared" si="54"/>
        <v>555267</v>
      </c>
      <c r="P125" s="2">
        <v>1</v>
      </c>
      <c r="R125">
        <f t="shared" si="55"/>
        <v>164.50032620356259</v>
      </c>
      <c r="S125">
        <f t="shared" si="56"/>
        <v>2881.3212564674623</v>
      </c>
      <c r="T125">
        <f t="shared" si="57"/>
        <v>42.106971206887323</v>
      </c>
      <c r="V125" s="2">
        <f t="shared" si="63"/>
        <v>28813.212564674621</v>
      </c>
      <c r="Y125">
        <f t="shared" si="58"/>
        <v>11030.024722498005</v>
      </c>
      <c r="Z125">
        <f t="shared" si="59"/>
        <v>35213.212564674621</v>
      </c>
    </row>
    <row r="126" spans="1:26" x14ac:dyDescent="0.2">
      <c r="A126" s="2">
        <v>113</v>
      </c>
      <c r="B126" s="2">
        <f t="shared" si="60"/>
        <v>15.341721824861132</v>
      </c>
      <c r="C126" s="2">
        <f t="shared" si="72"/>
        <v>-8.7163340875722264E-3</v>
      </c>
      <c r="D126" s="2">
        <f t="shared" si="73"/>
        <v>824.51877307640314</v>
      </c>
      <c r="E126" s="2">
        <f t="shared" si="74"/>
        <v>0.7260908782005373</v>
      </c>
      <c r="F126" s="8">
        <f t="shared" si="75"/>
        <v>613.7297414292243</v>
      </c>
      <c r="G126" s="2">
        <f t="shared" si="76"/>
        <v>17063.762361785484</v>
      </c>
      <c r="H126" s="2">
        <f t="shared" si="77"/>
        <v>547.44053357623079</v>
      </c>
      <c r="I126" s="2">
        <f t="shared" si="78"/>
        <v>29360.653098250852</v>
      </c>
      <c r="J126" s="2">
        <f t="shared" si="61"/>
        <v>2.0685367766933388E-2</v>
      </c>
      <c r="K126" s="2">
        <f t="shared" si="62"/>
        <v>11596.943032029209</v>
      </c>
      <c r="L126" s="2">
        <f t="shared" si="79"/>
        <v>9.7169812675367115</v>
      </c>
      <c r="M126" s="2">
        <f t="shared" si="52"/>
        <v>24946.629866024676</v>
      </c>
      <c r="N126">
        <f t="shared" si="53"/>
        <v>7.0312792697240409</v>
      </c>
      <c r="O126" s="2">
        <f t="shared" si="54"/>
        <v>555267</v>
      </c>
      <c r="P126" s="2">
        <v>1</v>
      </c>
      <c r="R126">
        <f t="shared" si="55"/>
        <v>170.63762361785484</v>
      </c>
      <c r="S126">
        <f t="shared" si="56"/>
        <v>2936.065309825085</v>
      </c>
      <c r="T126">
        <f t="shared" si="57"/>
        <v>41.601942863838296</v>
      </c>
      <c r="V126" s="2">
        <f t="shared" si="63"/>
        <v>29360.653098250852</v>
      </c>
      <c r="Y126">
        <f t="shared" si="58"/>
        <v>11329.511803957725</v>
      </c>
      <c r="Z126">
        <f t="shared" si="59"/>
        <v>35760.653098250856</v>
      </c>
    </row>
    <row r="127" spans="1:26" x14ac:dyDescent="0.2">
      <c r="A127" s="2">
        <v>114</v>
      </c>
      <c r="B127" s="2">
        <f t="shared" si="60"/>
        <v>15.561685639084082</v>
      </c>
      <c r="C127" s="2">
        <f t="shared" si="72"/>
        <v>-8.6179433027535595E-3</v>
      </c>
      <c r="D127" s="2">
        <f t="shared" si="73"/>
        <v>839.86049490126425</v>
      </c>
      <c r="E127" s="2">
        <f t="shared" si="74"/>
        <v>0.71737454411296508</v>
      </c>
      <c r="F127" s="8">
        <f t="shared" si="75"/>
        <v>629.90943635158942</v>
      </c>
      <c r="G127" s="2">
        <f t="shared" si="76"/>
        <v>17693.671798137075</v>
      </c>
      <c r="H127" s="2">
        <f t="shared" si="77"/>
        <v>552.13148601818784</v>
      </c>
      <c r="I127" s="2">
        <f t="shared" si="78"/>
        <v>29912.78458426904</v>
      </c>
      <c r="J127" s="2">
        <f t="shared" si="61"/>
        <v>1.9157182165849079E-2</v>
      </c>
      <c r="K127" s="2">
        <f t="shared" si="62"/>
        <v>11143.589782299678</v>
      </c>
      <c r="L127" s="2">
        <f t="shared" si="79"/>
        <v>9.7153068314605555</v>
      </c>
      <c r="M127" s="2">
        <f t="shared" si="52"/>
        <v>24790.78951085675</v>
      </c>
      <c r="N127">
        <f t="shared" si="53"/>
        <v>6.75640913387174</v>
      </c>
      <c r="O127" s="2">
        <f t="shared" si="54"/>
        <v>555267</v>
      </c>
      <c r="P127" s="2">
        <v>1</v>
      </c>
      <c r="R127">
        <f t="shared" si="55"/>
        <v>176.93671798137075</v>
      </c>
      <c r="S127">
        <f t="shared" si="56"/>
        <v>2991.2784584269039</v>
      </c>
      <c r="T127">
        <f t="shared" si="57"/>
        <v>41.102533707794393</v>
      </c>
      <c r="V127" s="2">
        <f t="shared" si="63"/>
        <v>29912.78458426904</v>
      </c>
      <c r="Y127">
        <f t="shared" si="58"/>
        <v>11631.971455178416</v>
      </c>
      <c r="Z127">
        <f t="shared" si="59"/>
        <v>36312.784584269044</v>
      </c>
    </row>
    <row r="128" spans="1:26" x14ac:dyDescent="0.2">
      <c r="A128" s="2">
        <v>115</v>
      </c>
      <c r="B128" s="2">
        <f t="shared" si="60"/>
        <v>15.782988902112756</v>
      </c>
      <c r="C128" s="2">
        <f t="shared" si="72"/>
        <v>-8.5193250922378748E-3</v>
      </c>
      <c r="D128" s="2">
        <f t="shared" si="73"/>
        <v>855.42218054034834</v>
      </c>
      <c r="E128" s="2">
        <f t="shared" si="74"/>
        <v>0.70875660081021152</v>
      </c>
      <c r="F128" s="8">
        <f t="shared" si="75"/>
        <v>646.32469668395049</v>
      </c>
      <c r="G128" s="2">
        <f t="shared" si="76"/>
        <v>18339.996494821025</v>
      </c>
      <c r="H128" s="2">
        <f t="shared" si="77"/>
        <v>556.78601754671945</v>
      </c>
      <c r="I128" s="2">
        <f t="shared" si="78"/>
        <v>30469.570601815758</v>
      </c>
      <c r="J128" s="2">
        <f t="shared" si="61"/>
        <v>1.7730419942745046E-2</v>
      </c>
      <c r="K128" s="2">
        <f t="shared" si="62"/>
        <v>10699.394885700931</v>
      </c>
      <c r="L128" s="2">
        <f t="shared" si="79"/>
        <v>9.7136187179568143</v>
      </c>
      <c r="M128" s="2">
        <f t="shared" si="52"/>
        <v>24634.949155688828</v>
      </c>
      <c r="N128">
        <f t="shared" si="53"/>
        <v>6.4870917491483722</v>
      </c>
      <c r="O128" s="2">
        <f t="shared" si="54"/>
        <v>555267</v>
      </c>
      <c r="P128" s="2">
        <v>1</v>
      </c>
      <c r="R128">
        <f t="shared" si="55"/>
        <v>183.39996494821025</v>
      </c>
      <c r="S128">
        <f t="shared" si="56"/>
        <v>3046.9570601815758</v>
      </c>
      <c r="T128">
        <f t="shared" si="57"/>
        <v>40.608761928463586</v>
      </c>
      <c r="V128" s="2">
        <f t="shared" si="63"/>
        <v>30469.570601815758</v>
      </c>
      <c r="Y128">
        <f t="shared" si="58"/>
        <v>11937.326202743396</v>
      </c>
      <c r="Z128">
        <f t="shared" si="59"/>
        <v>36869.570601815758</v>
      </c>
    </row>
    <row r="129" spans="1:26" x14ac:dyDescent="0.2">
      <c r="A129" s="2">
        <v>116</v>
      </c>
      <c r="B129" s="2">
        <f t="shared" si="60"/>
        <v>16.00562390967805</v>
      </c>
      <c r="C129" s="2">
        <f t="shared" si="72"/>
        <v>-8.4205649719067705E-3</v>
      </c>
      <c r="D129" s="2">
        <f t="shared" si="73"/>
        <v>871.20516944246106</v>
      </c>
      <c r="E129" s="2">
        <f t="shared" si="74"/>
        <v>0.70023727571797367</v>
      </c>
      <c r="F129" s="8">
        <f t="shared" si="75"/>
        <v>662.97569351052493</v>
      </c>
      <c r="G129" s="2">
        <f t="shared" si="76"/>
        <v>19002.972188331551</v>
      </c>
      <c r="H129" s="2">
        <f t="shared" si="77"/>
        <v>561.40386855641225</v>
      </c>
      <c r="I129" s="2">
        <f t="shared" si="78"/>
        <v>31030.97447037217</v>
      </c>
      <c r="J129" s="2">
        <f t="shared" si="61"/>
        <v>1.639938795350307E-2</v>
      </c>
      <c r="K129" s="2">
        <f t="shared" si="62"/>
        <v>10264.734194329538</v>
      </c>
      <c r="L129" s="2">
        <f t="shared" si="79"/>
        <v>9.7119170490754101</v>
      </c>
      <c r="M129" s="2">
        <f t="shared" si="52"/>
        <v>24479.108800520906</v>
      </c>
      <c r="N129">
        <f t="shared" si="53"/>
        <v>6.2235549963883798</v>
      </c>
      <c r="O129" s="2">
        <f t="shared" si="54"/>
        <v>555267</v>
      </c>
      <c r="P129" s="2">
        <v>1</v>
      </c>
      <c r="R129">
        <f t="shared" si="55"/>
        <v>190.02972188331552</v>
      </c>
      <c r="S129">
        <f t="shared" si="56"/>
        <v>3103.0974470372171</v>
      </c>
      <c r="T129">
        <f t="shared" si="57"/>
        <v>40.120640556378454</v>
      </c>
      <c r="V129" s="2">
        <f t="shared" si="63"/>
        <v>31030.97447037217</v>
      </c>
      <c r="Y129">
        <f t="shared" si="58"/>
        <v>12245.499079656041</v>
      </c>
      <c r="Z129">
        <f t="shared" si="59"/>
        <v>37430.974470372166</v>
      </c>
    </row>
    <row r="130" spans="1:26" x14ac:dyDescent="0.2">
      <c r="A130" s="2">
        <v>117</v>
      </c>
      <c r="B130" s="2">
        <f t="shared" si="60"/>
        <v>16.229586147541589</v>
      </c>
      <c r="C130" s="2">
        <f t="shared" si="72"/>
        <v>-8.3217439996933658E-3</v>
      </c>
      <c r="D130" s="2">
        <f t="shared" si="73"/>
        <v>887.21079335213915</v>
      </c>
      <c r="E130" s="2">
        <f t="shared" si="74"/>
        <v>0.69181671074606688</v>
      </c>
      <c r="F130" s="8">
        <f t="shared" si="75"/>
        <v>679.86260977969664</v>
      </c>
      <c r="G130" s="2">
        <f t="shared" si="76"/>
        <v>19682.834798111246</v>
      </c>
      <c r="H130" s="2">
        <f t="shared" si="77"/>
        <v>565.98482428275918</v>
      </c>
      <c r="I130" s="2">
        <f t="shared" si="78"/>
        <v>31596.959294654927</v>
      </c>
      <c r="J130" s="2">
        <f t="shared" si="61"/>
        <v>1.5158621541143353E-2</v>
      </c>
      <c r="K130" s="2">
        <f t="shared" si="62"/>
        <v>9839.9416665020381</v>
      </c>
      <c r="L130" s="2">
        <f t="shared" si="79"/>
        <v>9.7102019474837533</v>
      </c>
      <c r="M130" s="2">
        <f t="shared" si="52"/>
        <v>24323.26844535298</v>
      </c>
      <c r="N130">
        <f t="shared" si="53"/>
        <v>5.9660013560369585</v>
      </c>
      <c r="O130" s="2">
        <f t="shared" si="54"/>
        <v>555267</v>
      </c>
      <c r="P130" s="2">
        <v>1</v>
      </c>
      <c r="R130">
        <f t="shared" si="55"/>
        <v>196.82834798111244</v>
      </c>
      <c r="S130">
        <f t="shared" si="56"/>
        <v>3159.6959294654926</v>
      </c>
      <c r="T130">
        <f t="shared" si="57"/>
        <v>39.638177722372497</v>
      </c>
      <c r="V130" s="2">
        <f t="shared" si="63"/>
        <v>31596.959294654927</v>
      </c>
      <c r="Y130">
        <f t="shared" si="58"/>
        <v>12556.413738503705</v>
      </c>
      <c r="Z130">
        <f t="shared" si="59"/>
        <v>37996.959294654924</v>
      </c>
    </row>
    <row r="131" spans="1:26" x14ac:dyDescent="0.2">
      <c r="A131" s="2">
        <v>118</v>
      </c>
      <c r="B131" s="2">
        <f t="shared" si="60"/>
        <v>16.454874316041241</v>
      </c>
      <c r="C131" s="2">
        <f t="shared" si="72"/>
        <v>-8.2229388575704079E-3</v>
      </c>
      <c r="D131" s="2">
        <f t="shared" si="73"/>
        <v>903.44037949968072</v>
      </c>
      <c r="E131" s="2">
        <f t="shared" si="74"/>
        <v>0.68349496674637356</v>
      </c>
      <c r="F131" s="8">
        <f t="shared" si="75"/>
        <v>696.98564350988374</v>
      </c>
      <c r="G131" s="2">
        <f t="shared" si="76"/>
        <v>20379.82044162113</v>
      </c>
      <c r="H131" s="2">
        <f t="shared" si="77"/>
        <v>570.52871503895926</v>
      </c>
      <c r="I131" s="2">
        <f t="shared" si="78"/>
        <v>32167.488009693887</v>
      </c>
      <c r="J131" s="2">
        <f t="shared" si="61"/>
        <v>1.4002883335057599E-2</v>
      </c>
      <c r="K131" s="2">
        <f t="shared" si="62"/>
        <v>9425.3100637247771</v>
      </c>
      <c r="L131" s="2">
        <f t="shared" si="79"/>
        <v>9.7084735363268795</v>
      </c>
      <c r="M131" s="2">
        <f t="shared" si="52"/>
        <v>24167.428090185058</v>
      </c>
      <c r="N131">
        <f t="shared" si="53"/>
        <v>5.7146083307260387</v>
      </c>
      <c r="O131" s="2">
        <f t="shared" si="54"/>
        <v>555267</v>
      </c>
      <c r="P131" s="2">
        <v>1</v>
      </c>
      <c r="R131">
        <f t="shared" si="55"/>
        <v>203.79820441621129</v>
      </c>
      <c r="S131">
        <f t="shared" si="56"/>
        <v>3216.7488009693889</v>
      </c>
      <c r="T131">
        <f t="shared" si="57"/>
        <v>39.161376913001753</v>
      </c>
      <c r="V131" s="2">
        <f t="shared" si="63"/>
        <v>32167.488009693887</v>
      </c>
      <c r="Y131">
        <f t="shared" si="58"/>
        <v>12869.994559820236</v>
      </c>
      <c r="Z131">
        <f t="shared" si="59"/>
        <v>38567.488009693887</v>
      </c>
    </row>
    <row r="132" spans="1:26" x14ac:dyDescent="0.2">
      <c r="A132" s="2">
        <v>119</v>
      </c>
      <c r="B132" s="2">
        <f t="shared" si="60"/>
        <v>16.681490347278288</v>
      </c>
      <c r="C132" s="2">
        <f t="shared" si="72"/>
        <v>-8.1242219434165628E-3</v>
      </c>
      <c r="D132" s="2">
        <f t="shared" si="73"/>
        <v>919.89525381572196</v>
      </c>
      <c r="E132" s="2">
        <f t="shared" si="74"/>
        <v>0.67527202788880314</v>
      </c>
      <c r="F132" s="8">
        <f t="shared" si="75"/>
        <v>714.34501098235501</v>
      </c>
      <c r="G132" s="2">
        <f t="shared" si="76"/>
        <v>21094.165452603484</v>
      </c>
      <c r="H132" s="2">
        <f t="shared" si="77"/>
        <v>575.03541640195931</v>
      </c>
      <c r="I132" s="2">
        <f t="shared" si="78"/>
        <v>32742.523426095846</v>
      </c>
      <c r="J132" s="2">
        <f t="shared" si="61"/>
        <v>1.2927161239768772E-2</v>
      </c>
      <c r="K132" s="2">
        <f t="shared" si="62"/>
        <v>9021.0918036718303</v>
      </c>
      <c r="L132" s="2">
        <f t="shared" si="79"/>
        <v>9.7067319390872644</v>
      </c>
      <c r="M132" s="2">
        <f t="shared" si="52"/>
        <v>24011.587735017136</v>
      </c>
      <c r="N132">
        <f t="shared" si="53"/>
        <v>5.4695289624386794</v>
      </c>
      <c r="O132" s="2">
        <f t="shared" si="54"/>
        <v>555267</v>
      </c>
      <c r="P132" s="2">
        <v>1</v>
      </c>
      <c r="R132">
        <f t="shared" si="55"/>
        <v>210.94165452603482</v>
      </c>
      <c r="S132">
        <f t="shared" si="56"/>
        <v>3274.2523426095845</v>
      </c>
      <c r="T132">
        <f t="shared" si="57"/>
        <v>38.690237221268845</v>
      </c>
      <c r="V132" s="2">
        <f t="shared" si="63"/>
        <v>32742.523426095846</v>
      </c>
      <c r="Y132">
        <f t="shared" si="58"/>
        <v>13186.166755807166</v>
      </c>
      <c r="Z132">
        <f t="shared" si="59"/>
        <v>39142.523426095846</v>
      </c>
    </row>
    <row r="133" spans="1:26" x14ac:dyDescent="0.2">
      <c r="A133" s="2">
        <v>120</v>
      </c>
      <c r="B133" s="2">
        <f t="shared" si="60"/>
        <v>16.909439415449668</v>
      </c>
      <c r="C133" s="2">
        <f t="shared" si="72"/>
        <v>-8.0256614714757611E-3</v>
      </c>
      <c r="D133" s="2">
        <f t="shared" si="73"/>
        <v>936.57674416300028</v>
      </c>
      <c r="E133" s="2">
        <f t="shared" si="74"/>
        <v>0.66714780594538658</v>
      </c>
      <c r="F133" s="8">
        <f t="shared" si="75"/>
        <v>731.94094991672512</v>
      </c>
      <c r="G133" s="2">
        <f t="shared" si="76"/>
        <v>21826.10640252021</v>
      </c>
      <c r="H133" s="2">
        <f t="shared" si="77"/>
        <v>579.50484934916153</v>
      </c>
      <c r="I133" s="2">
        <f t="shared" si="78"/>
        <v>33322.028275445009</v>
      </c>
      <c r="J133" s="2">
        <f t="shared" si="61"/>
        <v>1.1926665688911165E-2</v>
      </c>
      <c r="K133" s="2">
        <f t="shared" si="62"/>
        <v>8627.4999580085932</v>
      </c>
      <c r="L133" s="2">
        <f t="shared" si="79"/>
        <v>9.7049772794444351</v>
      </c>
      <c r="M133" s="2">
        <f t="shared" si="52"/>
        <v>23855.74737984921</v>
      </c>
      <c r="N133">
        <f t="shared" si="53"/>
        <v>5.2308924374940462</v>
      </c>
      <c r="O133" s="2">
        <f t="shared" si="54"/>
        <v>555267</v>
      </c>
      <c r="P133" s="2">
        <v>1</v>
      </c>
      <c r="R133">
        <f t="shared" si="55"/>
        <v>218.2610640252021</v>
      </c>
      <c r="S133">
        <f t="shared" si="56"/>
        <v>3332.2028275445009</v>
      </c>
      <c r="T133">
        <f t="shared" si="57"/>
        <v>38.224753592083502</v>
      </c>
      <c r="V133" s="2">
        <f t="shared" si="63"/>
        <v>33322.028275445009</v>
      </c>
      <c r="Y133">
        <f t="shared" si="58"/>
        <v>13504.856469583608</v>
      </c>
      <c r="Z133">
        <f t="shared" si="59"/>
        <v>39722.028275445009</v>
      </c>
    </row>
    <row r="134" spans="1:26" x14ac:dyDescent="0.2">
      <c r="A134" s="2">
        <v>121</v>
      </c>
      <c r="B134" s="2">
        <f t="shared" si="60"/>
        <v>17.138729940858063</v>
      </c>
      <c r="C134" s="2">
        <f t="shared" si="72"/>
        <v>-7.9273215801877062E-3</v>
      </c>
      <c r="D134" s="2">
        <f t="shared" si="73"/>
        <v>953.48618357844998</v>
      </c>
      <c r="E134" s="2">
        <f t="shared" si="74"/>
        <v>0.65912214447391082</v>
      </c>
      <c r="F134" s="8">
        <f t="shared" si="75"/>
        <v>749.77372262514598</v>
      </c>
      <c r="G134" s="2">
        <f t="shared" si="76"/>
        <v>22575.880125145355</v>
      </c>
      <c r="H134" s="2">
        <f t="shared" si="77"/>
        <v>583.93698034740669</v>
      </c>
      <c r="I134" s="2">
        <f t="shared" si="78"/>
        <v>33905.965255792413</v>
      </c>
      <c r="J134" s="2">
        <f t="shared" si="61"/>
        <v>1.0996826238377937E-2</v>
      </c>
      <c r="K134" s="2">
        <f t="shared" si="62"/>
        <v>8244.7093832543942</v>
      </c>
      <c r="L134" s="2">
        <f t="shared" si="79"/>
        <v>9.7032096811345561</v>
      </c>
      <c r="M134" s="2">
        <f t="shared" si="52"/>
        <v>23699.907024681288</v>
      </c>
      <c r="N134">
        <f t="shared" si="53"/>
        <v>4.9988047721945472</v>
      </c>
      <c r="O134" s="2">
        <f t="shared" si="54"/>
        <v>555267</v>
      </c>
      <c r="P134" s="2">
        <v>1</v>
      </c>
      <c r="R134">
        <f t="shared" si="55"/>
        <v>225.75880125145355</v>
      </c>
      <c r="S134">
        <f t="shared" si="56"/>
        <v>3390.5965255792412</v>
      </c>
      <c r="T134">
        <f t="shared" si="57"/>
        <v>37.764917061967189</v>
      </c>
      <c r="V134" s="2">
        <f t="shared" si="63"/>
        <v>33905.965255792413</v>
      </c>
      <c r="Y134">
        <f t="shared" si="58"/>
        <v>13825.990870142234</v>
      </c>
      <c r="Z134">
        <f t="shared" si="59"/>
        <v>40305.965255792413</v>
      </c>
    </row>
    <row r="135" spans="1:26" x14ac:dyDescent="0.2">
      <c r="A135" s="2">
        <v>122</v>
      </c>
      <c r="B135" s="2">
        <f t="shared" si="60"/>
        <v>17.369373588156833</v>
      </c>
      <c r="C135" s="2">
        <f t="shared" si="72"/>
        <v>-7.8292624462342631E-3</v>
      </c>
      <c r="D135" s="2">
        <f t="shared" si="73"/>
        <v>970.62491351930805</v>
      </c>
      <c r="E135" s="2">
        <f t="shared" si="74"/>
        <v>0.6511948228937231</v>
      </c>
      <c r="F135" s="8">
        <f t="shared" si="75"/>
        <v>767.8436191415168</v>
      </c>
      <c r="G135" s="2">
        <f t="shared" si="76"/>
        <v>23343.723744286872</v>
      </c>
      <c r="H135" s="2">
        <f t="shared" si="77"/>
        <v>588.33182139602775</v>
      </c>
      <c r="I135" s="2">
        <f t="shared" si="78"/>
        <v>34494.297077188443</v>
      </c>
      <c r="J135" s="2">
        <f t="shared" si="61"/>
        <v>1.0133287570439065E-2</v>
      </c>
      <c r="K135" s="2">
        <f t="shared" si="62"/>
        <v>7872.8579723699177</v>
      </c>
      <c r="L135" s="2">
        <f t="shared" si="79"/>
        <v>9.7014292678101395</v>
      </c>
      <c r="M135" s="2">
        <f t="shared" si="52"/>
        <v>23544.066669513366</v>
      </c>
      <c r="N135">
        <f t="shared" si="53"/>
        <v>4.7733495716689855</v>
      </c>
      <c r="O135" s="2">
        <f t="shared" si="54"/>
        <v>555267</v>
      </c>
      <c r="P135" s="2">
        <v>1</v>
      </c>
      <c r="R135">
        <f t="shared" si="55"/>
        <v>233.43723744286871</v>
      </c>
      <c r="S135">
        <f t="shared" si="56"/>
        <v>3449.4297077188444</v>
      </c>
      <c r="T135">
        <f t="shared" si="57"/>
        <v>37.310714992579449</v>
      </c>
      <c r="V135" s="2">
        <f t="shared" si="63"/>
        <v>34494.297077188443</v>
      </c>
      <c r="Y135">
        <f t="shared" si="58"/>
        <v>14149.498243194226</v>
      </c>
      <c r="Z135">
        <f t="shared" si="59"/>
        <v>40894.297077188443</v>
      </c>
    </row>
    <row r="136" spans="1:26" x14ac:dyDescent="0.2">
      <c r="A136" s="2">
        <v>123</v>
      </c>
      <c r="B136" s="2">
        <f t="shared" si="60"/>
        <v>17.601385259407262</v>
      </c>
      <c r="C136" s="2">
        <f t="shared" si="72"/>
        <v>-7.7315404037156211E-3</v>
      </c>
      <c r="D136" s="2">
        <f t="shared" si="73"/>
        <v>987.99428710746486</v>
      </c>
      <c r="E136" s="2">
        <f t="shared" si="74"/>
        <v>0.64336556044748883</v>
      </c>
      <c r="F136" s="8">
        <f t="shared" si="75"/>
        <v>786.15096032238216</v>
      </c>
      <c r="G136" s="2">
        <f t="shared" si="76"/>
        <v>24129.874704609254</v>
      </c>
      <c r="H136" s="2">
        <f t="shared" si="77"/>
        <v>592.68943002595802</v>
      </c>
      <c r="I136" s="2">
        <f t="shared" si="78"/>
        <v>35086.986507214402</v>
      </c>
      <c r="J136" s="2">
        <f t="shared" si="61"/>
        <v>9.3319049781449975E-3</v>
      </c>
      <c r="K136" s="2">
        <f t="shared" si="62"/>
        <v>7512.0480143852583</v>
      </c>
      <c r="L136" s="2">
        <f t="shared" si="79"/>
        <v>9.6996361629000081</v>
      </c>
      <c r="M136" s="2">
        <f t="shared" si="52"/>
        <v>23388.226314345444</v>
      </c>
      <c r="N136">
        <f t="shared" si="53"/>
        <v>4.5545888542212243</v>
      </c>
      <c r="O136" s="2">
        <f t="shared" si="54"/>
        <v>555267</v>
      </c>
      <c r="P136" s="2">
        <v>1</v>
      </c>
      <c r="R136">
        <f t="shared" si="55"/>
        <v>241.29874704609253</v>
      </c>
      <c r="S136">
        <f t="shared" si="56"/>
        <v>3508.6986507214401</v>
      </c>
      <c r="T136">
        <f t="shared" si="57"/>
        <v>36.862131297709958</v>
      </c>
      <c r="V136" s="2">
        <f t="shared" si="63"/>
        <v>35086.986507214402</v>
      </c>
      <c r="Y136">
        <f t="shared" si="58"/>
        <v>14475.308078089174</v>
      </c>
      <c r="Z136">
        <f t="shared" si="59"/>
        <v>41486.986507214402</v>
      </c>
    </row>
    <row r="137" spans="1:26" x14ac:dyDescent="0.2">
      <c r="A137" s="2">
        <v>124</v>
      </c>
      <c r="B137" s="2">
        <f t="shared" si="60"/>
        <v>17.834783082541456</v>
      </c>
      <c r="C137" s="2">
        <f t="shared" si="72"/>
        <v>-7.634208067440959E-3</v>
      </c>
      <c r="D137" s="2">
        <f t="shared" si="73"/>
        <v>1005.5956723668721</v>
      </c>
      <c r="E137" s="2">
        <f t="shared" si="74"/>
        <v>0.63563402004377323</v>
      </c>
      <c r="F137" s="8">
        <f t="shared" si="75"/>
        <v>804.69610091654624</v>
      </c>
      <c r="G137" s="2">
        <f t="shared" si="76"/>
        <v>24934.5708055258</v>
      </c>
      <c r="H137" s="2">
        <f t="shared" si="77"/>
        <v>597.00990925705116</v>
      </c>
      <c r="I137" s="2">
        <f t="shared" si="78"/>
        <v>35683.996416471455</v>
      </c>
      <c r="J137" s="2">
        <f t="shared" si="61"/>
        <v>8.5887393965508561E-3</v>
      </c>
      <c r="K137" s="2">
        <f t="shared" si="62"/>
        <v>7162.3476491491065</v>
      </c>
      <c r="L137" s="2">
        <f t="shared" si="79"/>
        <v>9.6978304894696024</v>
      </c>
      <c r="M137" s="2">
        <f t="shared" si="52"/>
        <v>23232.385959177518</v>
      </c>
      <c r="N137">
        <f t="shared" si="53"/>
        <v>4.342563933351224</v>
      </c>
      <c r="O137" s="2">
        <f t="shared" si="54"/>
        <v>555267</v>
      </c>
      <c r="P137" s="2">
        <v>1</v>
      </c>
      <c r="R137">
        <f t="shared" si="55"/>
        <v>249.345708055258</v>
      </c>
      <c r="S137">
        <f t="shared" si="56"/>
        <v>3568.3996416471455</v>
      </c>
      <c r="T137">
        <f t="shared" si="57"/>
        <v>36.419146663442177</v>
      </c>
      <c r="V137" s="2">
        <f t="shared" si="63"/>
        <v>35683.996416471455</v>
      </c>
      <c r="Y137">
        <f t="shared" si="58"/>
        <v>14803.351150997734</v>
      </c>
      <c r="Z137">
        <f t="shared" si="59"/>
        <v>42083.996416471455</v>
      </c>
    </row>
    <row r="138" spans="1:26" x14ac:dyDescent="0.2">
      <c r="A138" s="2">
        <v>125</v>
      </c>
      <c r="B138" s="2">
        <f t="shared" si="60"/>
        <v>18.069588395835922</v>
      </c>
      <c r="C138" s="2">
        <f t="shared" si="72"/>
        <v>-7.5373144593898116E-3</v>
      </c>
      <c r="D138" s="2">
        <f t="shared" si="73"/>
        <v>1023.4304554494136</v>
      </c>
      <c r="E138" s="2">
        <f t="shared" si="74"/>
        <v>0.62799981197633226</v>
      </c>
      <c r="F138" s="8">
        <f t="shared" si="75"/>
        <v>823.47943260082968</v>
      </c>
      <c r="G138" s="2">
        <f t="shared" si="76"/>
        <v>25758.050238126631</v>
      </c>
      <c r="H138" s="2">
        <f t="shared" si="77"/>
        <v>601.29340751595373</v>
      </c>
      <c r="I138" s="2">
        <f t="shared" si="78"/>
        <v>36285.289823987405</v>
      </c>
      <c r="J138" s="2">
        <f t="shared" si="61"/>
        <v>7.9000520442751472E-3</v>
      </c>
      <c r="K138" s="2">
        <f t="shared" si="62"/>
        <v>6823.7924041766873</v>
      </c>
      <c r="L138" s="2">
        <f t="shared" si="79"/>
        <v>9.6960123700818777</v>
      </c>
      <c r="M138" s="2">
        <f t="shared" si="52"/>
        <v>23076.545604009596</v>
      </c>
      <c r="N138">
        <f t="shared" si="53"/>
        <v>4.1372963495529458</v>
      </c>
      <c r="O138" s="2">
        <f t="shared" si="54"/>
        <v>555267</v>
      </c>
      <c r="P138" s="2">
        <v>1</v>
      </c>
      <c r="R138">
        <f t="shared" si="55"/>
        <v>257.58050238126629</v>
      </c>
      <c r="S138">
        <f t="shared" si="56"/>
        <v>3628.5289823987405</v>
      </c>
      <c r="T138">
        <f t="shared" si="57"/>
        <v>35.981738761253091</v>
      </c>
      <c r="V138" s="2">
        <f t="shared" si="63"/>
        <v>36285.289823987405</v>
      </c>
      <c r="Y138">
        <f t="shared" si="58"/>
        <v>15133.559604544951</v>
      </c>
      <c r="Z138">
        <f t="shared" si="59"/>
        <v>42685.289823987405</v>
      </c>
    </row>
    <row r="139" spans="1:26" x14ac:dyDescent="0.2">
      <c r="A139" s="2">
        <v>126</v>
      </c>
      <c r="B139" s="2">
        <f t="shared" si="60"/>
        <v>18.305825729008696</v>
      </c>
      <c r="C139" s="2">
        <f t="shared" si="72"/>
        <v>-7.4409051374715622E-3</v>
      </c>
      <c r="D139" s="2">
        <f t="shared" si="73"/>
        <v>1041.5000438452494</v>
      </c>
      <c r="E139" s="2">
        <f t="shared" si="74"/>
        <v>0.62046249751694249</v>
      </c>
      <c r="F139" s="8">
        <f t="shared" si="75"/>
        <v>842.5013869798006</v>
      </c>
      <c r="G139" s="2">
        <f t="shared" si="76"/>
        <v>26600.551625106433</v>
      </c>
      <c r="H139" s="2">
        <f t="shared" si="77"/>
        <v>605.54011851703262</v>
      </c>
      <c r="I139" s="2">
        <f t="shared" si="78"/>
        <v>36890.829942504439</v>
      </c>
      <c r="J139" s="2">
        <f t="shared" si="61"/>
        <v>7.2622987356913173E-3</v>
      </c>
      <c r="K139" s="2">
        <f t="shared" si="62"/>
        <v>6496.3868005966606</v>
      </c>
      <c r="L139" s="2">
        <f t="shared" si="79"/>
        <v>9.694181926658743</v>
      </c>
      <c r="M139" s="2">
        <f t="shared" si="52"/>
        <v>22920.705248841674</v>
      </c>
      <c r="N139">
        <f t="shared" si="53"/>
        <v>3.9387888440072443</v>
      </c>
      <c r="O139" s="2">
        <f t="shared" si="54"/>
        <v>555267</v>
      </c>
      <c r="P139" s="2">
        <v>1</v>
      </c>
      <c r="R139">
        <f t="shared" si="55"/>
        <v>266.00551625106431</v>
      </c>
      <c r="S139">
        <f t="shared" si="56"/>
        <v>3689.0829942504438</v>
      </c>
      <c r="T139">
        <f t="shared" si="57"/>
        <v>35.549882453867127</v>
      </c>
      <c r="V139" s="2">
        <f t="shared" si="63"/>
        <v>36890.829942504439</v>
      </c>
      <c r="Y139">
        <f t="shared" si="58"/>
        <v>15465.86702408123</v>
      </c>
      <c r="Z139">
        <f t="shared" si="59"/>
        <v>43290.829942504439</v>
      </c>
    </row>
    <row r="140" spans="1:26" x14ac:dyDescent="0.2">
      <c r="A140" s="2">
        <v>127</v>
      </c>
      <c r="B140" s="2">
        <f t="shared" si="60"/>
        <v>18.543522781556462</v>
      </c>
      <c r="C140" s="2">
        <f t="shared" si="72"/>
        <v>-7.345022325781189E-3</v>
      </c>
      <c r="D140" s="2">
        <f t="shared" si="73"/>
        <v>1059.8058695742582</v>
      </c>
      <c r="E140" s="2">
        <f t="shared" si="74"/>
        <v>0.61302159237947096</v>
      </c>
      <c r="F140" s="8">
        <f t="shared" si="75"/>
        <v>861.76243854774702</v>
      </c>
      <c r="G140" s="2">
        <f t="shared" si="76"/>
        <v>27462.314063654179</v>
      </c>
      <c r="H140" s="2">
        <f t="shared" si="77"/>
        <v>609.75028110901826</v>
      </c>
      <c r="I140" s="2">
        <f t="shared" si="78"/>
        <v>37500.580223613455</v>
      </c>
      <c r="J140" s="2">
        <f t="shared" si="61"/>
        <v>6.6721239206873504E-3</v>
      </c>
      <c r="K140" s="2">
        <f t="shared" si="62"/>
        <v>6180.1060153395892</v>
      </c>
      <c r="L140" s="2">
        <f t="shared" si="79"/>
        <v>9.6923392803432709</v>
      </c>
      <c r="M140" s="2">
        <f t="shared" si="52"/>
        <v>22764.864893673748</v>
      </c>
      <c r="N140">
        <f t="shared" si="53"/>
        <v>3.7470263663742953</v>
      </c>
      <c r="O140" s="2">
        <f t="shared" si="54"/>
        <v>555267</v>
      </c>
      <c r="P140" s="2">
        <v>1</v>
      </c>
      <c r="R140">
        <f t="shared" si="55"/>
        <v>274.62314063654179</v>
      </c>
      <c r="S140">
        <f t="shared" si="56"/>
        <v>3750.0580223613456</v>
      </c>
      <c r="T140">
        <f t="shared" si="57"/>
        <v>35.123549993732794</v>
      </c>
      <c r="V140" s="2">
        <f t="shared" si="63"/>
        <v>37500.580223613455</v>
      </c>
      <c r="Y140">
        <f t="shared" si="58"/>
        <v>15800.208510775743</v>
      </c>
      <c r="Z140">
        <f t="shared" si="59"/>
        <v>43900.580223613455</v>
      </c>
    </row>
    <row r="141" spans="1:26" x14ac:dyDescent="0.2">
      <c r="A141" s="2">
        <v>128</v>
      </c>
      <c r="B141" s="2">
        <f t="shared" si="60"/>
        <v>18.782710398948087</v>
      </c>
      <c r="C141" s="2">
        <f t="shared" si="72"/>
        <v>-7.2497050456185154E-3</v>
      </c>
      <c r="D141" s="2">
        <f t="shared" si="73"/>
        <v>1078.3493923558146</v>
      </c>
      <c r="E141" s="2">
        <f t="shared" si="74"/>
        <v>0.6056765700536898</v>
      </c>
      <c r="F141" s="8">
        <f t="shared" si="75"/>
        <v>881.26310761159073</v>
      </c>
      <c r="G141" s="2">
        <f t="shared" si="76"/>
        <v>28343.57717126577</v>
      </c>
      <c r="H141" s="2">
        <f t="shared" si="77"/>
        <v>613.9241790901699</v>
      </c>
      <c r="I141" s="2">
        <f t="shared" si="78"/>
        <v>38114.504402703627</v>
      </c>
      <c r="J141" s="2">
        <f t="shared" si="61"/>
        <v>6.1263545054595662E-3</v>
      </c>
      <c r="K141" s="2">
        <f t="shared" si="62"/>
        <v>5874.8975869639589</v>
      </c>
      <c r="L141" s="2">
        <f t="shared" si="79"/>
        <v>9.6904845513627595</v>
      </c>
      <c r="M141" s="2">
        <f t="shared" si="52"/>
        <v>22609.024538505826</v>
      </c>
      <c r="N141">
        <f t="shared" si="53"/>
        <v>3.5619771090436654</v>
      </c>
      <c r="O141" s="2">
        <f t="shared" si="54"/>
        <v>555267</v>
      </c>
      <c r="P141" s="2">
        <v>1</v>
      </c>
      <c r="R141">
        <f t="shared" si="55"/>
        <v>283.4357717126577</v>
      </c>
      <c r="S141">
        <f t="shared" si="56"/>
        <v>3811.4504402703628</v>
      </c>
      <c r="T141">
        <f t="shared" si="57"/>
        <v>34.702711214036171</v>
      </c>
      <c r="V141" s="2">
        <f t="shared" si="63"/>
        <v>38114.504402703627</v>
      </c>
      <c r="Y141">
        <f t="shared" si="58"/>
        <v>16136.520751714401</v>
      </c>
      <c r="Z141">
        <f t="shared" si="59"/>
        <v>44514.504402703627</v>
      </c>
    </row>
    <row r="142" spans="1:26" x14ac:dyDescent="0.2">
      <c r="A142" s="2">
        <v>129</v>
      </c>
      <c r="B142" s="2">
        <f t="shared" si="60"/>
        <v>19.023422547287549</v>
      </c>
      <c r="C142" s="2">
        <f t="shared" si="72"/>
        <v>-7.1549892466055203E-3</v>
      </c>
      <c r="D142" s="2">
        <f t="shared" si="73"/>
        <v>1097.1321027547626</v>
      </c>
      <c r="E142" s="2">
        <f t="shared" si="74"/>
        <v>0.5984268650080713</v>
      </c>
      <c r="F142" s="8">
        <f t="shared" si="75"/>
        <v>901.00396317391858</v>
      </c>
      <c r="G142" s="2">
        <f t="shared" si="76"/>
        <v>29244.58113443969</v>
      </c>
      <c r="H142" s="2">
        <f t="shared" si="77"/>
        <v>618.06214099490569</v>
      </c>
      <c r="I142" s="2">
        <f t="shared" si="78"/>
        <v>38732.566543698536</v>
      </c>
      <c r="J142" s="2">
        <f t="shared" si="61"/>
        <v>5.6219935042718123E-3</v>
      </c>
      <c r="K142" s="2">
        <f t="shared" si="62"/>
        <v>5580.6831528714247</v>
      </c>
      <c r="L142" s="2">
        <f t="shared" si="79"/>
        <v>9.6886178588926875</v>
      </c>
      <c r="M142" s="2">
        <f t="shared" ref="M142:M205" si="80">$B$1-($B$7*A142)</f>
        <v>22453.184183337904</v>
      </c>
      <c r="N142">
        <f t="shared" ref="N142:N205" si="81">(0.5*J142*(D142)^2)/1000</f>
        <v>3.3835935604158123</v>
      </c>
      <c r="O142" s="2">
        <f t="shared" ref="O142:O205" si="82">$B$5*P142</f>
        <v>555267</v>
      </c>
      <c r="P142" s="2">
        <v>1</v>
      </c>
      <c r="R142">
        <f t="shared" ref="R142:R205" si="83">G142/100</f>
        <v>292.44581134439687</v>
      </c>
      <c r="S142">
        <f t="shared" ref="S142:S205" si="84">I142/10</f>
        <v>3873.2566543698535</v>
      </c>
      <c r="T142">
        <f t="shared" ref="T142:T205" si="85">E142*180/PI()</f>
        <v>34.287333712207534</v>
      </c>
      <c r="V142" s="2">
        <f t="shared" si="63"/>
        <v>38732.566543698536</v>
      </c>
      <c r="Y142">
        <f t="shared" ref="Y142:Y205" si="86">(G142*COS((PI()/2) - E142))</f>
        <v>16474.742087180766</v>
      </c>
      <c r="Z142">
        <f t="shared" ref="Z142:Z205" si="87">6400+(I142)</f>
        <v>45132.566543698536</v>
      </c>
    </row>
    <row r="143" spans="1:26" x14ac:dyDescent="0.2">
      <c r="A143" s="2">
        <v>130</v>
      </c>
      <c r="B143" s="2">
        <f t="shared" ref="B143:B206" si="88">((O142-K143)/M143)-(L143*SIN(E143))</f>
        <v>19.265696287052602</v>
      </c>
      <c r="C143" s="2">
        <f t="shared" si="72"/>
        <v>-7.0609079373013242E-3</v>
      </c>
      <c r="D143" s="2">
        <f t="shared" si="73"/>
        <v>1116.1555253020501</v>
      </c>
      <c r="E143" s="2">
        <f t="shared" si="74"/>
        <v>0.59127187576146578</v>
      </c>
      <c r="F143" s="8">
        <f t="shared" si="75"/>
        <v>920.98562577574398</v>
      </c>
      <c r="G143" s="2">
        <f t="shared" si="76"/>
        <v>30165.566760215435</v>
      </c>
      <c r="H143" s="2">
        <f t="shared" si="77"/>
        <v>622.16453985495377</v>
      </c>
      <c r="I143" s="2">
        <f t="shared" si="78"/>
        <v>39354.731083553488</v>
      </c>
      <c r="J143" s="2">
        <f t="shared" ref="J143:J206" si="89">$J$13*EXP(-I143/7194)</f>
        <v>5.1562135685466002E-3</v>
      </c>
      <c r="K143" s="2">
        <f t="shared" ref="K143:K206" si="90">0.7*(PI()*(0.75))*0.5*J143*(D143)^2</f>
        <v>5297.3602061105221</v>
      </c>
      <c r="L143" s="2">
        <f t="shared" si="79"/>
        <v>9.6867393209216743</v>
      </c>
      <c r="M143" s="2">
        <f t="shared" si="80"/>
        <v>22297.343828169978</v>
      </c>
      <c r="N143">
        <f t="shared" si="81"/>
        <v>3.2118135700601571</v>
      </c>
      <c r="O143" s="2">
        <f t="shared" si="82"/>
        <v>555267</v>
      </c>
      <c r="P143" s="2">
        <v>1</v>
      </c>
      <c r="R143">
        <f t="shared" si="83"/>
        <v>301.65566760215438</v>
      </c>
      <c r="S143">
        <f t="shared" si="84"/>
        <v>3935.4731083553488</v>
      </c>
      <c r="T143">
        <f t="shared" si="85"/>
        <v>33.877383025915549</v>
      </c>
      <c r="V143" s="2">
        <f t="shared" si="63"/>
        <v>39354.731083553488</v>
      </c>
      <c r="Y143">
        <f t="shared" si="86"/>
        <v>16814.81257529448</v>
      </c>
      <c r="Z143">
        <f t="shared" si="87"/>
        <v>45754.731083553488</v>
      </c>
    </row>
    <row r="144" spans="1:26" x14ac:dyDescent="0.2">
      <c r="A144" s="2">
        <v>131</v>
      </c>
      <c r="B144" s="2">
        <f t="shared" si="88"/>
        <v>19.509571746505582</v>
      </c>
      <c r="C144" s="2">
        <f t="shared" si="72"/>
        <v>-6.9674913147770223E-3</v>
      </c>
      <c r="D144" s="2">
        <f t="shared" si="73"/>
        <v>1135.4212215891027</v>
      </c>
      <c r="E144" s="2">
        <f t="shared" si="74"/>
        <v>0.58421096782416448</v>
      </c>
      <c r="F144" s="8">
        <f t="shared" si="75"/>
        <v>941.20877029910571</v>
      </c>
      <c r="G144" s="2">
        <f t="shared" si="76"/>
        <v>31106.77553051454</v>
      </c>
      <c r="H144" s="2">
        <f t="shared" si="77"/>
        <v>626.23179293819044</v>
      </c>
      <c r="I144" s="2">
        <f t="shared" si="78"/>
        <v>39980.962876491678</v>
      </c>
      <c r="J144" s="2">
        <f t="shared" si="89"/>
        <v>4.726350436093452E-3</v>
      </c>
      <c r="K144" s="2">
        <f t="shared" si="90"/>
        <v>5024.8038604972944</v>
      </c>
      <c r="L144" s="2">
        <f t="shared" si="79"/>
        <v>9.6848490541175121</v>
      </c>
      <c r="M144" s="2">
        <f t="shared" si="80"/>
        <v>22141.503473002056</v>
      </c>
      <c r="N144">
        <f t="shared" si="81"/>
        <v>3.0465614189157444</v>
      </c>
      <c r="O144" s="2">
        <f t="shared" si="82"/>
        <v>555267</v>
      </c>
      <c r="P144" s="2">
        <v>1</v>
      </c>
      <c r="R144">
        <f t="shared" si="83"/>
        <v>311.0677553051454</v>
      </c>
      <c r="S144">
        <f t="shared" si="84"/>
        <v>3998.0962876491676</v>
      </c>
      <c r="T144">
        <f t="shared" si="85"/>
        <v>33.472822801577756</v>
      </c>
      <c r="V144" s="2">
        <f t="shared" ref="V144:V207" si="91">H144+I143</f>
        <v>39980.962876491678</v>
      </c>
      <c r="Y144">
        <f t="shared" si="86"/>
        <v>17156.674054177209</v>
      </c>
      <c r="Z144">
        <f t="shared" si="87"/>
        <v>46380.962876491678</v>
      </c>
    </row>
    <row r="145" spans="1:26" x14ac:dyDescent="0.2">
      <c r="A145" s="2">
        <v>132</v>
      </c>
      <c r="B145" s="2">
        <f t="shared" si="88"/>
        <v>19.75509209536094</v>
      </c>
      <c r="C145" s="2">
        <f t="shared" si="72"/>
        <v>-6.8747668926719832E-3</v>
      </c>
      <c r="D145" s="2">
        <f t="shared" si="73"/>
        <v>1154.9307933356083</v>
      </c>
      <c r="E145" s="2">
        <f t="shared" si="74"/>
        <v>0.57724347650938745</v>
      </c>
      <c r="F145" s="8">
        <f t="shared" si="75"/>
        <v>961.67412873006344</v>
      </c>
      <c r="G145" s="2">
        <f t="shared" si="76"/>
        <v>32068.449659244605</v>
      </c>
      <c r="H145" s="2">
        <f t="shared" si="77"/>
        <v>630.26436146841866</v>
      </c>
      <c r="I145" s="2">
        <f t="shared" si="78"/>
        <v>40611.227237960098</v>
      </c>
      <c r="J145" s="2">
        <f t="shared" si="89"/>
        <v>4.3298963397515842E-3</v>
      </c>
      <c r="K145" s="2">
        <f t="shared" si="90"/>
        <v>4762.8686133808797</v>
      </c>
      <c r="L145" s="2">
        <f t="shared" si="79"/>
        <v>9.6829471736943624</v>
      </c>
      <c r="M145" s="2">
        <f t="shared" si="80"/>
        <v>21985.663117834134</v>
      </c>
      <c r="N145">
        <f t="shared" si="81"/>
        <v>2.8877488880640323</v>
      </c>
      <c r="O145" s="2">
        <f t="shared" si="82"/>
        <v>555267</v>
      </c>
      <c r="P145" s="2">
        <v>1</v>
      </c>
      <c r="R145">
        <f t="shared" si="83"/>
        <v>320.68449659244607</v>
      </c>
      <c r="S145">
        <f t="shared" si="84"/>
        <v>4061.1227237960097</v>
      </c>
      <c r="T145">
        <f t="shared" si="85"/>
        <v>33.073614955446978</v>
      </c>
      <c r="V145" s="2">
        <f t="shared" si="91"/>
        <v>40611.227237960098</v>
      </c>
      <c r="Y145">
        <f t="shared" si="86"/>
        <v>17500.270201811731</v>
      </c>
      <c r="Z145">
        <f t="shared" si="87"/>
        <v>47011.227237960098</v>
      </c>
    </row>
    <row r="146" spans="1:26" x14ac:dyDescent="0.2">
      <c r="A146" s="2">
        <v>133</v>
      </c>
      <c r="B146" s="2">
        <f t="shared" si="88"/>
        <v>20.002303519279238</v>
      </c>
      <c r="C146" s="2">
        <f t="shared" si="72"/>
        <v>-6.7827596273098475E-3</v>
      </c>
      <c r="D146" s="2">
        <f t="shared" si="73"/>
        <v>1174.6858854309692</v>
      </c>
      <c r="E146" s="2">
        <f t="shared" si="74"/>
        <v>0.57036870961671549</v>
      </c>
      <c r="F146" s="8">
        <f t="shared" si="75"/>
        <v>982.38249288313295</v>
      </c>
      <c r="G146" s="2">
        <f t="shared" si="76"/>
        <v>33050.832152127739</v>
      </c>
      <c r="H146" s="2">
        <f t="shared" si="77"/>
        <v>634.26275032941544</v>
      </c>
      <c r="I146" s="2">
        <f t="shared" si="78"/>
        <v>41245.489988289512</v>
      </c>
      <c r="J146" s="2">
        <f t="shared" si="89"/>
        <v>3.9644934112557182E-3</v>
      </c>
      <c r="K146" s="2">
        <f t="shared" si="90"/>
        <v>4511.3900960413066</v>
      </c>
      <c r="L146" s="2">
        <f t="shared" si="79"/>
        <v>9.6810337932811112</v>
      </c>
      <c r="M146" s="2">
        <f t="shared" si="80"/>
        <v>21829.822762666208</v>
      </c>
      <c r="N146">
        <f t="shared" si="81"/>
        <v>2.7352763200030261</v>
      </c>
      <c r="O146" s="2">
        <f t="shared" si="82"/>
        <v>555267</v>
      </c>
      <c r="P146" s="2">
        <v>1</v>
      </c>
      <c r="R146">
        <f t="shared" si="83"/>
        <v>330.50832152127737</v>
      </c>
      <c r="S146">
        <f t="shared" si="84"/>
        <v>4124.548998828951</v>
      </c>
      <c r="T146">
        <f t="shared" si="85"/>
        <v>32.679719827360607</v>
      </c>
      <c r="V146" s="2">
        <f t="shared" si="91"/>
        <v>41245.489988289512</v>
      </c>
      <c r="Y146">
        <f t="shared" si="86"/>
        <v>17845.546593754745</v>
      </c>
      <c r="Z146">
        <f t="shared" si="87"/>
        <v>47645.489988289512</v>
      </c>
    </row>
    <row r="147" spans="1:26" x14ac:dyDescent="0.2">
      <c r="A147" s="2">
        <v>134</v>
      </c>
      <c r="B147" s="2">
        <f t="shared" si="88"/>
        <v>20.251255195741209</v>
      </c>
      <c r="C147" s="2">
        <f t="shared" si="72"/>
        <v>-6.6914920415057479E-3</v>
      </c>
      <c r="D147" s="2">
        <f t="shared" si="73"/>
        <v>1194.6881889502483</v>
      </c>
      <c r="E147" s="2">
        <f t="shared" si="74"/>
        <v>0.56358594998940559</v>
      </c>
      <c r="F147" s="8">
        <f t="shared" si="75"/>
        <v>1003.3347170886566</v>
      </c>
      <c r="G147" s="2">
        <f t="shared" si="76"/>
        <v>34054.166869216395</v>
      </c>
      <c r="H147" s="2">
        <f t="shared" si="77"/>
        <v>638.22750775663394</v>
      </c>
      <c r="I147" s="2">
        <f t="shared" si="78"/>
        <v>41883.717496046149</v>
      </c>
      <c r="J147" s="2">
        <f t="shared" si="89"/>
        <v>3.6279271127477803E-3</v>
      </c>
      <c r="K147" s="2">
        <f t="shared" si="90"/>
        <v>4270.1868024135729</v>
      </c>
      <c r="L147" s="2">
        <f t="shared" si="79"/>
        <v>9.6791090247909128</v>
      </c>
      <c r="M147" s="2">
        <f t="shared" si="80"/>
        <v>21673.982407498286</v>
      </c>
      <c r="N147">
        <f t="shared" si="81"/>
        <v>2.5890336667805514</v>
      </c>
      <c r="O147" s="2">
        <f t="shared" si="82"/>
        <v>555267</v>
      </c>
      <c r="P147" s="2">
        <v>1</v>
      </c>
      <c r="R147">
        <f t="shared" si="83"/>
        <v>340.54166869216397</v>
      </c>
      <c r="S147">
        <f t="shared" si="84"/>
        <v>4188.3717496046147</v>
      </c>
      <c r="T147">
        <f t="shared" si="85"/>
        <v>32.291096327264022</v>
      </c>
      <c r="V147" s="2">
        <f t="shared" si="91"/>
        <v>41883.717496046149</v>
      </c>
      <c r="Y147">
        <f t="shared" si="86"/>
        <v>18192.450758859573</v>
      </c>
      <c r="Z147">
        <f t="shared" si="87"/>
        <v>48283.717496046149</v>
      </c>
    </row>
    <row r="148" spans="1:26" x14ac:dyDescent="0.2">
      <c r="A148" s="2">
        <v>135</v>
      </c>
      <c r="B148" s="2">
        <f t="shared" si="88"/>
        <v>20.501999271837427</v>
      </c>
      <c r="C148" s="2">
        <f t="shared" si="72"/>
        <v>-6.6009843457464487E-3</v>
      </c>
      <c r="D148" s="2">
        <f t="shared" si="73"/>
        <v>1214.9394441459895</v>
      </c>
      <c r="E148" s="2">
        <f t="shared" si="74"/>
        <v>0.55689445794789982</v>
      </c>
      <c r="F148" s="8">
        <f t="shared" si="75"/>
        <v>1024.5317208450774</v>
      </c>
      <c r="G148" s="2">
        <f t="shared" si="76"/>
        <v>35078.698590061475</v>
      </c>
      <c r="H148" s="2">
        <f t="shared" si="77"/>
        <v>642.15922501999091</v>
      </c>
      <c r="I148" s="2">
        <f t="shared" si="78"/>
        <v>42525.876721066139</v>
      </c>
      <c r="J148" s="2">
        <f t="shared" si="89"/>
        <v>3.3181197250746718E-3</v>
      </c>
      <c r="K148" s="2">
        <f t="shared" si="90"/>
        <v>4039.0617875768503</v>
      </c>
      <c r="L148" s="2">
        <f t="shared" si="79"/>
        <v>9.6771729782920719</v>
      </c>
      <c r="M148" s="2">
        <f t="shared" si="80"/>
        <v>21518.142052330364</v>
      </c>
      <c r="N148">
        <f t="shared" si="81"/>
        <v>2.4489015197959718</v>
      </c>
      <c r="O148" s="2">
        <f t="shared" si="82"/>
        <v>555267</v>
      </c>
      <c r="P148" s="2">
        <v>1</v>
      </c>
      <c r="R148">
        <f t="shared" si="83"/>
        <v>350.78698590061475</v>
      </c>
      <c r="S148">
        <f t="shared" si="84"/>
        <v>4252.5876721066143</v>
      </c>
      <c r="T148">
        <f t="shared" si="85"/>
        <v>31.907702074640362</v>
      </c>
      <c r="V148" s="2">
        <f t="shared" si="91"/>
        <v>42525.876721066139</v>
      </c>
      <c r="Y148">
        <f t="shared" si="86"/>
        <v>18540.932233159881</v>
      </c>
      <c r="Z148">
        <f t="shared" si="87"/>
        <v>48925.876721066139</v>
      </c>
    </row>
    <row r="149" spans="1:26" x14ac:dyDescent="0.2">
      <c r="A149" s="2">
        <v>136</v>
      </c>
      <c r="B149" s="2">
        <f t="shared" si="88"/>
        <v>20.754590844490117</v>
      </c>
      <c r="C149" s="2">
        <f t="shared" si="72"/>
        <v>-6.5112545564716632E-3</v>
      </c>
      <c r="D149" s="2">
        <f t="shared" si="73"/>
        <v>1235.4414434178268</v>
      </c>
      <c r="E149" s="2">
        <f t="shared" si="74"/>
        <v>0.55029347360215342</v>
      </c>
      <c r="F149" s="8">
        <f t="shared" si="75"/>
        <v>1045.9744914385321</v>
      </c>
      <c r="G149" s="2">
        <f t="shared" si="76"/>
        <v>36124.673081500005</v>
      </c>
      <c r="H149" s="2">
        <f t="shared" si="77"/>
        <v>646.05853610119618</v>
      </c>
      <c r="I149" s="2">
        <f t="shared" si="78"/>
        <v>43171.935257167337</v>
      </c>
      <c r="J149" s="2">
        <f t="shared" si="89"/>
        <v>3.03312391884862E-3</v>
      </c>
      <c r="K149" s="2">
        <f t="shared" si="90"/>
        <v>3817.8043282180329</v>
      </c>
      <c r="L149" s="2">
        <f t="shared" si="79"/>
        <v>9.6752257618801121</v>
      </c>
      <c r="M149" s="2">
        <f t="shared" si="80"/>
        <v>21362.301697162442</v>
      </c>
      <c r="N149">
        <f t="shared" si="81"/>
        <v>2.3147521165467917</v>
      </c>
      <c r="O149" s="2">
        <f t="shared" si="82"/>
        <v>555267</v>
      </c>
      <c r="P149" s="2">
        <v>1</v>
      </c>
      <c r="R149">
        <f t="shared" si="83"/>
        <v>361.24673081500003</v>
      </c>
      <c r="S149">
        <f t="shared" si="84"/>
        <v>4317.1935257167333</v>
      </c>
      <c r="T149">
        <f t="shared" si="85"/>
        <v>31.529493530997172</v>
      </c>
      <c r="V149" s="2">
        <f t="shared" si="91"/>
        <v>43171.935257167337</v>
      </c>
      <c r="Y149">
        <f t="shared" si="86"/>
        <v>18890.942612061172</v>
      </c>
      <c r="Z149">
        <f t="shared" si="87"/>
        <v>49571.935257167337</v>
      </c>
    </row>
    <row r="150" spans="1:26" x14ac:dyDescent="0.2">
      <c r="A150" s="2">
        <v>137</v>
      </c>
      <c r="B150" s="2">
        <f t="shared" si="88"/>
        <v>21.0090879436036</v>
      </c>
      <c r="C150" s="2">
        <f t="shared" si="72"/>
        <v>-6.4223186112283646E-3</v>
      </c>
      <c r="D150" s="2">
        <f t="shared" si="73"/>
        <v>1256.196034262317</v>
      </c>
      <c r="E150" s="2">
        <f t="shared" si="74"/>
        <v>0.5437822190456818</v>
      </c>
      <c r="F150" s="8">
        <f t="shared" si="75"/>
        <v>1067.6640865326153</v>
      </c>
      <c r="G150" s="2">
        <f t="shared" si="76"/>
        <v>37192.337168032624</v>
      </c>
      <c r="H150" s="2">
        <f t="shared" si="77"/>
        <v>649.92611736909657</v>
      </c>
      <c r="I150" s="2">
        <f t="shared" si="78"/>
        <v>43821.861374536435</v>
      </c>
      <c r="J150" s="2">
        <f t="shared" si="89"/>
        <v>2.7711164312173263E-3</v>
      </c>
      <c r="K150" s="2">
        <f t="shared" si="90"/>
        <v>3606.1915380663049</v>
      </c>
      <c r="L150" s="2">
        <f t="shared" si="79"/>
        <v>9.6732674815511501</v>
      </c>
      <c r="M150" s="2">
        <f t="shared" si="80"/>
        <v>21206.461341994516</v>
      </c>
      <c r="N150">
        <f t="shared" si="81"/>
        <v>2.1864503200739707</v>
      </c>
      <c r="O150" s="2">
        <f t="shared" si="82"/>
        <v>555267</v>
      </c>
      <c r="P150" s="2">
        <v>1</v>
      </c>
      <c r="R150">
        <f t="shared" si="83"/>
        <v>371.92337168032623</v>
      </c>
      <c r="S150">
        <f t="shared" si="84"/>
        <v>4382.1861374536438</v>
      </c>
      <c r="T150">
        <f t="shared" si="85"/>
        <v>31.156426125576022</v>
      </c>
      <c r="V150" s="2">
        <f t="shared" si="91"/>
        <v>43821.861374536435</v>
      </c>
      <c r="Y150">
        <f t="shared" si="86"/>
        <v>19242.435600982135</v>
      </c>
      <c r="Z150">
        <f t="shared" si="87"/>
        <v>50221.861374536435</v>
      </c>
    </row>
    <row r="151" spans="1:26" x14ac:dyDescent="0.2">
      <c r="A151" s="2">
        <v>138</v>
      </c>
      <c r="B151" s="2">
        <f t="shared" si="88"/>
        <v>21.265551518619667</v>
      </c>
      <c r="C151" s="2">
        <f t="shared" si="72"/>
        <v>-6.3341904805100224E-3</v>
      </c>
      <c r="D151" s="2">
        <f t="shared" si="73"/>
        <v>1277.2051222059206</v>
      </c>
      <c r="E151" s="2">
        <f t="shared" si="74"/>
        <v>0.53735990043445347</v>
      </c>
      <c r="F151" s="8">
        <f t="shared" si="75"/>
        <v>1089.6016367316054</v>
      </c>
      <c r="G151" s="2">
        <f t="shared" si="76"/>
        <v>38281.938804764228</v>
      </c>
      <c r="H151" s="2">
        <f t="shared" si="77"/>
        <v>653.76268725650743</v>
      </c>
      <c r="I151" s="2">
        <f t="shared" si="78"/>
        <v>44475.624061792943</v>
      </c>
      <c r="J151" s="2">
        <f t="shared" si="89"/>
        <v>2.5303918684062309E-3</v>
      </c>
      <c r="K151" s="2">
        <f t="shared" si="90"/>
        <v>3403.9899320888817</v>
      </c>
      <c r="L151" s="2">
        <f t="shared" si="79"/>
        <v>9.6712982410765793</v>
      </c>
      <c r="M151" s="2">
        <f t="shared" si="80"/>
        <v>21050.620986826594</v>
      </c>
      <c r="N151">
        <f t="shared" si="81"/>
        <v>2.063854567340917</v>
      </c>
      <c r="O151" s="2">
        <f t="shared" si="82"/>
        <v>555267</v>
      </c>
      <c r="P151" s="2">
        <v>1</v>
      </c>
      <c r="R151">
        <f t="shared" si="83"/>
        <v>382.81938804764229</v>
      </c>
      <c r="S151">
        <f t="shared" si="84"/>
        <v>4447.5624061792942</v>
      </c>
      <c r="T151">
        <f t="shared" si="85"/>
        <v>30.788454374464315</v>
      </c>
      <c r="V151" s="2">
        <f t="shared" si="91"/>
        <v>44475.624061792943</v>
      </c>
      <c r="Y151">
        <f t="shared" si="86"/>
        <v>19595.367064583967</v>
      </c>
      <c r="Z151">
        <f t="shared" si="87"/>
        <v>50875.624061792943</v>
      </c>
    </row>
    <row r="152" spans="1:26" x14ac:dyDescent="0.2">
      <c r="A152" s="2">
        <v>139</v>
      </c>
      <c r="B152" s="2">
        <f t="shared" si="88"/>
        <v>21.524045428933583</v>
      </c>
      <c r="C152" s="2">
        <f t="shared" si="72"/>
        <v>-6.2468822761295277E-3</v>
      </c>
      <c r="D152" s="2">
        <f t="shared" si="73"/>
        <v>1298.4706737245403</v>
      </c>
      <c r="E152" s="2">
        <f t="shared" si="74"/>
        <v>0.53102570995394349</v>
      </c>
      <c r="F152" s="8">
        <f t="shared" si="75"/>
        <v>1111.7883481208587</v>
      </c>
      <c r="G152" s="2">
        <f t="shared" si="76"/>
        <v>39393.727152885083</v>
      </c>
      <c r="H152" s="2">
        <f t="shared" si="77"/>
        <v>657.56900594199112</v>
      </c>
      <c r="I152" s="2">
        <f t="shared" si="78"/>
        <v>45133.193067734937</v>
      </c>
      <c r="J152" s="2">
        <f t="shared" si="89"/>
        <v>2.3093566513642393E-3</v>
      </c>
      <c r="K152" s="2">
        <f t="shared" si="90"/>
        <v>3210.9569340297571</v>
      </c>
      <c r="L152" s="2">
        <f t="shared" si="79"/>
        <v>9.6693181418789536</v>
      </c>
      <c r="M152" s="2">
        <f t="shared" si="80"/>
        <v>20894.780631658672</v>
      </c>
      <c r="N152">
        <f t="shared" si="81"/>
        <v>1.9468177832610769</v>
      </c>
      <c r="O152" s="2">
        <f t="shared" si="82"/>
        <v>555267</v>
      </c>
      <c r="P152" s="2">
        <v>1</v>
      </c>
      <c r="R152">
        <f t="shared" si="83"/>
        <v>393.93727152885083</v>
      </c>
      <c r="S152">
        <f t="shared" si="84"/>
        <v>4513.3193067734937</v>
      </c>
      <c r="T152">
        <f t="shared" si="85"/>
        <v>30.425531993299153</v>
      </c>
      <c r="V152" s="2">
        <f t="shared" si="91"/>
        <v>45133.193067734937</v>
      </c>
      <c r="Y152">
        <f t="shared" si="86"/>
        <v>19949.695074721421</v>
      </c>
      <c r="Z152">
        <f t="shared" si="87"/>
        <v>51533.193067734937</v>
      </c>
    </row>
    <row r="153" spans="1:26" x14ac:dyDescent="0.2">
      <c r="A153" s="2">
        <v>140</v>
      </c>
      <c r="B153" s="2">
        <f t="shared" si="88"/>
        <v>21.784636438606114</v>
      </c>
      <c r="C153" s="2">
        <f t="shared" si="72"/>
        <v>-6.1604043560084323E-3</v>
      </c>
      <c r="D153" s="2">
        <f t="shared" si="73"/>
        <v>1319.9947191534739</v>
      </c>
      <c r="E153" s="2">
        <f t="shared" si="74"/>
        <v>0.52477882767781392</v>
      </c>
      <c r="F153" s="8">
        <f t="shared" si="75"/>
        <v>1134.2255047884714</v>
      </c>
      <c r="G153" s="2">
        <f t="shared" si="76"/>
        <v>40527.952657673552</v>
      </c>
      <c r="H153" s="2">
        <f t="shared" si="77"/>
        <v>661.34587504001684</v>
      </c>
      <c r="I153" s="2">
        <f t="shared" si="78"/>
        <v>45794.538942774954</v>
      </c>
      <c r="J153" s="2">
        <f t="shared" si="89"/>
        <v>2.1065231192728259E-3</v>
      </c>
      <c r="K153" s="2">
        <f t="shared" si="90"/>
        <v>3026.8423226540622</v>
      </c>
      <c r="L153" s="2">
        <f t="shared" si="79"/>
        <v>9.6673272829091381</v>
      </c>
      <c r="M153" s="2">
        <f t="shared" si="80"/>
        <v>20738.940276490746</v>
      </c>
      <c r="N153">
        <f t="shared" si="81"/>
        <v>1.835188257562467</v>
      </c>
      <c r="O153" s="2">
        <f t="shared" si="82"/>
        <v>555267</v>
      </c>
      <c r="P153" s="2">
        <v>1</v>
      </c>
      <c r="R153">
        <f t="shared" si="83"/>
        <v>405.27952657673552</v>
      </c>
      <c r="S153">
        <f t="shared" si="84"/>
        <v>4579.4538942774952</v>
      </c>
      <c r="T153">
        <f t="shared" si="85"/>
        <v>30.067612003761848</v>
      </c>
      <c r="V153" s="2">
        <f t="shared" si="91"/>
        <v>45794.538942774954</v>
      </c>
      <c r="Y153">
        <f t="shared" si="86"/>
        <v>20305.379957245979</v>
      </c>
      <c r="Z153">
        <f t="shared" si="87"/>
        <v>52194.538942774954</v>
      </c>
    </row>
    <row r="154" spans="1:26" x14ac:dyDescent="0.2">
      <c r="A154" s="2">
        <v>141</v>
      </c>
      <c r="B154" s="2">
        <f t="shared" si="88"/>
        <v>22.047394215787293</v>
      </c>
      <c r="C154" s="2">
        <f t="shared" si="72"/>
        <v>-6.0747654252958578E-3</v>
      </c>
      <c r="D154" s="2">
        <f t="shared" si="73"/>
        <v>1341.77935559208</v>
      </c>
      <c r="E154" s="2">
        <f t="shared" si="74"/>
        <v>0.51861842332180552</v>
      </c>
      <c r="F154" s="8">
        <f t="shared" si="75"/>
        <v>1156.9144713327178</v>
      </c>
      <c r="G154" s="2">
        <f t="shared" si="76"/>
        <v>41684.86712900627</v>
      </c>
      <c r="H154" s="2">
        <f t="shared" si="77"/>
        <v>665.09413730290748</v>
      </c>
      <c r="I154" s="2">
        <f t="shared" si="78"/>
        <v>46459.63308007786</v>
      </c>
      <c r="J154" s="2">
        <f t="shared" si="89"/>
        <v>1.9205038032710743E-3</v>
      </c>
      <c r="K154" s="2">
        <f t="shared" si="90"/>
        <v>2851.3896128238839</v>
      </c>
      <c r="L154" s="2">
        <f t="shared" si="79"/>
        <v>9.6653257605246825</v>
      </c>
      <c r="M154" s="2">
        <f t="shared" si="80"/>
        <v>20583.099921322824</v>
      </c>
      <c r="N154">
        <f t="shared" si="81"/>
        <v>1.7288104821402162</v>
      </c>
      <c r="O154" s="2">
        <f t="shared" si="82"/>
        <v>555267</v>
      </c>
      <c r="P154" s="2">
        <v>1</v>
      </c>
      <c r="R154">
        <f t="shared" si="83"/>
        <v>416.84867129006273</v>
      </c>
      <c r="S154">
        <f t="shared" si="84"/>
        <v>4645.9633080077856</v>
      </c>
      <c r="T154">
        <f t="shared" si="85"/>
        <v>29.71464683406856</v>
      </c>
      <c r="V154" s="2">
        <f t="shared" si="91"/>
        <v>46459.63308007786</v>
      </c>
      <c r="Y154">
        <f t="shared" si="86"/>
        <v>20662.384337787767</v>
      </c>
      <c r="Z154">
        <f t="shared" si="87"/>
        <v>52859.63308007786</v>
      </c>
    </row>
    <row r="155" spans="1:26" x14ac:dyDescent="0.2">
      <c r="A155" s="2">
        <v>142</v>
      </c>
      <c r="B155" s="2">
        <f t="shared" si="88"/>
        <v>22.312391337248826</v>
      </c>
      <c r="C155" s="2">
        <f t="shared" si="72"/>
        <v>-5.9899726337582001E-3</v>
      </c>
      <c r="D155" s="2">
        <f t="shared" si="73"/>
        <v>1363.8267498078674</v>
      </c>
      <c r="E155" s="2">
        <f t="shared" si="74"/>
        <v>0.51254365789650969</v>
      </c>
      <c r="F155" s="8">
        <f t="shared" si="75"/>
        <v>1179.8566953601235</v>
      </c>
      <c r="G155" s="2">
        <f t="shared" si="76"/>
        <v>42864.723824366396</v>
      </c>
      <c r="H155" s="2">
        <f t="shared" si="77"/>
        <v>668.81467633792909</v>
      </c>
      <c r="I155" s="2">
        <f t="shared" si="78"/>
        <v>47128.447756415786</v>
      </c>
      <c r="J155" s="2">
        <f t="shared" si="89"/>
        <v>1.7500058805077006E-3</v>
      </c>
      <c r="K155" s="2">
        <f t="shared" si="90"/>
        <v>2684.3373682699848</v>
      </c>
      <c r="L155" s="2">
        <f t="shared" si="79"/>
        <v>9.6633136683693017</v>
      </c>
      <c r="M155" s="2">
        <f t="shared" si="80"/>
        <v>20427.259566154902</v>
      </c>
      <c r="N155">
        <f t="shared" si="81"/>
        <v>1.6275259469960286</v>
      </c>
      <c r="O155" s="2">
        <f t="shared" si="82"/>
        <v>555267</v>
      </c>
      <c r="P155" s="2">
        <v>1</v>
      </c>
      <c r="R155">
        <f t="shared" si="83"/>
        <v>428.64723824366394</v>
      </c>
      <c r="S155">
        <f t="shared" si="84"/>
        <v>4712.844775641579</v>
      </c>
      <c r="T155">
        <f t="shared" si="85"/>
        <v>29.366588413667113</v>
      </c>
      <c r="V155" s="2">
        <f t="shared" si="91"/>
        <v>47128.447756415786</v>
      </c>
      <c r="Y155">
        <f t="shared" si="86"/>
        <v>21020.673186639793</v>
      </c>
      <c r="Z155">
        <f t="shared" si="87"/>
        <v>53528.447756415786</v>
      </c>
    </row>
    <row r="156" spans="1:26" x14ac:dyDescent="0.2">
      <c r="A156" s="2">
        <v>143</v>
      </c>
      <c r="B156" s="2">
        <f t="shared" si="88"/>
        <v>22.579703298404198</v>
      </c>
      <c r="C156" s="2">
        <f t="shared" si="72"/>
        <v>-5.9060316694059005E-3</v>
      </c>
      <c r="D156" s="2">
        <f t="shared" si="73"/>
        <v>1386.1391411451161</v>
      </c>
      <c r="E156" s="2">
        <f t="shared" si="74"/>
        <v>0.50655368526275146</v>
      </c>
      <c r="F156" s="8">
        <f t="shared" si="75"/>
        <v>1203.053709979414</v>
      </c>
      <c r="G156" s="2">
        <f t="shared" si="76"/>
        <v>44067.777534345812</v>
      </c>
      <c r="H156" s="2">
        <f t="shared" si="77"/>
        <v>672.5084163428337</v>
      </c>
      <c r="I156" s="2">
        <f t="shared" si="78"/>
        <v>47800.956172758619</v>
      </c>
      <c r="J156" s="2">
        <f t="shared" si="89"/>
        <v>1.5938258165558051E-3</v>
      </c>
      <c r="K156" s="2">
        <f t="shared" si="90"/>
        <v>2525.4204436324812</v>
      </c>
      <c r="L156" s="2">
        <f t="shared" si="79"/>
        <v>9.6612910972534998</v>
      </c>
      <c r="M156" s="2">
        <f t="shared" si="80"/>
        <v>20271.419210986976</v>
      </c>
      <c r="N156">
        <f t="shared" si="81"/>
        <v>1.5311738932930918</v>
      </c>
      <c r="O156" s="2">
        <f t="shared" si="82"/>
        <v>555267</v>
      </c>
      <c r="P156" s="2">
        <v>1</v>
      </c>
      <c r="R156">
        <f t="shared" si="83"/>
        <v>440.67777534345811</v>
      </c>
      <c r="S156">
        <f t="shared" si="84"/>
        <v>4780.0956172758615</v>
      </c>
      <c r="T156">
        <f t="shared" si="85"/>
        <v>29.023388262353905</v>
      </c>
      <c r="V156" s="2">
        <f t="shared" si="91"/>
        <v>47800.956172758619</v>
      </c>
      <c r="Y156">
        <f t="shared" si="86"/>
        <v>21380.213862865443</v>
      </c>
      <c r="Z156">
        <f t="shared" si="87"/>
        <v>54200.956172758619</v>
      </c>
    </row>
    <row r="157" spans="1:26" x14ac:dyDescent="0.2">
      <c r="A157" s="2">
        <v>144</v>
      </c>
      <c r="B157" s="2">
        <f t="shared" si="88"/>
        <v>22.849408529178955</v>
      </c>
      <c r="C157" s="2">
        <f t="shared" si="72"/>
        <v>-5.8229468483459116E-3</v>
      </c>
      <c r="D157" s="2">
        <f t="shared" si="73"/>
        <v>1408.7188444435203</v>
      </c>
      <c r="E157" s="2">
        <f t="shared" si="74"/>
        <v>0.50064765359334551</v>
      </c>
      <c r="F157" s="8">
        <f t="shared" si="75"/>
        <v>1226.5071362969106</v>
      </c>
      <c r="G157" s="2">
        <f t="shared" si="76"/>
        <v>45294.284670642723</v>
      </c>
      <c r="H157" s="2">
        <f t="shared" si="77"/>
        <v>676.17632186310573</v>
      </c>
      <c r="I157" s="2">
        <f t="shared" si="78"/>
        <v>48477.132494621721</v>
      </c>
      <c r="J157" s="2">
        <f t="shared" si="89"/>
        <v>1.4508442023157234E-3</v>
      </c>
      <c r="K157" s="2">
        <f t="shared" si="90"/>
        <v>2374.3711540171744</v>
      </c>
      <c r="L157" s="2">
        <f t="shared" si="79"/>
        <v>9.6592581350362234</v>
      </c>
      <c r="M157" s="2">
        <f t="shared" si="80"/>
        <v>20115.578855819054</v>
      </c>
      <c r="N157">
        <f t="shared" si="81"/>
        <v>1.4395920224633953</v>
      </c>
      <c r="O157" s="2">
        <f t="shared" si="82"/>
        <v>555267</v>
      </c>
      <c r="P157" s="2">
        <v>1</v>
      </c>
      <c r="R157">
        <f t="shared" si="83"/>
        <v>452.94284670642725</v>
      </c>
      <c r="S157">
        <f t="shared" si="84"/>
        <v>4847.7132494621719</v>
      </c>
      <c r="T157">
        <f t="shared" si="85"/>
        <v>28.684997574026344</v>
      </c>
      <c r="V157" s="2">
        <f t="shared" si="91"/>
        <v>48477.132494621721</v>
      </c>
      <c r="Y157">
        <f t="shared" si="86"/>
        <v>21740.976157747125</v>
      </c>
      <c r="Z157">
        <f t="shared" si="87"/>
        <v>54877.132494621721</v>
      </c>
    </row>
    <row r="158" spans="1:26" x14ac:dyDescent="0.2">
      <c r="A158" s="2">
        <v>145</v>
      </c>
      <c r="B158" s="2">
        <f t="shared" si="88"/>
        <v>23.121588416079419</v>
      </c>
      <c r="C158" s="2">
        <f t="shared" si="72"/>
        <v>-5.7407212008684641E-3</v>
      </c>
      <c r="D158" s="2">
        <f t="shared" si="73"/>
        <v>1431.5682529726992</v>
      </c>
      <c r="E158" s="2">
        <f t="shared" si="74"/>
        <v>0.49482470674499962</v>
      </c>
      <c r="F158" s="8">
        <f t="shared" si="75"/>
        <v>1250.2186859192841</v>
      </c>
      <c r="G158" s="2">
        <f t="shared" si="76"/>
        <v>46544.503356562003</v>
      </c>
      <c r="H158" s="2">
        <f t="shared" si="77"/>
        <v>679.81939757410419</v>
      </c>
      <c r="I158" s="2">
        <f t="shared" si="78"/>
        <v>49156.951892195822</v>
      </c>
      <c r="J158" s="2">
        <f t="shared" si="89"/>
        <v>1.3200207897831363E-3</v>
      </c>
      <c r="K158" s="2">
        <f t="shared" si="90"/>
        <v>2230.9203709489852</v>
      </c>
      <c r="L158" s="2">
        <f t="shared" si="79"/>
        <v>9.6572148665074611</v>
      </c>
      <c r="M158" s="2">
        <f t="shared" si="80"/>
        <v>19959.738500651132</v>
      </c>
      <c r="N158">
        <f t="shared" si="81"/>
        <v>1.3526171606892792</v>
      </c>
      <c r="O158" s="2">
        <f t="shared" si="82"/>
        <v>555267</v>
      </c>
      <c r="P158" s="2">
        <v>1</v>
      </c>
      <c r="R158">
        <f t="shared" si="83"/>
        <v>465.44503356562001</v>
      </c>
      <c r="S158">
        <f t="shared" si="84"/>
        <v>4915.6951892195821</v>
      </c>
      <c r="T158">
        <f t="shared" si="85"/>
        <v>28.351367295287119</v>
      </c>
      <c r="V158" s="2">
        <f t="shared" si="91"/>
        <v>49156.951892195822</v>
      </c>
      <c r="Y158">
        <f t="shared" si="86"/>
        <v>22102.932337692237</v>
      </c>
      <c r="Z158">
        <f t="shared" si="87"/>
        <v>55556.951892195822</v>
      </c>
    </row>
    <row r="159" spans="1:26" x14ac:dyDescent="0.2">
      <c r="A159" s="2">
        <v>146</v>
      </c>
      <c r="B159" s="2">
        <f t="shared" si="88"/>
        <v>23.396327330794676</v>
      </c>
      <c r="C159" s="2">
        <f t="shared" si="72"/>
        <v>-5.6593565537943306E-3</v>
      </c>
      <c r="D159" s="2">
        <f t="shared" si="73"/>
        <v>1454.6898413887786</v>
      </c>
      <c r="E159" s="2">
        <f t="shared" si="74"/>
        <v>0.48908398554413118</v>
      </c>
      <c r="F159" s="8">
        <f t="shared" si="75"/>
        <v>1274.1901634698918</v>
      </c>
      <c r="G159" s="2">
        <f t="shared" si="76"/>
        <v>47818.693520031899</v>
      </c>
      <c r="H159" s="2">
        <f t="shared" si="77"/>
        <v>683.43868809122216</v>
      </c>
      <c r="I159" s="2">
        <f t="shared" si="78"/>
        <v>49840.390580287043</v>
      </c>
      <c r="J159" s="2">
        <f t="shared" si="89"/>
        <v>1.2003897294697273E-3</v>
      </c>
      <c r="K159" s="2">
        <f t="shared" si="90"/>
        <v>2094.7985441967903</v>
      </c>
      <c r="L159" s="2">
        <f t="shared" si="79"/>
        <v>9.6551613732717474</v>
      </c>
      <c r="M159" s="2">
        <f t="shared" si="80"/>
        <v>19803.89814548321</v>
      </c>
      <c r="N159">
        <f t="shared" si="81"/>
        <v>1.2700858784404776</v>
      </c>
      <c r="O159" s="2">
        <f t="shared" si="82"/>
        <v>555267</v>
      </c>
      <c r="P159" s="2">
        <v>1</v>
      </c>
      <c r="R159">
        <f t="shared" si="83"/>
        <v>478.186935200319</v>
      </c>
      <c r="S159">
        <f t="shared" si="84"/>
        <v>4984.0390580287039</v>
      </c>
      <c r="T159">
        <f t="shared" si="85"/>
        <v>28.022448199116081</v>
      </c>
      <c r="V159" s="2">
        <f t="shared" si="91"/>
        <v>49840.390580287043</v>
      </c>
      <c r="Y159">
        <f t="shared" si="86"/>
        <v>22466.057186710292</v>
      </c>
      <c r="Z159">
        <f t="shared" si="87"/>
        <v>56240.390580287043</v>
      </c>
    </row>
    <row r="160" spans="1:26" x14ac:dyDescent="0.2">
      <c r="A160" s="2">
        <v>147</v>
      </c>
      <c r="B160" s="2">
        <f t="shared" si="88"/>
        <v>23.673712665656087</v>
      </c>
      <c r="C160" s="2">
        <f t="shared" si="72"/>
        <v>-5.5788536091242085E-3</v>
      </c>
      <c r="D160" s="2">
        <f t="shared" si="73"/>
        <v>1478.0861687195734</v>
      </c>
      <c r="E160" s="2">
        <f t="shared" si="74"/>
        <v>0.48342462899033684</v>
      </c>
      <c r="F160" s="8">
        <f t="shared" si="75"/>
        <v>1298.4234691252373</v>
      </c>
      <c r="G160" s="2">
        <f t="shared" si="76"/>
        <v>49117.116989157134</v>
      </c>
      <c r="H160" s="2">
        <f t="shared" si="77"/>
        <v>687.03527781112734</v>
      </c>
      <c r="I160" s="2">
        <f t="shared" si="78"/>
        <v>50527.42585809817</v>
      </c>
      <c r="J160" s="2">
        <f t="shared" si="89"/>
        <v>1.0910550108270357E-3</v>
      </c>
      <c r="K160" s="2">
        <f t="shared" si="90"/>
        <v>1965.7366494921991</v>
      </c>
      <c r="L160" s="2">
        <f t="shared" si="79"/>
        <v>9.653097733632455</v>
      </c>
      <c r="M160" s="2">
        <f t="shared" si="80"/>
        <v>19648.057790315284</v>
      </c>
      <c r="N160">
        <f t="shared" si="81"/>
        <v>1.19183506508032</v>
      </c>
      <c r="O160" s="2">
        <f t="shared" si="82"/>
        <v>555267</v>
      </c>
      <c r="P160" s="2">
        <v>1</v>
      </c>
      <c r="R160">
        <f t="shared" si="83"/>
        <v>491.17116989157131</v>
      </c>
      <c r="S160">
        <f t="shared" si="84"/>
        <v>5052.7425858098168</v>
      </c>
      <c r="T160">
        <f t="shared" si="85"/>
        <v>27.698190953823964</v>
      </c>
      <c r="V160" s="2">
        <f t="shared" si="91"/>
        <v>50527.42585809817</v>
      </c>
      <c r="Y160">
        <f t="shared" si="86"/>
        <v>22830.328048573629</v>
      </c>
      <c r="Z160">
        <f t="shared" si="87"/>
        <v>56927.42585809817</v>
      </c>
    </row>
    <row r="161" spans="1:26" x14ac:dyDescent="0.2">
      <c r="A161" s="2">
        <v>148</v>
      </c>
      <c r="B161" s="2">
        <f t="shared" si="88"/>
        <v>23.953834876270019</v>
      </c>
      <c r="C161" s="2">
        <f t="shared" ref="C161:C224" si="92">-((L161/D161)-(D161/(6378000+(I161))))*COS(E161)</f>
        <v>-5.4992120190452088E-3</v>
      </c>
      <c r="D161" s="2">
        <f t="shared" ref="D161:D224" si="93">B160+D160</f>
        <v>1501.7598813852294</v>
      </c>
      <c r="E161" s="2">
        <f t="shared" ref="E161:E224" si="94">E160+C160</f>
        <v>0.47784577538121265</v>
      </c>
      <c r="F161" s="8">
        <f t="shared" ref="F161:F224" si="95">((6378000/(6378000+(I161)))*D161*COS(E161))</f>
        <v>1322.9206011783881</v>
      </c>
      <c r="G161" s="2">
        <f t="shared" ref="G161:G224" si="96">F161+G160</f>
        <v>50440.037590335523</v>
      </c>
      <c r="H161" s="2">
        <f t="shared" ref="H161:H224" si="97">D161*SIN(E161)</f>
        <v>690.61029078707259</v>
      </c>
      <c r="I161" s="2">
        <f t="shared" ref="I161:I224" si="98">H161+I160</f>
        <v>51218.036148885243</v>
      </c>
      <c r="J161" s="2">
        <f t="shared" si="89"/>
        <v>9.9118610573524697E-4</v>
      </c>
      <c r="K161" s="2">
        <f t="shared" si="90"/>
        <v>1843.4670626673512</v>
      </c>
      <c r="L161" s="2">
        <f t="shared" ref="L161:L224" si="99">((9.80665)/(1+(I161/6378000))^2)</f>
        <v>9.6510240224767454</v>
      </c>
      <c r="M161" s="2">
        <f t="shared" si="80"/>
        <v>19492.217435147362</v>
      </c>
      <c r="N161">
        <f t="shared" si="81"/>
        <v>1.1177024588594504</v>
      </c>
      <c r="O161" s="2">
        <f t="shared" si="82"/>
        <v>555267</v>
      </c>
      <c r="P161" s="2">
        <v>1</v>
      </c>
      <c r="R161">
        <f t="shared" si="83"/>
        <v>504.40037590335521</v>
      </c>
      <c r="S161">
        <f t="shared" si="84"/>
        <v>5121.803614888524</v>
      </c>
      <c r="T161">
        <f t="shared" si="85"/>
        <v>27.378546187499818</v>
      </c>
      <c r="V161" s="2">
        <f t="shared" si="91"/>
        <v>51218.036148885243</v>
      </c>
      <c r="Y161">
        <f t="shared" si="86"/>
        <v>23195.72486877269</v>
      </c>
      <c r="Z161">
        <f t="shared" si="87"/>
        <v>57618.036148885243</v>
      </c>
    </row>
    <row r="162" spans="1:26" x14ac:dyDescent="0.2">
      <c r="A162" s="2">
        <v>149</v>
      </c>
      <c r="B162" s="2">
        <f t="shared" si="88"/>
        <v>24.236787531633372</v>
      </c>
      <c r="C162" s="2">
        <f t="shared" si="92"/>
        <v>-5.4204304573610149E-3</v>
      </c>
      <c r="D162" s="2">
        <f t="shared" si="93"/>
        <v>1525.7137162614995</v>
      </c>
      <c r="E162" s="2">
        <f t="shared" si="94"/>
        <v>0.47234656336216746</v>
      </c>
      <c r="F162" s="8">
        <f t="shared" si="95"/>
        <v>1347.6836586364748</v>
      </c>
      <c r="G162" s="2">
        <f t="shared" si="96"/>
        <v>51787.721248971997</v>
      </c>
      <c r="H162" s="2">
        <f t="shared" si="97"/>
        <v>694.16489064120458</v>
      </c>
      <c r="I162" s="2">
        <f t="shared" si="98"/>
        <v>51912.201039526444</v>
      </c>
      <c r="J162" s="2">
        <f t="shared" si="89"/>
        <v>9.0001381397077247E-4</v>
      </c>
      <c r="K162" s="2">
        <f t="shared" si="90"/>
        <v>1727.7243611922972</v>
      </c>
      <c r="L162" s="2">
        <f t="shared" si="99"/>
        <v>9.6489403111611463</v>
      </c>
      <c r="M162" s="2">
        <f t="shared" si="80"/>
        <v>19336.37707997944</v>
      </c>
      <c r="N162">
        <f t="shared" si="81"/>
        <v>1.0475271328915861</v>
      </c>
      <c r="O162" s="2">
        <f t="shared" si="82"/>
        <v>555267</v>
      </c>
      <c r="P162" s="2">
        <v>1</v>
      </c>
      <c r="R162">
        <f t="shared" si="83"/>
        <v>517.87721248972002</v>
      </c>
      <c r="S162">
        <f t="shared" si="84"/>
        <v>5191.2201039526444</v>
      </c>
      <c r="T162">
        <f t="shared" si="85"/>
        <v>27.063464548160916</v>
      </c>
      <c r="V162" s="2">
        <f t="shared" si="91"/>
        <v>51912.201039526444</v>
      </c>
      <c r="Y162">
        <f t="shared" si="86"/>
        <v>23562.230236375701</v>
      </c>
      <c r="Z162">
        <f t="shared" si="87"/>
        <v>58312.201039526444</v>
      </c>
    </row>
    <row r="163" spans="1:26" x14ac:dyDescent="0.2">
      <c r="A163" s="2">
        <v>150</v>
      </c>
      <c r="B163" s="2">
        <f t="shared" si="88"/>
        <v>24.52266737203766</v>
      </c>
      <c r="C163" s="2">
        <f t="shared" si="92"/>
        <v>-5.3425066874219817E-3</v>
      </c>
      <c r="D163" s="2">
        <f t="shared" si="93"/>
        <v>1549.9505037931328</v>
      </c>
      <c r="E163" s="2">
        <f t="shared" si="94"/>
        <v>0.46692613290480645</v>
      </c>
      <c r="F163" s="8">
        <f t="shared" si="95"/>
        <v>1372.7148438596817</v>
      </c>
      <c r="G163" s="2">
        <f t="shared" si="96"/>
        <v>53160.436092831682</v>
      </c>
      <c r="H163" s="2">
        <f t="shared" si="97"/>
        <v>697.70028051673319</v>
      </c>
      <c r="I163" s="2">
        <f t="shared" si="98"/>
        <v>52609.90132004318</v>
      </c>
      <c r="J163" s="2">
        <f t="shared" si="89"/>
        <v>8.1682630855274367E-4</v>
      </c>
      <c r="K163" s="2">
        <f t="shared" si="90"/>
        <v>1618.2460545009083</v>
      </c>
      <c r="L163" s="2">
        <f t="shared" si="99"/>
        <v>9.646846667397547</v>
      </c>
      <c r="M163" s="2">
        <f t="shared" si="80"/>
        <v>19180.536724811514</v>
      </c>
      <c r="N163">
        <f t="shared" si="81"/>
        <v>0.98114993795343308</v>
      </c>
      <c r="O163" s="2">
        <f t="shared" si="82"/>
        <v>555267</v>
      </c>
      <c r="P163" s="2">
        <v>1</v>
      </c>
      <c r="R163">
        <f t="shared" si="83"/>
        <v>531.60436092831685</v>
      </c>
      <c r="S163">
        <f t="shared" si="84"/>
        <v>5260.9901320043182</v>
      </c>
      <c r="T163">
        <f t="shared" si="85"/>
        <v>26.752896759809964</v>
      </c>
      <c r="V163" s="2">
        <f t="shared" si="91"/>
        <v>52609.90132004318</v>
      </c>
      <c r="Y163">
        <f t="shared" si="86"/>
        <v>23929.829425901997</v>
      </c>
      <c r="Z163">
        <f t="shared" si="87"/>
        <v>59009.90132004318</v>
      </c>
    </row>
    <row r="164" spans="1:26" x14ac:dyDescent="0.2">
      <c r="A164" s="2">
        <v>151</v>
      </c>
      <c r="B164" s="2">
        <f t="shared" si="88"/>
        <v>24.8115743750669</v>
      </c>
      <c r="C164" s="2">
        <f t="shared" si="92"/>
        <v>-5.2654376266396859E-3</v>
      </c>
      <c r="D164" s="2">
        <f t="shared" si="93"/>
        <v>1574.4731711651705</v>
      </c>
      <c r="E164" s="2">
        <f t="shared" si="94"/>
        <v>0.46158362621738447</v>
      </c>
      <c r="F164" s="8">
        <f t="shared" si="95"/>
        <v>1398.0164652494232</v>
      </c>
      <c r="G164" s="2">
        <f t="shared" si="96"/>
        <v>54558.452558081102</v>
      </c>
      <c r="H164" s="2">
        <f t="shared" si="97"/>
        <v>701.21770307276756</v>
      </c>
      <c r="I164" s="2">
        <f t="shared" si="98"/>
        <v>53311.119023115949</v>
      </c>
      <c r="J164" s="2">
        <f t="shared" si="89"/>
        <v>7.4096537798156521E-4</v>
      </c>
      <c r="K164" s="2">
        <f t="shared" si="90"/>
        <v>1514.7732448558349</v>
      </c>
      <c r="L164" s="2">
        <f t="shared" si="99"/>
        <v>9.6447431551395582</v>
      </c>
      <c r="M164" s="2">
        <f t="shared" si="80"/>
        <v>19024.696369643592</v>
      </c>
      <c r="N164">
        <f t="shared" si="81"/>
        <v>0.91841390317011828</v>
      </c>
      <c r="O164" s="2">
        <f t="shared" si="82"/>
        <v>555267</v>
      </c>
      <c r="P164" s="2">
        <v>1</v>
      </c>
      <c r="R164">
        <f t="shared" si="83"/>
        <v>545.58452558081103</v>
      </c>
      <c r="S164">
        <f t="shared" si="84"/>
        <v>5331.1119023115953</v>
      </c>
      <c r="T164">
        <f t="shared" si="85"/>
        <v>26.446793674600269</v>
      </c>
      <c r="V164" s="2">
        <f t="shared" si="91"/>
        <v>53311.119023115949</v>
      </c>
      <c r="Y164">
        <f t="shared" si="86"/>
        <v>24298.510439317484</v>
      </c>
      <c r="Z164">
        <f t="shared" si="87"/>
        <v>59711.119023115949</v>
      </c>
    </row>
    <row r="165" spans="1:26" x14ac:dyDescent="0.2">
      <c r="A165" s="2">
        <v>152</v>
      </c>
      <c r="B165" s="2">
        <f t="shared" si="88"/>
        <v>25.103611829996307</v>
      </c>
      <c r="C165" s="2">
        <f t="shared" si="92"/>
        <v>-5.1892194076771526E-3</v>
      </c>
      <c r="D165" s="2">
        <f t="shared" si="93"/>
        <v>1599.2847455402373</v>
      </c>
      <c r="E165" s="2">
        <f t="shared" si="94"/>
        <v>0.4563181885907448</v>
      </c>
      <c r="F165" s="8">
        <f t="shared" si="95"/>
        <v>1423.5909399936718</v>
      </c>
      <c r="G165" s="2">
        <f t="shared" si="96"/>
        <v>55982.043498074774</v>
      </c>
      <c r="H165" s="2">
        <f t="shared" si="97"/>
        <v>704.71844052456936</v>
      </c>
      <c r="I165" s="2">
        <f t="shared" si="98"/>
        <v>54015.837463640521</v>
      </c>
      <c r="J165" s="2">
        <f t="shared" si="89"/>
        <v>6.7182286161474643E-4</v>
      </c>
      <c r="K165" s="2">
        <f t="shared" si="90"/>
        <v>1417.0512208185071</v>
      </c>
      <c r="L165" s="2">
        <f t="shared" si="99"/>
        <v>9.6426298344690622</v>
      </c>
      <c r="M165" s="2">
        <f t="shared" si="80"/>
        <v>18868.85601447567</v>
      </c>
      <c r="N165">
        <f t="shared" si="81"/>
        <v>0.85916459583874416</v>
      </c>
      <c r="O165" s="2">
        <f t="shared" si="82"/>
        <v>555267</v>
      </c>
      <c r="P165" s="2">
        <v>1</v>
      </c>
      <c r="R165">
        <f t="shared" si="83"/>
        <v>559.82043498074779</v>
      </c>
      <c r="S165">
        <f t="shared" si="84"/>
        <v>5401.5837463640519</v>
      </c>
      <c r="T165">
        <f t="shared" si="85"/>
        <v>26.145106321304432</v>
      </c>
      <c r="V165" s="2">
        <f t="shared" si="91"/>
        <v>54015.837463640521</v>
      </c>
      <c r="Y165">
        <f t="shared" si="86"/>
        <v>24668.264048260618</v>
      </c>
      <c r="Z165">
        <f t="shared" si="87"/>
        <v>60415.837463640521</v>
      </c>
    </row>
    <row r="166" spans="1:26" x14ac:dyDescent="0.2">
      <c r="A166" s="2">
        <v>153</v>
      </c>
      <c r="B166" s="2">
        <f t="shared" si="88"/>
        <v>25.398886420903882</v>
      </c>
      <c r="C166" s="2">
        <f t="shared" si="92"/>
        <v>-5.1138474364113892E-3</v>
      </c>
      <c r="D166" s="2">
        <f t="shared" si="93"/>
        <v>1624.3883573702335</v>
      </c>
      <c r="E166" s="2">
        <f t="shared" si="94"/>
        <v>0.45112896918306766</v>
      </c>
      <c r="F166" s="8">
        <f t="shared" si="95"/>
        <v>1449.4407968776857</v>
      </c>
      <c r="G166" s="2">
        <f t="shared" si="96"/>
        <v>57431.484294952461</v>
      </c>
      <c r="H166" s="2">
        <f t="shared" si="97"/>
        <v>708.20381473192469</v>
      </c>
      <c r="I166" s="2">
        <f t="shared" si="98"/>
        <v>54724.041278372446</v>
      </c>
      <c r="J166" s="2">
        <f t="shared" si="89"/>
        <v>6.0883727376857431E-4</v>
      </c>
      <c r="K166" s="2">
        <f t="shared" si="90"/>
        <v>1324.8299856609551</v>
      </c>
      <c r="L166" s="2">
        <f t="shared" si="99"/>
        <v>9.6405067614828113</v>
      </c>
      <c r="M166" s="2">
        <f t="shared" si="80"/>
        <v>18713.015659307744</v>
      </c>
      <c r="N166">
        <f t="shared" si="81"/>
        <v>0.80325044180687943</v>
      </c>
      <c r="O166" s="2">
        <f t="shared" si="82"/>
        <v>555267</v>
      </c>
      <c r="P166" s="2">
        <v>1</v>
      </c>
      <c r="R166">
        <f t="shared" si="83"/>
        <v>574.31484294952463</v>
      </c>
      <c r="S166">
        <f t="shared" si="84"/>
        <v>5472.4041278372442</v>
      </c>
      <c r="T166">
        <f t="shared" si="85"/>
        <v>25.847785950277157</v>
      </c>
      <c r="V166" s="2">
        <f t="shared" si="91"/>
        <v>54724.041278372446</v>
      </c>
      <c r="Y166">
        <f t="shared" si="86"/>
        <v>25039.08383660722</v>
      </c>
      <c r="Z166">
        <f t="shared" si="87"/>
        <v>61124.041278372446</v>
      </c>
    </row>
    <row r="167" spans="1:26" x14ac:dyDescent="0.2">
      <c r="A167" s="2">
        <v>154</v>
      </c>
      <c r="B167" s="2">
        <f t="shared" si="88"/>
        <v>25.697508318814883</v>
      </c>
      <c r="C167" s="2">
        <f t="shared" si="92"/>
        <v>-5.0393164467691168E-3</v>
      </c>
      <c r="D167" s="2">
        <f t="shared" si="93"/>
        <v>1649.7872437911374</v>
      </c>
      <c r="E167" s="2">
        <f t="shared" si="94"/>
        <v>0.44601512174665625</v>
      </c>
      <c r="F167" s="8">
        <f t="shared" si="95"/>
        <v>1475.568679168673</v>
      </c>
      <c r="G167" s="2">
        <f t="shared" si="96"/>
        <v>58907.052974121136</v>
      </c>
      <c r="H167" s="2">
        <f t="shared" si="97"/>
        <v>711.67518733830173</v>
      </c>
      <c r="I167" s="2">
        <f t="shared" si="98"/>
        <v>55435.71646571075</v>
      </c>
      <c r="J167" s="2">
        <f t="shared" si="89"/>
        <v>5.5149061158087044E-4</v>
      </c>
      <c r="K167" s="2">
        <f t="shared" si="90"/>
        <v>1237.864723283795</v>
      </c>
      <c r="L167" s="2">
        <f t="shared" si="99"/>
        <v>9.638373988178957</v>
      </c>
      <c r="M167" s="2">
        <f t="shared" si="80"/>
        <v>18557.175304139822</v>
      </c>
      <c r="N167">
        <f t="shared" si="81"/>
        <v>0.750523007960751</v>
      </c>
      <c r="O167" s="2">
        <f t="shared" si="82"/>
        <v>555267</v>
      </c>
      <c r="P167" s="2">
        <v>1</v>
      </c>
      <c r="R167">
        <f t="shared" si="83"/>
        <v>589.07052974121132</v>
      </c>
      <c r="S167">
        <f t="shared" si="84"/>
        <v>5543.5716465710748</v>
      </c>
      <c r="T167">
        <f t="shared" si="85"/>
        <v>25.554784075096986</v>
      </c>
      <c r="V167" s="2">
        <f t="shared" si="91"/>
        <v>55435.71646571075</v>
      </c>
      <c r="Y167">
        <f t="shared" si="86"/>
        <v>25410.96624348269</v>
      </c>
      <c r="Z167">
        <f t="shared" si="87"/>
        <v>61835.71646571075</v>
      </c>
    </row>
    <row r="168" spans="1:26" x14ac:dyDescent="0.2">
      <c r="A168" s="2">
        <v>155</v>
      </c>
      <c r="B168" s="2">
        <f t="shared" si="88"/>
        <v>25.999591283210677</v>
      </c>
      <c r="C168" s="2">
        <f t="shared" si="92"/>
        <v>-4.9656205525396785E-3</v>
      </c>
      <c r="D168" s="2">
        <f t="shared" si="93"/>
        <v>1675.4847521099523</v>
      </c>
      <c r="E168" s="2">
        <f t="shared" si="94"/>
        <v>0.44097580529988711</v>
      </c>
      <c r="F168" s="8">
        <f t="shared" si="95"/>
        <v>1501.9773475832103</v>
      </c>
      <c r="G168" s="2">
        <f t="shared" si="96"/>
        <v>60409.030321704347</v>
      </c>
      <c r="H168" s="2">
        <f t="shared" si="97"/>
        <v>715.13395996342388</v>
      </c>
      <c r="I168" s="2">
        <f t="shared" si="98"/>
        <v>56150.850425674173</v>
      </c>
      <c r="J168" s="2">
        <f t="shared" si="89"/>
        <v>4.9930534121229249E-4</v>
      </c>
      <c r="K168" s="2">
        <f t="shared" si="90"/>
        <v>1155.9162043912231</v>
      </c>
      <c r="L168" s="2">
        <f t="shared" si="99"/>
        <v>9.6362315623433368</v>
      </c>
      <c r="M168" s="2">
        <f t="shared" si="80"/>
        <v>18401.3349489719</v>
      </c>
      <c r="N168">
        <f t="shared" si="81"/>
        <v>0.70083724849098972</v>
      </c>
      <c r="O168" s="2">
        <f t="shared" si="82"/>
        <v>555267</v>
      </c>
      <c r="P168" s="2">
        <v>1</v>
      </c>
      <c r="R168">
        <f t="shared" si="83"/>
        <v>604.09030321704347</v>
      </c>
      <c r="S168">
        <f t="shared" si="84"/>
        <v>5615.0850425674171</v>
      </c>
      <c r="T168">
        <f t="shared" si="85"/>
        <v>25.266052511066249</v>
      </c>
      <c r="V168" s="2">
        <f t="shared" si="91"/>
        <v>56150.850425674173</v>
      </c>
      <c r="Y168">
        <f t="shared" si="86"/>
        <v>25783.910606830745</v>
      </c>
      <c r="Z168">
        <f t="shared" si="87"/>
        <v>62550.850425674173</v>
      </c>
    </row>
    <row r="169" spans="1:26" x14ac:dyDescent="0.2">
      <c r="A169" s="2">
        <v>156</v>
      </c>
      <c r="B169" s="2">
        <f t="shared" si="88"/>
        <v>26.305252773247737</v>
      </c>
      <c r="C169" s="2">
        <f t="shared" si="92"/>
        <v>-4.8927532962712832E-3</v>
      </c>
      <c r="D169" s="2">
        <f t="shared" si="93"/>
        <v>1701.484343393163</v>
      </c>
      <c r="E169" s="2">
        <f t="shared" si="94"/>
        <v>0.43601018474734743</v>
      </c>
      <c r="F169" s="8">
        <f t="shared" si="95"/>
        <v>1528.6696833465369</v>
      </c>
      <c r="G169" s="2">
        <f t="shared" si="96"/>
        <v>61937.700005050887</v>
      </c>
      <c r="H169" s="2">
        <f t="shared" si="97"/>
        <v>718.5815744518726</v>
      </c>
      <c r="I169" s="2">
        <f t="shared" si="98"/>
        <v>56869.432000126042</v>
      </c>
      <c r="J169" s="2">
        <f t="shared" si="89"/>
        <v>4.5184155659359161E-4</v>
      </c>
      <c r="K169" s="2">
        <f t="shared" si="90"/>
        <v>1078.7511358213519</v>
      </c>
      <c r="L169" s="2">
        <f t="shared" si="99"/>
        <v>9.6340795274353184</v>
      </c>
      <c r="M169" s="2">
        <f t="shared" si="80"/>
        <v>18245.494593803975</v>
      </c>
      <c r="N169">
        <f t="shared" si="81"/>
        <v>0.65405171669319895</v>
      </c>
      <c r="O169" s="2">
        <f t="shared" si="82"/>
        <v>555267</v>
      </c>
      <c r="P169" s="2">
        <v>1</v>
      </c>
      <c r="R169">
        <f t="shared" si="83"/>
        <v>619.37700005050885</v>
      </c>
      <c r="S169">
        <f t="shared" si="84"/>
        <v>5686.9432000126044</v>
      </c>
      <c r="T169">
        <f t="shared" si="85"/>
        <v>24.981543410742308</v>
      </c>
      <c r="V169" s="2">
        <f t="shared" si="91"/>
        <v>56869.432000126042</v>
      </c>
      <c r="Y169">
        <f t="shared" si="86"/>
        <v>26157.919207648501</v>
      </c>
      <c r="Z169">
        <f t="shared" si="87"/>
        <v>63269.432000126042</v>
      </c>
    </row>
    <row r="170" spans="1:26" x14ac:dyDescent="0.2">
      <c r="A170" s="2">
        <v>157</v>
      </c>
      <c r="B170" s="2">
        <f t="shared" si="88"/>
        <v>26.614614069050646</v>
      </c>
      <c r="C170" s="2">
        <f t="shared" si="92"/>
        <v>-4.8207076953580867E-3</v>
      </c>
      <c r="D170" s="2">
        <f t="shared" si="93"/>
        <v>1727.7895961664108</v>
      </c>
      <c r="E170" s="2">
        <f t="shared" si="94"/>
        <v>0.43111743145107617</v>
      </c>
      <c r="F170" s="8">
        <f t="shared" si="95"/>
        <v>1555.648691353156</v>
      </c>
      <c r="G170" s="2">
        <f t="shared" si="96"/>
        <v>63493.348696404042</v>
      </c>
      <c r="H170" s="2">
        <f t="shared" si="97"/>
        <v>722.01951318031956</v>
      </c>
      <c r="I170" s="2">
        <f t="shared" si="98"/>
        <v>57591.451513306361</v>
      </c>
      <c r="J170" s="2">
        <f t="shared" si="89"/>
        <v>4.0869430463637345E-4</v>
      </c>
      <c r="K170" s="2">
        <f t="shared" si="90"/>
        <v>1006.1424560412274</v>
      </c>
      <c r="L170" s="2">
        <f t="shared" si="99"/>
        <v>9.6319179224730966</v>
      </c>
      <c r="M170" s="2">
        <f t="shared" si="80"/>
        <v>18089.654238636052</v>
      </c>
      <c r="N170">
        <f t="shared" si="81"/>
        <v>0.61002874412792896</v>
      </c>
      <c r="O170" s="2">
        <f t="shared" si="82"/>
        <v>555267</v>
      </c>
      <c r="P170" s="2">
        <v>1</v>
      </c>
      <c r="R170">
        <f t="shared" si="83"/>
        <v>634.93348696404041</v>
      </c>
      <c r="S170">
        <f t="shared" si="84"/>
        <v>5759.1451513306365</v>
      </c>
      <c r="T170">
        <f t="shared" si="85"/>
        <v>24.701209296667244</v>
      </c>
      <c r="V170" s="2">
        <f t="shared" si="91"/>
        <v>57591.451513306361</v>
      </c>
      <c r="Y170">
        <f t="shared" si="86"/>
        <v>26532.997314998625</v>
      </c>
      <c r="Z170">
        <f t="shared" si="87"/>
        <v>63991.451513306361</v>
      </c>
    </row>
    <row r="171" spans="1:26" x14ac:dyDescent="0.2">
      <c r="A171" s="2">
        <v>158</v>
      </c>
      <c r="B171" s="2">
        <f t="shared" si="88"/>
        <v>26.92780040346458</v>
      </c>
      <c r="C171" s="2">
        <f t="shared" si="92"/>
        <v>-4.7494762854261149E-3</v>
      </c>
      <c r="D171" s="2">
        <f t="shared" si="93"/>
        <v>1754.4042102354615</v>
      </c>
      <c r="E171" s="2">
        <f t="shared" si="94"/>
        <v>0.42629672375571809</v>
      </c>
      <c r="F171" s="8">
        <f t="shared" si="95"/>
        <v>1582.917503438503</v>
      </c>
      <c r="G171" s="2">
        <f t="shared" si="96"/>
        <v>65076.266199842546</v>
      </c>
      <c r="H171" s="2">
        <f t="shared" si="97"/>
        <v>725.44929942599526</v>
      </c>
      <c r="I171" s="2">
        <f t="shared" si="98"/>
        <v>58316.900812732354</v>
      </c>
      <c r="J171" s="2">
        <f t="shared" si="89"/>
        <v>3.6949107060785745E-4</v>
      </c>
      <c r="K171" s="2">
        <f t="shared" si="90"/>
        <v>937.86957989293239</v>
      </c>
      <c r="L171" s="2">
        <f t="shared" si="99"/>
        <v>9.6297467819182199</v>
      </c>
      <c r="M171" s="2">
        <f t="shared" si="80"/>
        <v>17933.81388346813</v>
      </c>
      <c r="N171">
        <f t="shared" si="81"/>
        <v>0.56863458901135022</v>
      </c>
      <c r="O171" s="2">
        <f t="shared" si="82"/>
        <v>555267</v>
      </c>
      <c r="P171" s="2">
        <v>1</v>
      </c>
      <c r="R171">
        <f t="shared" si="83"/>
        <v>650.76266199842541</v>
      </c>
      <c r="S171">
        <f t="shared" si="84"/>
        <v>5831.6900812732356</v>
      </c>
      <c r="T171">
        <f t="shared" si="85"/>
        <v>24.42500309145699</v>
      </c>
      <c r="V171" s="2">
        <f t="shared" si="91"/>
        <v>58316.900812732354</v>
      </c>
      <c r="Y171">
        <f t="shared" si="86"/>
        <v>26909.153231910725</v>
      </c>
      <c r="Z171">
        <f t="shared" si="87"/>
        <v>64716.900812732354</v>
      </c>
    </row>
    <row r="172" spans="1:26" x14ac:dyDescent="0.2">
      <c r="A172" s="2">
        <v>159</v>
      </c>
      <c r="B172" s="2">
        <f t="shared" si="88"/>
        <v>27.244941104677711</v>
      </c>
      <c r="C172" s="2">
        <f t="shared" si="92"/>
        <v>-4.6790511611259191E-3</v>
      </c>
      <c r="D172" s="2">
        <f t="shared" si="93"/>
        <v>1781.332010638926</v>
      </c>
      <c r="E172" s="2">
        <f t="shared" si="94"/>
        <v>0.42154724747029199</v>
      </c>
      <c r="F172" s="8">
        <f t="shared" si="95"/>
        <v>1610.4793817717782</v>
      </c>
      <c r="G172" s="2">
        <f t="shared" si="96"/>
        <v>66686.745581614319</v>
      </c>
      <c r="H172" s="2">
        <f t="shared" si="97"/>
        <v>728.87249779900878</v>
      </c>
      <c r="I172" s="2">
        <f t="shared" si="98"/>
        <v>59045.77331053136</v>
      </c>
      <c r="J172" s="2">
        <f t="shared" si="89"/>
        <v>3.3388941721883048E-4</v>
      </c>
      <c r="K172" s="2">
        <f t="shared" si="90"/>
        <v>873.71859572301207</v>
      </c>
      <c r="L172" s="2">
        <f t="shared" si="99"/>
        <v>9.627566135559162</v>
      </c>
      <c r="M172" s="2">
        <f t="shared" si="80"/>
        <v>17777.973528300208</v>
      </c>
      <c r="N172">
        <f t="shared" si="81"/>
        <v>0.52973955573572085</v>
      </c>
      <c r="O172" s="2">
        <f t="shared" si="82"/>
        <v>555267</v>
      </c>
      <c r="P172" s="2">
        <v>1</v>
      </c>
      <c r="R172">
        <f t="shared" si="83"/>
        <v>666.86745581614321</v>
      </c>
      <c r="S172">
        <f t="shared" si="84"/>
        <v>5904.5773310531358</v>
      </c>
      <c r="T172">
        <f t="shared" si="85"/>
        <v>24.1528781454046</v>
      </c>
      <c r="V172" s="2">
        <f t="shared" si="91"/>
        <v>59045.77331053136</v>
      </c>
      <c r="Y172">
        <f t="shared" si="86"/>
        <v>27286.398342285585</v>
      </c>
      <c r="Z172">
        <f t="shared" si="87"/>
        <v>65445.77331053136</v>
      </c>
    </row>
    <row r="173" spans="1:26" x14ac:dyDescent="0.2">
      <c r="A173" s="2">
        <v>160</v>
      </c>
      <c r="B173" s="2">
        <f t="shared" si="88"/>
        <v>27.566169750153065</v>
      </c>
      <c r="C173" s="2">
        <f t="shared" si="92"/>
        <v>-4.6094240144391105E-3</v>
      </c>
      <c r="D173" s="2">
        <f t="shared" si="93"/>
        <v>1808.5769517436038</v>
      </c>
      <c r="E173" s="2">
        <f t="shared" si="94"/>
        <v>0.41686819630916605</v>
      </c>
      <c r="F173" s="8">
        <f t="shared" si="95"/>
        <v>1638.3377223804232</v>
      </c>
      <c r="G173" s="2">
        <f t="shared" si="96"/>
        <v>68325.083303994747</v>
      </c>
      <c r="H173" s="2">
        <f t="shared" si="97"/>
        <v>732.2907147411704</v>
      </c>
      <c r="I173" s="2">
        <f t="shared" si="98"/>
        <v>59778.064025272528</v>
      </c>
      <c r="J173" s="2">
        <f t="shared" si="89"/>
        <v>3.0157477088160148E-4</v>
      </c>
      <c r="K173" s="2">
        <f t="shared" si="90"/>
        <v>813.48241804467193</v>
      </c>
      <c r="L173" s="2">
        <f t="shared" si="99"/>
        <v>9.6253760083937792</v>
      </c>
      <c r="M173" s="2">
        <f t="shared" si="80"/>
        <v>17622.133173132283</v>
      </c>
      <c r="N173">
        <f t="shared" si="81"/>
        <v>0.49321808742917023</v>
      </c>
      <c r="O173" s="2">
        <f t="shared" si="82"/>
        <v>555267</v>
      </c>
      <c r="P173" s="2">
        <v>1</v>
      </c>
      <c r="R173">
        <f t="shared" si="83"/>
        <v>683.25083303994745</v>
      </c>
      <c r="S173">
        <f t="shared" si="84"/>
        <v>5977.8064025272524</v>
      </c>
      <c r="T173">
        <f t="shared" si="85"/>
        <v>23.884788261746298</v>
      </c>
      <c r="V173" s="2">
        <f t="shared" si="91"/>
        <v>59778.064025272528</v>
      </c>
      <c r="Y173">
        <f t="shared" si="86"/>
        <v>27664.747158917384</v>
      </c>
      <c r="Z173">
        <f t="shared" si="87"/>
        <v>66178.064025272528</v>
      </c>
    </row>
    <row r="174" spans="1:26" x14ac:dyDescent="0.2">
      <c r="A174" s="2">
        <v>161</v>
      </c>
      <c r="B174" s="2">
        <f t="shared" si="88"/>
        <v>27.891624332342317</v>
      </c>
      <c r="C174" s="2">
        <f t="shared" si="92"/>
        <v>-4.5405861706046954E-3</v>
      </c>
      <c r="D174" s="2">
        <f t="shared" si="93"/>
        <v>1836.1431214937568</v>
      </c>
      <c r="E174" s="2">
        <f t="shared" si="94"/>
        <v>0.41225877229472696</v>
      </c>
      <c r="F174" s="8">
        <f t="shared" si="95"/>
        <v>1666.496058817097</v>
      </c>
      <c r="G174" s="2">
        <f t="shared" si="96"/>
        <v>69991.579362811841</v>
      </c>
      <c r="H174" s="2">
        <f t="shared" si="97"/>
        <v>735.70559909400527</v>
      </c>
      <c r="I174" s="2">
        <f t="shared" si="98"/>
        <v>60513.769624366534</v>
      </c>
      <c r="J174" s="2">
        <f t="shared" si="89"/>
        <v>2.7225834855494515E-4</v>
      </c>
      <c r="K174" s="2">
        <f t="shared" si="90"/>
        <v>756.96089887375172</v>
      </c>
      <c r="L174" s="2">
        <f t="shared" si="99"/>
        <v>9.6231764205103847</v>
      </c>
      <c r="M174" s="2">
        <f t="shared" si="80"/>
        <v>17466.29281796436</v>
      </c>
      <c r="N174">
        <f t="shared" si="81"/>
        <v>0.45894883345920728</v>
      </c>
      <c r="O174" s="2">
        <f t="shared" si="82"/>
        <v>555267</v>
      </c>
      <c r="P174" s="2">
        <v>1</v>
      </c>
      <c r="R174">
        <f t="shared" si="83"/>
        <v>699.91579362811842</v>
      </c>
      <c r="S174">
        <f t="shared" si="84"/>
        <v>6051.3769624366532</v>
      </c>
      <c r="T174">
        <f t="shared" si="85"/>
        <v>23.62068771973269</v>
      </c>
      <c r="V174" s="2">
        <f t="shared" si="91"/>
        <v>60513.769624366534</v>
      </c>
      <c r="Y174">
        <f t="shared" si="86"/>
        <v>28044.217372751344</v>
      </c>
      <c r="Z174">
        <f t="shared" si="87"/>
        <v>66913.769624366541</v>
      </c>
    </row>
    <row r="175" spans="1:26" x14ac:dyDescent="0.2">
      <c r="A175" s="2">
        <v>162</v>
      </c>
      <c r="B175" s="2">
        <f t="shared" si="88"/>
        <v>28.221447436691069</v>
      </c>
      <c r="C175" s="2">
        <f t="shared" si="92"/>
        <v>-4.4725286217694544E-3</v>
      </c>
      <c r="D175" s="2">
        <f t="shared" si="93"/>
        <v>1864.0347458260992</v>
      </c>
      <c r="E175" s="2">
        <f t="shared" si="94"/>
        <v>0.40771818612412225</v>
      </c>
      <c r="F175" s="8">
        <f t="shared" si="95"/>
        <v>1694.958065980444</v>
      </c>
      <c r="G175" s="2">
        <f t="shared" si="96"/>
        <v>71686.53742879229</v>
      </c>
      <c r="H175" s="2">
        <f t="shared" si="97"/>
        <v>739.11884273871033</v>
      </c>
      <c r="I175" s="2">
        <f t="shared" si="98"/>
        <v>61252.888467105244</v>
      </c>
      <c r="J175" s="2">
        <f t="shared" si="89"/>
        <v>2.4567521859956379E-4</v>
      </c>
      <c r="K175" s="2">
        <f t="shared" si="90"/>
        <v>703.96090084784294</v>
      </c>
      <c r="L175" s="2">
        <f t="shared" si="99"/>
        <v>9.6209673869673349</v>
      </c>
      <c r="M175" s="2">
        <f t="shared" si="80"/>
        <v>17310.452462796438</v>
      </c>
      <c r="N175">
        <f t="shared" si="81"/>
        <v>0.42681469376517273</v>
      </c>
      <c r="O175" s="2">
        <f t="shared" si="82"/>
        <v>555267</v>
      </c>
      <c r="P175" s="2">
        <v>1</v>
      </c>
      <c r="R175">
        <f t="shared" si="83"/>
        <v>716.86537428792292</v>
      </c>
      <c r="S175">
        <f t="shared" si="84"/>
        <v>6125.288846710524</v>
      </c>
      <c r="T175">
        <f t="shared" si="85"/>
        <v>23.360531295641572</v>
      </c>
      <c r="V175" s="2">
        <f t="shared" si="91"/>
        <v>61252.888467105244</v>
      </c>
      <c r="Y175">
        <f t="shared" si="86"/>
        <v>28424.829903496509</v>
      </c>
      <c r="Z175">
        <f t="shared" si="87"/>
        <v>67652.888467105251</v>
      </c>
    </row>
    <row r="176" spans="1:26" x14ac:dyDescent="0.2">
      <c r="A176" s="2">
        <v>163</v>
      </c>
      <c r="B176" s="2">
        <f t="shared" si="88"/>
        <v>28.555786432486443</v>
      </c>
      <c r="C176" s="2">
        <f t="shared" si="92"/>
        <v>-4.4052420584645164E-3</v>
      </c>
      <c r="D176" s="2">
        <f t="shared" si="93"/>
        <v>1892.2561932627902</v>
      </c>
      <c r="E176" s="2">
        <f t="shared" si="94"/>
        <v>0.40324565750235281</v>
      </c>
      <c r="F176" s="8">
        <f t="shared" si="95"/>
        <v>1723.7275641013957</v>
      </c>
      <c r="G176" s="2">
        <f t="shared" si="96"/>
        <v>73410.264992893688</v>
      </c>
      <c r="H176" s="2">
        <f t="shared" si="97"/>
        <v>742.53218131087942</v>
      </c>
      <c r="I176" s="2">
        <f t="shared" si="98"/>
        <v>61995.420648416126</v>
      </c>
      <c r="J176" s="2">
        <f t="shared" si="89"/>
        <v>2.2158248911487402E-4</v>
      </c>
      <c r="K176" s="2">
        <f t="shared" si="90"/>
        <v>654.29633518594085</v>
      </c>
      <c r="L176" s="2">
        <f t="shared" si="99"/>
        <v>9.6187489176708212</v>
      </c>
      <c r="M176" s="2">
        <f t="shared" si="80"/>
        <v>17154.612107628513</v>
      </c>
      <c r="N176">
        <f t="shared" si="81"/>
        <v>0.39670284187334898</v>
      </c>
      <c r="O176" s="2">
        <f t="shared" si="82"/>
        <v>555267</v>
      </c>
      <c r="P176" s="2">
        <v>1</v>
      </c>
      <c r="R176">
        <f t="shared" si="83"/>
        <v>734.1026499289369</v>
      </c>
      <c r="S176">
        <f t="shared" si="84"/>
        <v>6199.542064841613</v>
      </c>
      <c r="T176">
        <f t="shared" si="85"/>
        <v>23.104274281862715</v>
      </c>
      <c r="V176" s="2">
        <f t="shared" si="91"/>
        <v>61995.420648416126</v>
      </c>
      <c r="Y176">
        <f t="shared" si="86"/>
        <v>28806.608951715538</v>
      </c>
      <c r="Z176">
        <f t="shared" si="87"/>
        <v>68395.420648416126</v>
      </c>
    </row>
    <row r="177" spans="1:26" x14ac:dyDescent="0.2">
      <c r="A177" s="2">
        <v>164</v>
      </c>
      <c r="B177" s="2">
        <f t="shared" si="88"/>
        <v>28.894793677144001</v>
      </c>
      <c r="C177" s="2">
        <f t="shared" si="92"/>
        <v>-4.3387168990078719E-3</v>
      </c>
      <c r="D177" s="2">
        <f t="shared" si="93"/>
        <v>1920.8119796952767</v>
      </c>
      <c r="E177" s="2">
        <f t="shared" si="94"/>
        <v>0.39884041544388826</v>
      </c>
      <c r="F177" s="8">
        <f t="shared" si="95"/>
        <v>1752.8085229072512</v>
      </c>
      <c r="G177" s="2">
        <f t="shared" si="96"/>
        <v>75163.073515800934</v>
      </c>
      <c r="H177" s="2">
        <f t="shared" si="97"/>
        <v>745.94739499291722</v>
      </c>
      <c r="I177" s="2">
        <f t="shared" si="98"/>
        <v>62741.368043409042</v>
      </c>
      <c r="J177" s="2">
        <f t="shared" si="89"/>
        <v>1.9975761731055774E-4</v>
      </c>
      <c r="K177" s="2">
        <f t="shared" si="90"/>
        <v>607.78816747627343</v>
      </c>
      <c r="L177" s="2">
        <f t="shared" si="99"/>
        <v>9.6165210172506477</v>
      </c>
      <c r="M177" s="2">
        <f t="shared" si="80"/>
        <v>16998.771752460591</v>
      </c>
      <c r="N177">
        <f t="shared" si="81"/>
        <v>0.36850472840614718</v>
      </c>
      <c r="O177" s="2">
        <f t="shared" si="82"/>
        <v>555267</v>
      </c>
      <c r="P177" s="2">
        <v>1</v>
      </c>
      <c r="R177">
        <f t="shared" si="83"/>
        <v>751.63073515800932</v>
      </c>
      <c r="S177">
        <f t="shared" si="84"/>
        <v>6274.1368043409038</v>
      </c>
      <c r="T177">
        <f t="shared" si="85"/>
        <v>22.851872504179177</v>
      </c>
      <c r="V177" s="2">
        <f t="shared" si="91"/>
        <v>62741.368043409042</v>
      </c>
      <c r="Y177">
        <f t="shared" si="86"/>
        <v>29189.582052516973</v>
      </c>
      <c r="Z177">
        <f t="shared" si="87"/>
        <v>69141.368043409049</v>
      </c>
    </row>
    <row r="178" spans="1:26" x14ac:dyDescent="0.2">
      <c r="A178" s="2">
        <v>165</v>
      </c>
      <c r="B178" s="2">
        <f t="shared" si="88"/>
        <v>29.238626734581441</v>
      </c>
      <c r="C178" s="2">
        <f t="shared" si="92"/>
        <v>-4.2729433169300174E-3</v>
      </c>
      <c r="D178" s="2">
        <f t="shared" si="93"/>
        <v>1949.7067733724207</v>
      </c>
      <c r="E178" s="2">
        <f t="shared" si="94"/>
        <v>0.39450169854488037</v>
      </c>
      <c r="F178" s="8">
        <f t="shared" si="95"/>
        <v>1782.2050659762983</v>
      </c>
      <c r="G178" s="2">
        <f t="shared" si="96"/>
        <v>76945.278581777238</v>
      </c>
      <c r="H178" s="2">
        <f t="shared" si="97"/>
        <v>749.36630938717292</v>
      </c>
      <c r="I178" s="2">
        <f t="shared" si="98"/>
        <v>63490.734352796215</v>
      </c>
      <c r="J178" s="2">
        <f t="shared" si="89"/>
        <v>1.799968335793136E-4</v>
      </c>
      <c r="K178" s="2">
        <f t="shared" si="90"/>
        <v>564.26439419477992</v>
      </c>
      <c r="L178" s="2">
        <f t="shared" si="99"/>
        <v>9.6142836849338682</v>
      </c>
      <c r="M178" s="2">
        <f t="shared" si="80"/>
        <v>16842.931397292668</v>
      </c>
      <c r="N178">
        <f t="shared" si="81"/>
        <v>0.34211606684515428</v>
      </c>
      <c r="O178" s="2">
        <f t="shared" si="82"/>
        <v>555267</v>
      </c>
      <c r="P178" s="2">
        <v>1</v>
      </c>
      <c r="R178">
        <f t="shared" si="83"/>
        <v>769.45278581777234</v>
      </c>
      <c r="S178">
        <f t="shared" si="84"/>
        <v>6349.0734352796217</v>
      </c>
      <c r="T178">
        <f t="shared" si="85"/>
        <v>22.603282337363936</v>
      </c>
      <c r="V178" s="2">
        <f t="shared" si="91"/>
        <v>63490.734352796215</v>
      </c>
      <c r="Y178">
        <f t="shared" si="86"/>
        <v>29573.780130977888</v>
      </c>
      <c r="Z178">
        <f t="shared" si="87"/>
        <v>69890.734352796222</v>
      </c>
    </row>
    <row r="179" spans="1:26" x14ac:dyDescent="0.2">
      <c r="A179" s="2">
        <v>166</v>
      </c>
      <c r="B179" s="2">
        <f t="shared" si="88"/>
        <v>29.587448608382793</v>
      </c>
      <c r="C179" s="2">
        <f t="shared" si="92"/>
        <v>-4.2079112665168953E-3</v>
      </c>
      <c r="D179" s="2">
        <f t="shared" si="93"/>
        <v>1978.9454001070021</v>
      </c>
      <c r="E179" s="2">
        <f t="shared" si="94"/>
        <v>0.39022875522795036</v>
      </c>
      <c r="F179" s="8">
        <f t="shared" si="95"/>
        <v>1811.9214752963503</v>
      </c>
      <c r="G179" s="2">
        <f t="shared" si="96"/>
        <v>78757.200057073584</v>
      </c>
      <c r="H179" s="2">
        <f t="shared" si="97"/>
        <v>752.79079647295555</v>
      </c>
      <c r="I179" s="2">
        <f t="shared" si="98"/>
        <v>64243.525149269168</v>
      </c>
      <c r="J179" s="2">
        <f t="shared" si="89"/>
        <v>1.6211367407608089E-4</v>
      </c>
      <c r="K179" s="2">
        <f t="shared" si="90"/>
        <v>523.55999275870761</v>
      </c>
      <c r="L179" s="2">
        <f t="shared" si="99"/>
        <v>9.6120369144158992</v>
      </c>
      <c r="M179" s="2">
        <f t="shared" si="80"/>
        <v>16687.091042124743</v>
      </c>
      <c r="N179">
        <f t="shared" si="81"/>
        <v>0.31743680324840096</v>
      </c>
      <c r="O179" s="2">
        <f t="shared" si="82"/>
        <v>555267</v>
      </c>
      <c r="P179" s="2">
        <v>1</v>
      </c>
      <c r="R179">
        <f t="shared" si="83"/>
        <v>787.57200057073578</v>
      </c>
      <c r="S179">
        <f t="shared" si="84"/>
        <v>6424.3525149269171</v>
      </c>
      <c r="T179">
        <f t="shared" si="85"/>
        <v>22.358460719205212</v>
      </c>
      <c r="V179" s="2">
        <f t="shared" si="91"/>
        <v>64243.525149269168</v>
      </c>
      <c r="Y179">
        <f t="shared" si="86"/>
        <v>29959.237559428693</v>
      </c>
      <c r="Z179">
        <f t="shared" si="87"/>
        <v>70643.525149269175</v>
      </c>
    </row>
    <row r="180" spans="1:26" x14ac:dyDescent="0.2">
      <c r="A180" s="2">
        <v>167</v>
      </c>
      <c r="B180" s="2">
        <f t="shared" si="88"/>
        <v>29.94142799051756</v>
      </c>
      <c r="C180" s="2">
        <f t="shared" si="92"/>
        <v>-4.1436105065613248E-3</v>
      </c>
      <c r="D180" s="2">
        <f t="shared" si="93"/>
        <v>2008.5328487153849</v>
      </c>
      <c r="E180" s="2">
        <f t="shared" si="94"/>
        <v>0.38602084396143349</v>
      </c>
      <c r="F180" s="8">
        <f t="shared" si="95"/>
        <v>1841.9621960411796</v>
      </c>
      <c r="G180" s="2">
        <f t="shared" si="96"/>
        <v>80599.162253114759</v>
      </c>
      <c r="H180" s="2">
        <f t="shared" si="97"/>
        <v>756.22277565074592</v>
      </c>
      <c r="I180" s="2">
        <f t="shared" si="98"/>
        <v>64999.747924919917</v>
      </c>
      <c r="J180" s="2">
        <f t="shared" si="89"/>
        <v>1.4593761576940615E-4</v>
      </c>
      <c r="K180" s="2">
        <f t="shared" si="90"/>
        <v>485.51684781098692</v>
      </c>
      <c r="L180" s="2">
        <f t="shared" si="99"/>
        <v>9.6097806937289363</v>
      </c>
      <c r="M180" s="2">
        <f t="shared" si="80"/>
        <v>16531.250686956821</v>
      </c>
      <c r="N180">
        <f t="shared" si="81"/>
        <v>0.29437107155624398</v>
      </c>
      <c r="O180" s="2">
        <f t="shared" si="82"/>
        <v>555267</v>
      </c>
      <c r="P180" s="2">
        <v>1</v>
      </c>
      <c r="R180">
        <f t="shared" si="83"/>
        <v>805.99162253114764</v>
      </c>
      <c r="S180">
        <f t="shared" si="84"/>
        <v>6499.974792491992</v>
      </c>
      <c r="T180">
        <f t="shared" si="85"/>
        <v>22.11736516306825</v>
      </c>
      <c r="V180" s="2">
        <f t="shared" si="91"/>
        <v>64999.747924919917</v>
      </c>
      <c r="Y180">
        <f t="shared" si="86"/>
        <v>30345.992216735809</v>
      </c>
      <c r="Z180">
        <f t="shared" si="87"/>
        <v>71399.74792491991</v>
      </c>
    </row>
    <row r="181" spans="1:26" x14ac:dyDescent="0.2">
      <c r="A181" s="2">
        <v>168</v>
      </c>
      <c r="B181" s="2">
        <f t="shared" si="88"/>
        <v>30.300739526447089</v>
      </c>
      <c r="C181" s="2">
        <f t="shared" si="92"/>
        <v>-4.0800306224109536E-3</v>
      </c>
      <c r="D181" s="2">
        <f t="shared" si="93"/>
        <v>2038.4742767059024</v>
      </c>
      <c r="E181" s="2">
        <f t="shared" si="94"/>
        <v>0.38187723345487218</v>
      </c>
      <c r="F181" s="8">
        <f t="shared" si="95"/>
        <v>1872.3318415795402</v>
      </c>
      <c r="G181" s="2">
        <f t="shared" si="96"/>
        <v>82471.494094694295</v>
      </c>
      <c r="H181" s="2">
        <f t="shared" si="97"/>
        <v>759.66421487709249</v>
      </c>
      <c r="I181" s="2">
        <f t="shared" si="98"/>
        <v>65759.412139797016</v>
      </c>
      <c r="J181" s="2">
        <f t="shared" si="89"/>
        <v>1.3131280810877363E-4</v>
      </c>
      <c r="K181" s="2">
        <f t="shared" si="90"/>
        <v>449.98365631367727</v>
      </c>
      <c r="L181" s="2">
        <f t="shared" si="99"/>
        <v>9.6075150051074534</v>
      </c>
      <c r="M181" s="2">
        <f t="shared" si="80"/>
        <v>16375.410331788898</v>
      </c>
      <c r="N181">
        <f t="shared" si="81"/>
        <v>0.27282713604909065</v>
      </c>
      <c r="O181" s="2">
        <f t="shared" si="82"/>
        <v>555267</v>
      </c>
      <c r="P181" s="2">
        <v>1</v>
      </c>
      <c r="R181">
        <f t="shared" si="83"/>
        <v>824.71494094694299</v>
      </c>
      <c r="S181">
        <f t="shared" si="84"/>
        <v>6575.9412139797014</v>
      </c>
      <c r="T181">
        <f t="shared" si="85"/>
        <v>21.879953769096222</v>
      </c>
      <c r="V181" s="2">
        <f t="shared" si="91"/>
        <v>65759.412139797016</v>
      </c>
      <c r="Y181">
        <f t="shared" si="86"/>
        <v>30734.08554972192</v>
      </c>
      <c r="Z181">
        <f t="shared" si="87"/>
        <v>72159.412139797016</v>
      </c>
    </row>
    <row r="182" spans="1:26" x14ac:dyDescent="0.2">
      <c r="A182" s="2">
        <v>169</v>
      </c>
      <c r="B182" s="2">
        <f t="shared" si="88"/>
        <v>30.665564097522843</v>
      </c>
      <c r="C182" s="2">
        <f t="shared" si="92"/>
        <v>-4.0171610463973269E-3</v>
      </c>
      <c r="D182" s="2">
        <f t="shared" si="93"/>
        <v>2068.7750162323496</v>
      </c>
      <c r="E182" s="2">
        <f t="shared" si="94"/>
        <v>0.37779720283246121</v>
      </c>
      <c r="F182" s="8">
        <f t="shared" si="95"/>
        <v>1903.0351987322128</v>
      </c>
      <c r="G182" s="2">
        <f t="shared" si="96"/>
        <v>84374.529293426502</v>
      </c>
      <c r="H182" s="2">
        <f t="shared" si="97"/>
        <v>763.11713189387388</v>
      </c>
      <c r="I182" s="2">
        <f t="shared" si="98"/>
        <v>66522.529271690888</v>
      </c>
      <c r="J182" s="2">
        <f t="shared" si="89"/>
        <v>1.1809689564410119E-4</v>
      </c>
      <c r="K182" s="2">
        <f t="shared" si="90"/>
        <v>416.81581390470575</v>
      </c>
      <c r="L182" s="2">
        <f t="shared" si="99"/>
        <v>9.6052398248504023</v>
      </c>
      <c r="M182" s="2">
        <f t="shared" si="80"/>
        <v>16219.569976620976</v>
      </c>
      <c r="N182">
        <f t="shared" si="81"/>
        <v>0.2527173224449733</v>
      </c>
      <c r="O182" s="2">
        <f t="shared" si="82"/>
        <v>555267</v>
      </c>
      <c r="P182" s="2">
        <v>1</v>
      </c>
      <c r="R182">
        <f t="shared" si="83"/>
        <v>843.74529293426497</v>
      </c>
      <c r="S182">
        <f t="shared" si="84"/>
        <v>6652.2529271690892</v>
      </c>
      <c r="T182">
        <f t="shared" si="85"/>
        <v>21.646185234147939</v>
      </c>
      <c r="V182" s="2">
        <f t="shared" si="91"/>
        <v>66522.529271690888</v>
      </c>
      <c r="Y182">
        <f t="shared" si="86"/>
        <v>31123.562636868068</v>
      </c>
      <c r="Z182">
        <f t="shared" si="87"/>
        <v>72922.529271690888</v>
      </c>
    </row>
    <row r="183" spans="1:26" x14ac:dyDescent="0.2">
      <c r="A183" s="2">
        <v>170</v>
      </c>
      <c r="B183" s="2">
        <f t="shared" si="88"/>
        <v>31.036089121662258</v>
      </c>
      <c r="C183" s="2">
        <f t="shared" si="92"/>
        <v>-3.9549910767274331E-3</v>
      </c>
      <c r="D183" s="2">
        <f t="shared" si="93"/>
        <v>2099.4405803298723</v>
      </c>
      <c r="E183" s="2">
        <f t="shared" si="94"/>
        <v>0.37378004178606389</v>
      </c>
      <c r="F183" s="8">
        <f t="shared" si="95"/>
        <v>1934.0772332933359</v>
      </c>
      <c r="G183" s="2">
        <f t="shared" si="96"/>
        <v>86308.606526719843</v>
      </c>
      <c r="H183" s="2">
        <f t="shared" si="97"/>
        <v>766.58359555583047</v>
      </c>
      <c r="I183" s="2">
        <f t="shared" si="98"/>
        <v>67289.112867246717</v>
      </c>
      <c r="J183" s="2">
        <f t="shared" si="89"/>
        <v>1.0615992613704612E-4</v>
      </c>
      <c r="K183" s="2">
        <f t="shared" si="90"/>
        <v>385.87528484313549</v>
      </c>
      <c r="L183" s="2">
        <f t="shared" si="99"/>
        <v>9.6029551231799477</v>
      </c>
      <c r="M183" s="2">
        <f t="shared" si="80"/>
        <v>16063.729621453051</v>
      </c>
      <c r="N183">
        <f t="shared" si="81"/>
        <v>0.23395793904677387</v>
      </c>
      <c r="O183" s="2">
        <f t="shared" si="82"/>
        <v>555267</v>
      </c>
      <c r="P183" s="2">
        <v>1</v>
      </c>
      <c r="R183">
        <f t="shared" si="83"/>
        <v>863.08606526719848</v>
      </c>
      <c r="S183">
        <f t="shared" si="84"/>
        <v>6728.9112867246713</v>
      </c>
      <c r="T183">
        <f t="shared" si="85"/>
        <v>21.416018860565014</v>
      </c>
      <c r="V183" s="2">
        <f t="shared" si="91"/>
        <v>67289.112867246717</v>
      </c>
      <c r="Y183">
        <f t="shared" si="86"/>
        <v>31514.472254447221</v>
      </c>
      <c r="Z183">
        <f t="shared" si="87"/>
        <v>73689.112867246717</v>
      </c>
    </row>
    <row r="184" spans="1:26" x14ac:dyDescent="0.2">
      <c r="A184" s="2">
        <v>171</v>
      </c>
      <c r="B184" s="2">
        <f t="shared" si="88"/>
        <v>31.412508873374094</v>
      </c>
      <c r="C184" s="2">
        <f t="shared" si="92"/>
        <v>-3.8935098949155322E-3</v>
      </c>
      <c r="D184" s="2">
        <f t="shared" si="93"/>
        <v>2130.4766694515347</v>
      </c>
      <c r="E184" s="2">
        <f t="shared" si="94"/>
        <v>0.36982505070933647</v>
      </c>
      <c r="F184" s="8">
        <f t="shared" si="95"/>
        <v>1965.4630958331793</v>
      </c>
      <c r="G184" s="2">
        <f t="shared" si="96"/>
        <v>88274.069622553026</v>
      </c>
      <c r="H184" s="2">
        <f t="shared" si="97"/>
        <v>770.06572726051672</v>
      </c>
      <c r="I184" s="2">
        <f t="shared" si="98"/>
        <v>68059.178594507233</v>
      </c>
      <c r="J184" s="2">
        <f t="shared" si="89"/>
        <v>9.5383338915454855E-5</v>
      </c>
      <c r="K184" s="2">
        <f t="shared" si="90"/>
        <v>357.03045773601963</v>
      </c>
      <c r="L184" s="2">
        <f t="shared" si="99"/>
        <v>9.6006608640963851</v>
      </c>
      <c r="M184" s="2">
        <f t="shared" si="80"/>
        <v>15907.889266285129</v>
      </c>
      <c r="N184">
        <f t="shared" si="81"/>
        <v>0.21646918926876021</v>
      </c>
      <c r="O184" s="2">
        <f t="shared" si="82"/>
        <v>555267</v>
      </c>
      <c r="P184" s="2">
        <v>1</v>
      </c>
      <c r="R184">
        <f t="shared" si="83"/>
        <v>882.74069622553031</v>
      </c>
      <c r="S184">
        <f t="shared" si="84"/>
        <v>6805.917859450723</v>
      </c>
      <c r="T184">
        <f t="shared" si="85"/>
        <v>21.189414563856634</v>
      </c>
      <c r="V184" s="2">
        <f t="shared" si="91"/>
        <v>68059.178594507233</v>
      </c>
      <c r="Y184">
        <f t="shared" si="86"/>
        <v>31906.866945244034</v>
      </c>
      <c r="Z184">
        <f t="shared" si="87"/>
        <v>74459.178594507233</v>
      </c>
    </row>
    <row r="185" spans="1:26" x14ac:dyDescent="0.2">
      <c r="A185" s="2">
        <v>172</v>
      </c>
      <c r="B185" s="2">
        <f t="shared" si="88"/>
        <v>31.7950248243015</v>
      </c>
      <c r="C185" s="2">
        <f t="shared" si="92"/>
        <v>-3.8327065818297146E-3</v>
      </c>
      <c r="D185" s="2">
        <f t="shared" si="93"/>
        <v>2161.8891783249087</v>
      </c>
      <c r="E185" s="2">
        <f t="shared" si="94"/>
        <v>0.36593154081442092</v>
      </c>
      <c r="F185" s="8">
        <f t="shared" si="95"/>
        <v>1997.1981278004898</v>
      </c>
      <c r="G185" s="2">
        <f t="shared" si="96"/>
        <v>90271.267750353523</v>
      </c>
      <c r="H185" s="2">
        <f t="shared" si="97"/>
        <v>773.56570248508888</v>
      </c>
      <c r="I185" s="2">
        <f t="shared" si="98"/>
        <v>68832.744296992329</v>
      </c>
      <c r="J185" s="2">
        <f t="shared" si="89"/>
        <v>8.5659028439644331E-5</v>
      </c>
      <c r="K185" s="2">
        <f t="shared" si="90"/>
        <v>330.15598910584015</v>
      </c>
      <c r="L185" s="2">
        <f t="shared" si="99"/>
        <v>9.5983570052289622</v>
      </c>
      <c r="M185" s="2">
        <f t="shared" si="80"/>
        <v>15752.048911117206</v>
      </c>
      <c r="N185">
        <f t="shared" si="81"/>
        <v>0.20017507679081298</v>
      </c>
      <c r="O185" s="2">
        <f t="shared" si="82"/>
        <v>555267</v>
      </c>
      <c r="P185" s="2">
        <v>1</v>
      </c>
      <c r="R185">
        <f t="shared" si="83"/>
        <v>902.71267750353525</v>
      </c>
      <c r="S185">
        <f t="shared" si="84"/>
        <v>6883.2744296992332</v>
      </c>
      <c r="T185">
        <f t="shared" si="85"/>
        <v>20.966332879385547</v>
      </c>
      <c r="V185" s="2">
        <f t="shared" si="91"/>
        <v>68832.744296992329</v>
      </c>
      <c r="Y185">
        <f t="shared" si="86"/>
        <v>32300.803090021753</v>
      </c>
      <c r="Z185">
        <f t="shared" si="87"/>
        <v>75232.744296992329</v>
      </c>
    </row>
    <row r="186" spans="1:26" x14ac:dyDescent="0.2">
      <c r="A186" s="2">
        <v>173</v>
      </c>
      <c r="B186" s="2">
        <f t="shared" si="88"/>
        <v>32.183846005553569</v>
      </c>
      <c r="C186" s="2">
        <f t="shared" si="92"/>
        <v>-3.7725701324240394E-3</v>
      </c>
      <c r="D186" s="2">
        <f t="shared" si="93"/>
        <v>2193.6842031492101</v>
      </c>
      <c r="E186" s="2">
        <f t="shared" si="94"/>
        <v>0.3620988342325912</v>
      </c>
      <c r="F186" s="8">
        <f t="shared" si="95"/>
        <v>2029.287867943613</v>
      </c>
      <c r="G186" s="2">
        <f t="shared" si="96"/>
        <v>92300.555618297134</v>
      </c>
      <c r="H186" s="2">
        <f t="shared" si="97"/>
        <v>777.08575243465737</v>
      </c>
      <c r="I186" s="2">
        <f t="shared" si="98"/>
        <v>69609.830049426979</v>
      </c>
      <c r="J186" s="2">
        <f t="shared" si="89"/>
        <v>7.6888478270009235E-5</v>
      </c>
      <c r="K186" s="2">
        <f t="shared" si="90"/>
        <v>305.13263672306425</v>
      </c>
      <c r="L186" s="2">
        <f t="shared" si="99"/>
        <v>9.596043497682258</v>
      </c>
      <c r="M186" s="2">
        <f t="shared" si="80"/>
        <v>15596.208555949281</v>
      </c>
      <c r="N186">
        <f t="shared" si="81"/>
        <v>0.18500330450719721</v>
      </c>
      <c r="O186" s="2">
        <f t="shared" si="82"/>
        <v>555267</v>
      </c>
      <c r="P186" s="2">
        <v>1</v>
      </c>
      <c r="R186">
        <f t="shared" si="83"/>
        <v>923.0055561829713</v>
      </c>
      <c r="S186">
        <f t="shared" si="84"/>
        <v>6960.9830049426982</v>
      </c>
      <c r="T186">
        <f t="shared" si="85"/>
        <v>20.746734968134689</v>
      </c>
      <c r="V186" s="2">
        <f t="shared" si="91"/>
        <v>69609.830049426979</v>
      </c>
      <c r="Y186">
        <f t="shared" si="86"/>
        <v>32696.340981903297</v>
      </c>
      <c r="Z186">
        <f t="shared" si="87"/>
        <v>76009.830049426979</v>
      </c>
    </row>
    <row r="187" spans="1:26" x14ac:dyDescent="0.2">
      <c r="A187" s="2">
        <v>174</v>
      </c>
      <c r="B187" s="2">
        <f t="shared" si="88"/>
        <v>32.5791893932101</v>
      </c>
      <c r="C187" s="2">
        <f t="shared" si="92"/>
        <v>-3.7130894692237689E-3</v>
      </c>
      <c r="D187" s="2">
        <f t="shared" si="93"/>
        <v>2225.8680491547639</v>
      </c>
      <c r="E187" s="2">
        <f t="shared" si="94"/>
        <v>0.35832626410016716</v>
      </c>
      <c r="F187" s="8">
        <f t="shared" si="95"/>
        <v>2061.7380590707494</v>
      </c>
      <c r="G187" s="2">
        <f t="shared" si="96"/>
        <v>94362.293677367881</v>
      </c>
      <c r="H187" s="2">
        <f t="shared" si="97"/>
        <v>780.62816580724973</v>
      </c>
      <c r="I187" s="2">
        <f t="shared" si="98"/>
        <v>70390.458215234234</v>
      </c>
      <c r="J187" s="2">
        <f t="shared" si="89"/>
        <v>6.8981960847705432E-5</v>
      </c>
      <c r="K187" s="2">
        <f t="shared" si="90"/>
        <v>281.84708449455394</v>
      </c>
      <c r="L187" s="2">
        <f t="shared" si="99"/>
        <v>9.5937202858778381</v>
      </c>
      <c r="M187" s="2">
        <f t="shared" si="80"/>
        <v>15440.368200781359</v>
      </c>
      <c r="N187">
        <f t="shared" si="81"/>
        <v>0.17088516835560896</v>
      </c>
      <c r="O187" s="2">
        <f t="shared" si="82"/>
        <v>555267</v>
      </c>
      <c r="P187" s="2">
        <v>1</v>
      </c>
      <c r="R187">
        <f t="shared" si="83"/>
        <v>943.62293677367882</v>
      </c>
      <c r="S187">
        <f t="shared" si="84"/>
        <v>7039.045821523423</v>
      </c>
      <c r="T187">
        <f t="shared" si="85"/>
        <v>20.53058262162968</v>
      </c>
      <c r="V187" s="2">
        <f t="shared" si="91"/>
        <v>70390.458215234234</v>
      </c>
      <c r="Y187">
        <f t="shared" si="86"/>
        <v>33093.54490384127</v>
      </c>
      <c r="Z187">
        <f t="shared" si="87"/>
        <v>76790.458215234234</v>
      </c>
    </row>
    <row r="188" spans="1:26" x14ac:dyDescent="0.2">
      <c r="A188" s="2">
        <v>175</v>
      </c>
      <c r="B188" s="2">
        <f t="shared" si="88"/>
        <v>32.981280318507018</v>
      </c>
      <c r="C188" s="2">
        <f t="shared" si="92"/>
        <v>-3.6542534546276872E-3</v>
      </c>
      <c r="D188" s="2">
        <f t="shared" si="93"/>
        <v>2258.4472385479739</v>
      </c>
      <c r="E188" s="2">
        <f t="shared" si="94"/>
        <v>0.35461317463094338</v>
      </c>
      <c r="F188" s="8">
        <f t="shared" si="95"/>
        <v>2094.5546551709722</v>
      </c>
      <c r="G188" s="2">
        <f t="shared" si="96"/>
        <v>96456.848332538852</v>
      </c>
      <c r="H188" s="2">
        <f t="shared" si="97"/>
        <v>784.19529068080499</v>
      </c>
      <c r="I188" s="2">
        <f t="shared" si="98"/>
        <v>71174.653505915034</v>
      </c>
      <c r="J188" s="2">
        <f t="shared" si="89"/>
        <v>6.1857798722139142E-5</v>
      </c>
      <c r="K188" s="2">
        <f t="shared" si="90"/>
        <v>260.19176056650758</v>
      </c>
      <c r="L188" s="2">
        <f t="shared" si="99"/>
        <v>9.5913873073908285</v>
      </c>
      <c r="M188" s="2">
        <f t="shared" si="80"/>
        <v>15284.527845613437</v>
      </c>
      <c r="N188">
        <f t="shared" si="81"/>
        <v>0.15775544703216218</v>
      </c>
      <c r="O188" s="2">
        <f t="shared" si="82"/>
        <v>555267</v>
      </c>
      <c r="P188" s="2">
        <v>1</v>
      </c>
      <c r="R188">
        <f t="shared" si="83"/>
        <v>964.56848332538857</v>
      </c>
      <c r="S188">
        <f t="shared" si="84"/>
        <v>7117.465350591503</v>
      </c>
      <c r="T188">
        <f t="shared" si="85"/>
        <v>20.317838266088689</v>
      </c>
      <c r="V188" s="2">
        <f t="shared" si="91"/>
        <v>71174.653505915034</v>
      </c>
      <c r="Y188">
        <f t="shared" si="86"/>
        <v>33492.483209358295</v>
      </c>
      <c r="Z188">
        <f t="shared" si="87"/>
        <v>77574.653505915034</v>
      </c>
    </row>
    <row r="189" spans="1:26" x14ac:dyDescent="0.2">
      <c r="A189" s="2">
        <v>176</v>
      </c>
      <c r="B189" s="2">
        <f t="shared" si="88"/>
        <v>33.39035290434488</v>
      </c>
      <c r="C189" s="2">
        <f t="shared" si="92"/>
        <v>-3.59605090208806E-3</v>
      </c>
      <c r="D189" s="2">
        <f t="shared" si="93"/>
        <v>2291.4285188664808</v>
      </c>
      <c r="E189" s="2">
        <f t="shared" si="94"/>
        <v>0.35095892117631572</v>
      </c>
      <c r="F189" s="8">
        <f t="shared" si="95"/>
        <v>2127.7438289190286</v>
      </c>
      <c r="G189" s="2">
        <f t="shared" si="96"/>
        <v>98584.592161457884</v>
      </c>
      <c r="H189" s="2">
        <f t="shared" si="97"/>
        <v>787.78953652801454</v>
      </c>
      <c r="I189" s="2">
        <f t="shared" si="98"/>
        <v>71962.443042443047</v>
      </c>
      <c r="J189" s="2">
        <f t="shared" si="89"/>
        <v>5.5441683079182939E-5</v>
      </c>
      <c r="K189" s="2">
        <f t="shared" si="90"/>
        <v>240.06465017112075</v>
      </c>
      <c r="L189" s="2">
        <f t="shared" si="99"/>
        <v>9.5890444927810137</v>
      </c>
      <c r="M189" s="2">
        <f t="shared" si="80"/>
        <v>15128.687490445511</v>
      </c>
      <c r="N189">
        <f t="shared" si="81"/>
        <v>0.14555228851946853</v>
      </c>
      <c r="O189" s="2">
        <f t="shared" si="82"/>
        <v>555267</v>
      </c>
      <c r="P189" s="2">
        <v>1</v>
      </c>
      <c r="R189">
        <f t="shared" si="83"/>
        <v>985.84592161457886</v>
      </c>
      <c r="S189">
        <f t="shared" si="84"/>
        <v>7196.2443042443047</v>
      </c>
      <c r="T189">
        <f t="shared" si="85"/>
        <v>20.108464965867423</v>
      </c>
      <c r="V189" s="2">
        <f t="shared" si="91"/>
        <v>71962.443042443047</v>
      </c>
      <c r="Y189">
        <f t="shared" si="86"/>
        <v>33893.22840674816</v>
      </c>
      <c r="Z189">
        <f t="shared" si="87"/>
        <v>78362.443042443047</v>
      </c>
    </row>
    <row r="190" spans="1:26" x14ac:dyDescent="0.2">
      <c r="A190" s="2">
        <v>177</v>
      </c>
      <c r="B190" s="2">
        <f t="shared" si="88"/>
        <v>33.80665052990912</v>
      </c>
      <c r="C190" s="2">
        <f t="shared" si="92"/>
        <v>-3.5384705862254967E-3</v>
      </c>
      <c r="D190" s="2">
        <f t="shared" si="93"/>
        <v>2324.8188717708258</v>
      </c>
      <c r="E190" s="2">
        <f t="shared" si="94"/>
        <v>0.34736287027422769</v>
      </c>
      <c r="F190" s="8">
        <f t="shared" si="95"/>
        <v>2161.3119795884318</v>
      </c>
      <c r="G190" s="2">
        <f t="shared" si="96"/>
        <v>100745.90414104631</v>
      </c>
      <c r="H190" s="2">
        <f t="shared" si="97"/>
        <v>791.41337636526293</v>
      </c>
      <c r="I190" s="2">
        <f t="shared" si="98"/>
        <v>72753.856418808311</v>
      </c>
      <c r="J190" s="2">
        <f t="shared" si="89"/>
        <v>4.9666045641183936E-5</v>
      </c>
      <c r="K190" s="2">
        <f t="shared" si="90"/>
        <v>221.36910462009675</v>
      </c>
      <c r="L190" s="2">
        <f t="shared" si="99"/>
        <v>9.5866917654181272</v>
      </c>
      <c r="M190" s="2">
        <f t="shared" si="80"/>
        <v>14972.847135277589</v>
      </c>
      <c r="N190">
        <f t="shared" si="81"/>
        <v>0.13421709427853457</v>
      </c>
      <c r="O190" s="2">
        <f t="shared" si="82"/>
        <v>555267</v>
      </c>
      <c r="P190" s="2">
        <v>1</v>
      </c>
      <c r="R190">
        <f t="shared" si="83"/>
        <v>1007.4590414104631</v>
      </c>
      <c r="S190">
        <f t="shared" si="84"/>
        <v>7275.3856418808309</v>
      </c>
      <c r="T190">
        <f t="shared" si="85"/>
        <v>19.902426426263567</v>
      </c>
      <c r="V190" s="2">
        <f t="shared" si="91"/>
        <v>72753.856418808311</v>
      </c>
      <c r="Y190">
        <f t="shared" si="86"/>
        <v>34295.85724693667</v>
      </c>
      <c r="Z190">
        <f t="shared" si="87"/>
        <v>79153.856418808311</v>
      </c>
    </row>
    <row r="191" spans="1:26" x14ac:dyDescent="0.2">
      <c r="A191" s="2">
        <v>178</v>
      </c>
      <c r="B191" s="2">
        <f t="shared" si="88"/>
        <v>34.230426325351893</v>
      </c>
      <c r="C191" s="2">
        <f t="shared" si="92"/>
        <v>-3.4815012519325869E-3</v>
      </c>
      <c r="D191" s="2">
        <f t="shared" si="93"/>
        <v>2358.6255223007347</v>
      </c>
      <c r="E191" s="2">
        <f t="shared" si="94"/>
        <v>0.34382439968800221</v>
      </c>
      <c r="F191" s="8">
        <f t="shared" si="95"/>
        <v>2195.2657413990155</v>
      </c>
      <c r="G191" s="2">
        <f t="shared" si="96"/>
        <v>102941.16988244532</v>
      </c>
      <c r="H191" s="2">
        <f t="shared" si="97"/>
        <v>795.06934904239347</v>
      </c>
      <c r="I191" s="2">
        <f t="shared" si="98"/>
        <v>73548.925767850698</v>
      </c>
      <c r="J191" s="2">
        <f t="shared" si="89"/>
        <v>4.4469480222797831E-5</v>
      </c>
      <c r="K191" s="2">
        <f t="shared" si="90"/>
        <v>204.0136477260076</v>
      </c>
      <c r="L191" s="2">
        <f t="shared" si="99"/>
        <v>9.5843290413009363</v>
      </c>
      <c r="M191" s="2">
        <f t="shared" si="80"/>
        <v>14817.006780109667</v>
      </c>
      <c r="N191">
        <f t="shared" si="81"/>
        <v>0.12369440188115323</v>
      </c>
      <c r="O191" s="2">
        <f t="shared" si="82"/>
        <v>555267</v>
      </c>
      <c r="P191" s="2">
        <v>1</v>
      </c>
      <c r="R191">
        <f t="shared" si="83"/>
        <v>1029.4116988244532</v>
      </c>
      <c r="S191">
        <f t="shared" si="84"/>
        <v>7354.8925767850697</v>
      </c>
      <c r="T191">
        <f t="shared" si="85"/>
        <v>19.699686995741665</v>
      </c>
      <c r="V191" s="2">
        <f t="shared" si="91"/>
        <v>73548.925767850698</v>
      </c>
      <c r="Y191">
        <f t="shared" si="86"/>
        <v>34700.450815211101</v>
      </c>
      <c r="Z191">
        <f t="shared" si="87"/>
        <v>79948.925767850698</v>
      </c>
    </row>
    <row r="192" spans="1:26" x14ac:dyDescent="0.2">
      <c r="A192" s="2">
        <v>179</v>
      </c>
      <c r="B192" s="2">
        <f t="shared" si="88"/>
        <v>34.661943698659996</v>
      </c>
      <c r="C192" s="2">
        <f t="shared" si="92"/>
        <v>-3.425131622516894E-3</v>
      </c>
      <c r="D192" s="2">
        <f t="shared" si="93"/>
        <v>2392.8559486260865</v>
      </c>
      <c r="E192" s="2">
        <f t="shared" si="94"/>
        <v>0.34034289843606963</v>
      </c>
      <c r="F192" s="8">
        <f t="shared" si="95"/>
        <v>2229.6119923269157</v>
      </c>
      <c r="G192" s="2">
        <f t="shared" si="96"/>
        <v>105170.78187477223</v>
      </c>
      <c r="H192" s="2">
        <f t="shared" si="97"/>
        <v>798.76006168055505</v>
      </c>
      <c r="I192" s="2">
        <f t="shared" si="98"/>
        <v>74347.685829531256</v>
      </c>
      <c r="J192" s="2">
        <f t="shared" si="89"/>
        <v>3.9796210434596753E-5</v>
      </c>
      <c r="K192" s="2">
        <f t="shared" si="90"/>
        <v>187.91178081495039</v>
      </c>
      <c r="L192" s="2">
        <f t="shared" si="99"/>
        <v>9.5819562288696609</v>
      </c>
      <c r="M192" s="2">
        <f t="shared" si="80"/>
        <v>14661.166424941741</v>
      </c>
      <c r="N192">
        <f t="shared" si="81"/>
        <v>0.113931766788191</v>
      </c>
      <c r="O192" s="2">
        <f t="shared" si="82"/>
        <v>555267</v>
      </c>
      <c r="P192" s="2">
        <v>1</v>
      </c>
      <c r="R192">
        <f t="shared" si="83"/>
        <v>1051.7078187477223</v>
      </c>
      <c r="S192">
        <f t="shared" si="84"/>
        <v>7434.7685829531256</v>
      </c>
      <c r="T192">
        <f t="shared" si="85"/>
        <v>19.500211667636414</v>
      </c>
      <c r="V192" s="2">
        <f t="shared" si="91"/>
        <v>74347.685829531256</v>
      </c>
      <c r="Y192">
        <f t="shared" si="86"/>
        <v>35107.094627037375</v>
      </c>
      <c r="Z192">
        <f t="shared" si="87"/>
        <v>80747.685829531256</v>
      </c>
    </row>
    <row r="193" spans="1:26" x14ac:dyDescent="0.2">
      <c r="A193" s="2">
        <v>180</v>
      </c>
      <c r="B193" s="2">
        <f t="shared" si="88"/>
        <v>35.101476897025968</v>
      </c>
      <c r="C193" s="2">
        <f t="shared" si="92"/>
        <v>-3.3693504069307522E-3</v>
      </c>
      <c r="D193" s="2">
        <f t="shared" si="93"/>
        <v>2427.5178923247463</v>
      </c>
      <c r="E193" s="2">
        <f t="shared" si="94"/>
        <v>0.33691776681355273</v>
      </c>
      <c r="F193" s="8">
        <f t="shared" si="95"/>
        <v>2264.3578634068858</v>
      </c>
      <c r="G193" s="2">
        <f t="shared" si="96"/>
        <v>107435.13973817912</v>
      </c>
      <c r="H193" s="2">
        <f t="shared" si="97"/>
        <v>802.48819226594105</v>
      </c>
      <c r="I193" s="2">
        <f t="shared" si="98"/>
        <v>75150.174021797196</v>
      </c>
      <c r="J193" s="2">
        <f t="shared" si="89"/>
        <v>3.5595600228490731E-5</v>
      </c>
      <c r="K193" s="2">
        <f t="shared" si="90"/>
        <v>172.98178738130878</v>
      </c>
      <c r="L193" s="2">
        <f t="shared" si="99"/>
        <v>9.5795732288113786</v>
      </c>
      <c r="M193" s="2">
        <f t="shared" si="80"/>
        <v>14505.326069773819</v>
      </c>
      <c r="N193">
        <f t="shared" si="81"/>
        <v>0.10487964391088206</v>
      </c>
      <c r="O193" s="2">
        <f t="shared" si="82"/>
        <v>555267</v>
      </c>
      <c r="P193" s="2">
        <v>1</v>
      </c>
      <c r="R193">
        <f t="shared" si="83"/>
        <v>1074.3513973817912</v>
      </c>
      <c r="S193">
        <f t="shared" si="84"/>
        <v>7515.0174021797193</v>
      </c>
      <c r="T193">
        <f t="shared" si="85"/>
        <v>19.303966081389405</v>
      </c>
      <c r="V193" s="2">
        <f t="shared" si="91"/>
        <v>75150.174021797196</v>
      </c>
      <c r="Y193">
        <f t="shared" si="86"/>
        <v>35515.878728195385</v>
      </c>
      <c r="Z193">
        <f t="shared" si="87"/>
        <v>81550.174021797196</v>
      </c>
    </row>
    <row r="194" spans="1:26" x14ac:dyDescent="0.2">
      <c r="A194" s="2">
        <v>181</v>
      </c>
      <c r="B194" s="2">
        <f t="shared" si="88"/>
        <v>35.549311605249471</v>
      </c>
      <c r="C194" s="2">
        <f t="shared" si="92"/>
        <v>-3.314146306132023E-3</v>
      </c>
      <c r="D194" s="2">
        <f t="shared" si="93"/>
        <v>2462.6193692217721</v>
      </c>
      <c r="E194" s="2">
        <f t="shared" si="94"/>
        <v>0.33354841640662197</v>
      </c>
      <c r="F194" s="8">
        <f t="shared" si="95"/>
        <v>2299.5107485590083</v>
      </c>
      <c r="G194" s="2">
        <f t="shared" si="96"/>
        <v>109734.65048673813</v>
      </c>
      <c r="H194" s="2">
        <f t="shared" si="97"/>
        <v>806.25649240785981</v>
      </c>
      <c r="I194" s="2">
        <f t="shared" si="98"/>
        <v>75956.430514205058</v>
      </c>
      <c r="J194" s="2">
        <f t="shared" si="89"/>
        <v>3.1821704174668837E-5</v>
      </c>
      <c r="K194" s="2">
        <f t="shared" si="90"/>
        <v>159.14653832804385</v>
      </c>
      <c r="L194" s="2">
        <f t="shared" si="99"/>
        <v>9.5771799338578578</v>
      </c>
      <c r="M194" s="2">
        <f t="shared" si="80"/>
        <v>14349.485714605897</v>
      </c>
      <c r="N194">
        <f t="shared" si="81"/>
        <v>9.649126952713126E-2</v>
      </c>
      <c r="O194" s="2">
        <f t="shared" si="82"/>
        <v>555267</v>
      </c>
      <c r="P194" s="2">
        <v>1</v>
      </c>
      <c r="R194">
        <f t="shared" si="83"/>
        <v>1097.3465048673813</v>
      </c>
      <c r="S194">
        <f t="shared" si="84"/>
        <v>7595.6430514205058</v>
      </c>
      <c r="T194">
        <f t="shared" si="85"/>
        <v>19.110916523371582</v>
      </c>
      <c r="V194" s="2">
        <f t="shared" si="91"/>
        <v>75956.430514205058</v>
      </c>
      <c r="Y194">
        <f t="shared" si="86"/>
        <v>35926.897799475715</v>
      </c>
      <c r="Z194">
        <f t="shared" si="87"/>
        <v>82356.430514205058</v>
      </c>
    </row>
    <row r="195" spans="1:26" x14ac:dyDescent="0.2">
      <c r="A195" s="2">
        <v>182</v>
      </c>
      <c r="B195" s="2">
        <f t="shared" si="88"/>
        <v>36.005745583926767</v>
      </c>
      <c r="C195" s="2">
        <f t="shared" si="92"/>
        <v>-3.2595080186169842E-3</v>
      </c>
      <c r="D195" s="2">
        <f t="shared" si="93"/>
        <v>2498.1686808270215</v>
      </c>
      <c r="E195" s="2">
        <f t="shared" si="94"/>
        <v>0.33023427010048995</v>
      </c>
      <c r="F195" s="8">
        <f t="shared" si="95"/>
        <v>2335.0783149741974</v>
      </c>
      <c r="G195" s="2">
        <f t="shared" si="96"/>
        <v>112069.72880171232</v>
      </c>
      <c r="H195" s="2">
        <f t="shared" si="97"/>
        <v>810.06779027024697</v>
      </c>
      <c r="I195" s="2">
        <f t="shared" si="98"/>
        <v>76766.498304475303</v>
      </c>
      <c r="J195" s="2">
        <f t="shared" si="89"/>
        <v>2.8432854548544619E-5</v>
      </c>
      <c r="K195" s="2">
        <f t="shared" si="90"/>
        <v>146.33329863407087</v>
      </c>
      <c r="L195" s="2">
        <f t="shared" si="99"/>
        <v>9.5747762285754217</v>
      </c>
      <c r="M195" s="2">
        <f t="shared" si="80"/>
        <v>14193.645359437975</v>
      </c>
      <c r="N195">
        <f t="shared" si="81"/>
        <v>8.8722544063066192E-2</v>
      </c>
      <c r="O195" s="2">
        <f t="shared" si="82"/>
        <v>555267</v>
      </c>
      <c r="P195" s="2">
        <v>1</v>
      </c>
      <c r="R195">
        <f t="shared" si="83"/>
        <v>1120.6972880171231</v>
      </c>
      <c r="S195">
        <f t="shared" si="84"/>
        <v>7676.6498304475299</v>
      </c>
      <c r="T195">
        <f t="shared" si="85"/>
        <v>18.921029927341348</v>
      </c>
      <c r="V195" s="2">
        <f t="shared" si="91"/>
        <v>76766.498304475303</v>
      </c>
      <c r="Y195">
        <f t="shared" si="86"/>
        <v>36340.251266193438</v>
      </c>
      <c r="Z195">
        <f t="shared" si="87"/>
        <v>83166.498304475303</v>
      </c>
    </row>
    <row r="196" spans="1:26" x14ac:dyDescent="0.2">
      <c r="A196" s="2">
        <v>183</v>
      </c>
      <c r="B196" s="2">
        <f t="shared" si="88"/>
        <v>36.471089350439527</v>
      </c>
      <c r="C196" s="2">
        <f t="shared" si="92"/>
        <v>-3.2054242451633802E-3</v>
      </c>
      <c r="D196" s="2">
        <f t="shared" si="93"/>
        <v>2534.1744264109484</v>
      </c>
      <c r="E196" s="2">
        <f t="shared" si="94"/>
        <v>0.32697476208187298</v>
      </c>
      <c r="F196" s="8">
        <f t="shared" si="95"/>
        <v>2371.0685140954101</v>
      </c>
      <c r="G196" s="2">
        <f t="shared" si="96"/>
        <v>114440.79731580774</v>
      </c>
      <c r="H196" s="2">
        <f t="shared" si="97"/>
        <v>813.92499368646236</v>
      </c>
      <c r="I196" s="2">
        <f t="shared" si="98"/>
        <v>77580.423298161768</v>
      </c>
      <c r="J196" s="2">
        <f t="shared" si="89"/>
        <v>2.539128248771348E-5</v>
      </c>
      <c r="K196" s="2">
        <f t="shared" si="90"/>
        <v>134.47353619404677</v>
      </c>
      <c r="L196" s="2">
        <f t="shared" si="99"/>
        <v>9.5723619891462803</v>
      </c>
      <c r="M196" s="2">
        <f t="shared" si="80"/>
        <v>14037.805004270049</v>
      </c>
      <c r="N196">
        <f t="shared" si="81"/>
        <v>8.153191619173121E-2</v>
      </c>
      <c r="O196" s="2">
        <f t="shared" si="82"/>
        <v>555267</v>
      </c>
      <c r="P196" s="2">
        <v>1</v>
      </c>
      <c r="R196">
        <f t="shared" si="83"/>
        <v>1144.4079731580773</v>
      </c>
      <c r="S196">
        <f t="shared" si="84"/>
        <v>7758.0423298161768</v>
      </c>
      <c r="T196">
        <f t="shared" si="85"/>
        <v>18.734273874585547</v>
      </c>
      <c r="V196" s="2">
        <f t="shared" si="91"/>
        <v>77580.423298161768</v>
      </c>
      <c r="Y196">
        <f t="shared" si="86"/>
        <v>36756.043412789819</v>
      </c>
      <c r="Z196">
        <f t="shared" si="87"/>
        <v>83980.423298161768</v>
      </c>
    </row>
    <row r="197" spans="1:26" x14ac:dyDescent="0.2">
      <c r="A197" s="2">
        <v>184</v>
      </c>
      <c r="B197" s="2">
        <f t="shared" si="88"/>
        <v>36.945666906032358</v>
      </c>
      <c r="C197" s="2">
        <f t="shared" si="92"/>
        <v>-3.1518836928186977E-3</v>
      </c>
      <c r="D197" s="2">
        <f t="shared" si="93"/>
        <v>2570.6455157613877</v>
      </c>
      <c r="E197" s="2">
        <f t="shared" si="94"/>
        <v>0.32376933783670958</v>
      </c>
      <c r="F197" s="8">
        <f t="shared" si="95"/>
        <v>2407.4895932343106</v>
      </c>
      <c r="G197" s="2">
        <f t="shared" si="96"/>
        <v>116848.28690904204</v>
      </c>
      <c r="H197" s="2">
        <f t="shared" si="97"/>
        <v>817.83109346802189</v>
      </c>
      <c r="I197" s="2">
        <f t="shared" si="98"/>
        <v>78398.254391629787</v>
      </c>
      <c r="J197" s="2">
        <f t="shared" si="89"/>
        <v>2.2662770652951259E-5</v>
      </c>
      <c r="K197" s="2">
        <f t="shared" si="90"/>
        <v>123.50273348539589</v>
      </c>
      <c r="L197" s="2">
        <f t="shared" si="99"/>
        <v>9.5699370831408164</v>
      </c>
      <c r="M197" s="2">
        <f t="shared" si="80"/>
        <v>13881.964649102127</v>
      </c>
      <c r="N197">
        <f t="shared" si="81"/>
        <v>7.4880268645949336E-2</v>
      </c>
      <c r="O197" s="2">
        <f t="shared" si="82"/>
        <v>555267</v>
      </c>
      <c r="P197" s="2">
        <v>1</v>
      </c>
      <c r="R197">
        <f t="shared" si="83"/>
        <v>1168.4828690904205</v>
      </c>
      <c r="S197">
        <f t="shared" si="84"/>
        <v>7839.8254391629789</v>
      </c>
      <c r="T197">
        <f t="shared" si="85"/>
        <v>18.550616593788774</v>
      </c>
      <c r="V197" s="2">
        <f t="shared" si="91"/>
        <v>78398.254391629787</v>
      </c>
      <c r="Y197">
        <f t="shared" si="86"/>
        <v>37174.383502807832</v>
      </c>
      <c r="Z197">
        <f t="shared" si="87"/>
        <v>84798.254391629787</v>
      </c>
    </row>
    <row r="198" spans="1:26" x14ac:dyDescent="0.2">
      <c r="A198" s="2">
        <v>185</v>
      </c>
      <c r="B198" s="2">
        <f t="shared" si="88"/>
        <v>37.429816512575158</v>
      </c>
      <c r="C198" s="2">
        <f t="shared" si="92"/>
        <v>-3.0988750781657816E-3</v>
      </c>
      <c r="D198" s="2">
        <f t="shared" si="93"/>
        <v>2607.5911826674201</v>
      </c>
      <c r="E198" s="2">
        <f t="shared" si="94"/>
        <v>0.32061745414389087</v>
      </c>
      <c r="F198" s="8">
        <f t="shared" si="95"/>
        <v>2444.3501078661352</v>
      </c>
      <c r="G198" s="2">
        <f t="shared" si="96"/>
        <v>119292.63701690818</v>
      </c>
      <c r="H198" s="2">
        <f t="shared" si="97"/>
        <v>821.78916691878339</v>
      </c>
      <c r="I198" s="2">
        <f t="shared" si="98"/>
        <v>79220.043558548568</v>
      </c>
      <c r="J198" s="2">
        <f t="shared" si="89"/>
        <v>2.0216334993643767E-5</v>
      </c>
      <c r="K198" s="2">
        <f t="shared" si="90"/>
        <v>113.36020263268365</v>
      </c>
      <c r="L198" s="2">
        <f t="shared" si="99"/>
        <v>9.5675013692802633</v>
      </c>
      <c r="M198" s="2">
        <f t="shared" si="80"/>
        <v>13726.124293934205</v>
      </c>
      <c r="N198">
        <f t="shared" si="81"/>
        <v>6.8730806091011384E-2</v>
      </c>
      <c r="O198" s="2">
        <f t="shared" si="82"/>
        <v>555267</v>
      </c>
      <c r="P198" s="2">
        <v>1</v>
      </c>
      <c r="R198">
        <f t="shared" si="83"/>
        <v>1192.9263701690818</v>
      </c>
      <c r="S198">
        <f t="shared" si="84"/>
        <v>7922.0043558548568</v>
      </c>
      <c r="T198">
        <f t="shared" si="85"/>
        <v>18.370026960674153</v>
      </c>
      <c r="V198" s="2">
        <f t="shared" si="91"/>
        <v>79220.043558548568</v>
      </c>
      <c r="Y198">
        <f t="shared" si="86"/>
        <v>37595.385904544717</v>
      </c>
      <c r="Z198">
        <f t="shared" si="87"/>
        <v>85620.043558548568</v>
      </c>
    </row>
    <row r="199" spans="1:26" x14ac:dyDescent="0.2">
      <c r="A199" s="2">
        <v>186</v>
      </c>
      <c r="B199" s="2">
        <f t="shared" si="88"/>
        <v>37.923891522943478</v>
      </c>
      <c r="C199" s="2">
        <f t="shared" si="92"/>
        <v>-3.0463871298949887E-3</v>
      </c>
      <c r="D199" s="2">
        <f t="shared" si="93"/>
        <v>2645.0209991799952</v>
      </c>
      <c r="E199" s="2">
        <f t="shared" si="94"/>
        <v>0.31751857906572506</v>
      </c>
      <c r="F199" s="8">
        <f t="shared" si="95"/>
        <v>2481.6589346488558</v>
      </c>
      <c r="G199" s="2">
        <f t="shared" si="96"/>
        <v>121774.29595155704</v>
      </c>
      <c r="H199" s="2">
        <f t="shared" si="97"/>
        <v>825.80238156705741</v>
      </c>
      <c r="I199" s="2">
        <f t="shared" si="98"/>
        <v>80045.845940115629</v>
      </c>
      <c r="J199" s="2">
        <f t="shared" si="89"/>
        <v>1.8023933376651336E-5</v>
      </c>
      <c r="K199" s="2">
        <f t="shared" si="90"/>
        <v>103.98890436044762</v>
      </c>
      <c r="L199" s="2">
        <f t="shared" si="99"/>
        <v>9.5650546971891561</v>
      </c>
      <c r="M199" s="2">
        <f t="shared" si="80"/>
        <v>13570.283938766279</v>
      </c>
      <c r="N199">
        <f t="shared" si="81"/>
        <v>6.3048945354954616E-2</v>
      </c>
      <c r="O199" s="2">
        <f t="shared" si="82"/>
        <v>555267</v>
      </c>
      <c r="P199" s="2">
        <v>1</v>
      </c>
      <c r="R199">
        <f t="shared" si="83"/>
        <v>1217.7429595155704</v>
      </c>
      <c r="S199">
        <f t="shared" si="84"/>
        <v>8004.5845940115632</v>
      </c>
      <c r="T199">
        <f t="shared" si="85"/>
        <v>18.192474497456978</v>
      </c>
      <c r="V199" s="2">
        <f t="shared" si="91"/>
        <v>80045.845940115629</v>
      </c>
      <c r="Y199">
        <f t="shared" si="86"/>
        <v>38019.170222702734</v>
      </c>
      <c r="Z199">
        <f t="shared" si="87"/>
        <v>86445.845940115629</v>
      </c>
    </row>
    <row r="200" spans="1:26" x14ac:dyDescent="0.2">
      <c r="A200" s="2">
        <v>187</v>
      </c>
      <c r="B200" s="2">
        <f t="shared" si="88"/>
        <v>38.428261269322853</v>
      </c>
      <c r="C200" s="2">
        <f t="shared" si="92"/>
        <v>-2.9944085907091704E-3</v>
      </c>
      <c r="D200" s="2">
        <f t="shared" si="93"/>
        <v>2682.9448907029387</v>
      </c>
      <c r="E200" s="2">
        <f t="shared" si="94"/>
        <v>0.31447219193583009</v>
      </c>
      <c r="F200" s="8">
        <f t="shared" si="95"/>
        <v>2519.4252852163904</v>
      </c>
      <c r="G200" s="2">
        <f t="shared" si="96"/>
        <v>124293.72123677343</v>
      </c>
      <c r="H200" s="2">
        <f t="shared" si="97"/>
        <v>829.87399912916271</v>
      </c>
      <c r="I200" s="2">
        <f t="shared" si="98"/>
        <v>80875.719939244795</v>
      </c>
      <c r="J200" s="2">
        <f t="shared" si="89"/>
        <v>1.6060198988471316E-5</v>
      </c>
      <c r="K200" s="2">
        <f t="shared" si="90"/>
        <v>95.335271252257897</v>
      </c>
      <c r="L200" s="2">
        <f t="shared" si="99"/>
        <v>9.5625969071368822</v>
      </c>
      <c r="M200" s="2">
        <f t="shared" si="80"/>
        <v>13414.443583598357</v>
      </c>
      <c r="N200">
        <f t="shared" si="81"/>
        <v>5.7802208269727665E-2</v>
      </c>
      <c r="O200" s="2">
        <f t="shared" si="82"/>
        <v>555267</v>
      </c>
      <c r="P200" s="2">
        <v>1</v>
      </c>
      <c r="R200">
        <f t="shared" si="83"/>
        <v>1242.9372123677342</v>
      </c>
      <c r="S200">
        <f t="shared" si="84"/>
        <v>8087.5719939244791</v>
      </c>
      <c r="T200">
        <f t="shared" si="85"/>
        <v>18.017929372151027</v>
      </c>
      <c r="V200" s="2">
        <f t="shared" si="91"/>
        <v>80875.719939244795</v>
      </c>
      <c r="Y200">
        <f t="shared" si="86"/>
        <v>38445.861436379142</v>
      </c>
      <c r="Z200">
        <f t="shared" si="87"/>
        <v>87275.719939244795</v>
      </c>
    </row>
    <row r="201" spans="1:26" x14ac:dyDescent="0.2">
      <c r="A201" s="2">
        <v>188</v>
      </c>
      <c r="B201" s="2">
        <f t="shared" si="88"/>
        <v>38.943312014154294</v>
      </c>
      <c r="C201" s="2">
        <f t="shared" si="92"/>
        <v>-2.9429282185850151E-3</v>
      </c>
      <c r="D201" s="2">
        <f t="shared" si="93"/>
        <v>2721.3731519722614</v>
      </c>
      <c r="E201" s="2">
        <f t="shared" si="94"/>
        <v>0.31147778334512094</v>
      </c>
      <c r="F201" s="8">
        <f t="shared" si="95"/>
        <v>2557.6587207995694</v>
      </c>
      <c r="G201" s="2">
        <f t="shared" si="96"/>
        <v>126851.37995757301</v>
      </c>
      <c r="H201" s="2">
        <f t="shared" si="97"/>
        <v>834.00737971907017</v>
      </c>
      <c r="I201" s="2">
        <f t="shared" si="98"/>
        <v>81709.727318963865</v>
      </c>
      <c r="J201" s="2">
        <f t="shared" si="89"/>
        <v>1.4302196563713561E-5</v>
      </c>
      <c r="K201" s="2">
        <f t="shared" si="90"/>
        <v>87.34903566598679</v>
      </c>
      <c r="L201" s="2">
        <f t="shared" si="99"/>
        <v>9.5601278297677581</v>
      </c>
      <c r="M201" s="2">
        <f t="shared" si="80"/>
        <v>13258.603228430435</v>
      </c>
      <c r="N201">
        <f t="shared" si="81"/>
        <v>5.2960117335436437E-2</v>
      </c>
      <c r="O201" s="2">
        <f t="shared" si="82"/>
        <v>555267</v>
      </c>
      <c r="P201" s="2">
        <v>1</v>
      </c>
      <c r="R201">
        <f t="shared" si="83"/>
        <v>1268.51379957573</v>
      </c>
      <c r="S201">
        <f t="shared" si="84"/>
        <v>8170.9727318963869</v>
      </c>
      <c r="T201">
        <f t="shared" si="85"/>
        <v>17.846362397765674</v>
      </c>
      <c r="V201" s="2">
        <f t="shared" si="91"/>
        <v>81709.727318963865</v>
      </c>
      <c r="Y201">
        <f t="shared" si="86"/>
        <v>38875.590043758188</v>
      </c>
      <c r="Z201">
        <f t="shared" si="87"/>
        <v>88109.727318963865</v>
      </c>
    </row>
    <row r="202" spans="1:26" x14ac:dyDescent="0.2">
      <c r="A202" s="2">
        <v>189</v>
      </c>
      <c r="B202" s="2">
        <f t="shared" si="88"/>
        <v>39.469447968892659</v>
      </c>
      <c r="C202" s="2">
        <f t="shared" si="92"/>
        <v>-2.8919347874113545E-3</v>
      </c>
      <c r="D202" s="2">
        <f t="shared" si="93"/>
        <v>2760.3164639864158</v>
      </c>
      <c r="E202" s="2">
        <f t="shared" si="94"/>
        <v>0.30853485512653595</v>
      </c>
      <c r="F202" s="8">
        <f t="shared" si="95"/>
        <v>2596.3691677329739</v>
      </c>
      <c r="G202" s="2">
        <f t="shared" si="96"/>
        <v>129447.74912530599</v>
      </c>
      <c r="H202" s="2">
        <f t="shared" si="97"/>
        <v>838.20598632003168</v>
      </c>
      <c r="I202" s="2">
        <f t="shared" si="98"/>
        <v>82547.933305283892</v>
      </c>
      <c r="J202" s="2">
        <f t="shared" si="89"/>
        <v>1.2729199628446197E-5</v>
      </c>
      <c r="K202" s="2">
        <f t="shared" si="90"/>
        <v>79.983062592864613</v>
      </c>
      <c r="L202" s="2">
        <f t="shared" si="99"/>
        <v>9.5576472858187937</v>
      </c>
      <c r="M202" s="2">
        <f t="shared" si="80"/>
        <v>13102.762873262509</v>
      </c>
      <c r="N202">
        <f t="shared" si="81"/>
        <v>4.8494094382029986E-2</v>
      </c>
      <c r="O202" s="2">
        <f t="shared" si="82"/>
        <v>555267</v>
      </c>
      <c r="P202" s="2">
        <v>1</v>
      </c>
      <c r="R202">
        <f t="shared" si="83"/>
        <v>1294.47749125306</v>
      </c>
      <c r="S202">
        <f t="shared" si="84"/>
        <v>8254.7933305283896</v>
      </c>
      <c r="T202">
        <f t="shared" si="85"/>
        <v>17.677745031430803</v>
      </c>
      <c r="V202" s="2">
        <f t="shared" si="91"/>
        <v>82547.933305283892</v>
      </c>
      <c r="Y202">
        <f t="shared" si="86"/>
        <v>39308.49221389099</v>
      </c>
      <c r="Z202">
        <f t="shared" si="87"/>
        <v>88947.933305283892</v>
      </c>
    </row>
    <row r="203" spans="1:26" x14ac:dyDescent="0.2">
      <c r="A203" s="2">
        <v>190</v>
      </c>
      <c r="B203" s="2">
        <f t="shared" si="88"/>
        <v>40.007092386253639</v>
      </c>
      <c r="C203" s="2">
        <f t="shared" si="92"/>
        <v>-2.8414170870223032E-3</v>
      </c>
      <c r="D203" s="2">
        <f t="shared" si="93"/>
        <v>2799.7859119553086</v>
      </c>
      <c r="E203" s="2">
        <f t="shared" si="94"/>
        <v>0.3056429203391246</v>
      </c>
      <c r="F203" s="8">
        <f t="shared" si="95"/>
        <v>2635.5669339105389</v>
      </c>
      <c r="G203" s="2">
        <f t="shared" si="96"/>
        <v>132083.31605921654</v>
      </c>
      <c r="H203" s="2">
        <f t="shared" si="97"/>
        <v>842.47338953544363</v>
      </c>
      <c r="I203" s="2">
        <f t="shared" si="98"/>
        <v>83390.406694819336</v>
      </c>
      <c r="J203" s="2">
        <f t="shared" si="89"/>
        <v>1.1322487075043519E-5</v>
      </c>
      <c r="K203" s="2">
        <f t="shared" si="90"/>
        <v>73.193187690712278</v>
      </c>
      <c r="L203" s="2">
        <f t="shared" si="99"/>
        <v>9.5551550858244205</v>
      </c>
      <c r="M203" s="2">
        <f t="shared" si="80"/>
        <v>12946.922518094587</v>
      </c>
      <c r="N203">
        <f t="shared" si="81"/>
        <v>4.4377362368113245E-2</v>
      </c>
      <c r="O203" s="2">
        <f t="shared" si="82"/>
        <v>555267</v>
      </c>
      <c r="P203" s="2">
        <v>1</v>
      </c>
      <c r="R203">
        <f t="shared" si="83"/>
        <v>1320.8331605921653</v>
      </c>
      <c r="S203">
        <f t="shared" si="84"/>
        <v>8339.0406694819339</v>
      </c>
      <c r="T203">
        <f t="shared" si="85"/>
        <v>17.51204937348507</v>
      </c>
      <c r="V203" s="2">
        <f t="shared" si="91"/>
        <v>83390.406694819336</v>
      </c>
      <c r="Y203">
        <f t="shared" si="86"/>
        <v>39744.709945974515</v>
      </c>
      <c r="Z203">
        <f t="shared" si="87"/>
        <v>89790.406694819336</v>
      </c>
    </row>
    <row r="204" spans="1:26" x14ac:dyDescent="0.2">
      <c r="A204" s="2">
        <v>191</v>
      </c>
      <c r="B204" s="2">
        <f t="shared" si="88"/>
        <v>40.556688732183481</v>
      </c>
      <c r="C204" s="2">
        <f t="shared" si="92"/>
        <v>-2.7913639226402405E-3</v>
      </c>
      <c r="D204" s="2">
        <f t="shared" si="93"/>
        <v>2839.7930043415622</v>
      </c>
      <c r="E204" s="2">
        <f t="shared" si="94"/>
        <v>0.30280150325210231</v>
      </c>
      <c r="F204" s="8">
        <f t="shared" si="95"/>
        <v>2675.2627262580831</v>
      </c>
      <c r="G204" s="2">
        <f t="shared" si="96"/>
        <v>134758.57878547462</v>
      </c>
      <c r="H204" s="2">
        <f t="shared" si="97"/>
        <v>846.81327263768139</v>
      </c>
      <c r="I204" s="2">
        <f t="shared" si="98"/>
        <v>84237.219967457015</v>
      </c>
      <c r="J204" s="2">
        <f t="shared" si="89"/>
        <v>1.0065157505952307E-5</v>
      </c>
      <c r="K204" s="2">
        <f t="shared" si="90"/>
        <v>66.938060669575989</v>
      </c>
      <c r="L204" s="2">
        <f t="shared" si="99"/>
        <v>9.5526510298073841</v>
      </c>
      <c r="M204" s="2">
        <f t="shared" si="80"/>
        <v>12791.082162926665</v>
      </c>
      <c r="N204">
        <f t="shared" si="81"/>
        <v>4.058485042494555E-2</v>
      </c>
      <c r="O204" s="2">
        <f t="shared" si="82"/>
        <v>555267</v>
      </c>
      <c r="P204" s="2">
        <v>1</v>
      </c>
      <c r="R204">
        <f t="shared" si="83"/>
        <v>1347.5857878547461</v>
      </c>
      <c r="S204">
        <f t="shared" si="84"/>
        <v>8423.7219967457022</v>
      </c>
      <c r="T204">
        <f t="shared" si="85"/>
        <v>17.349248166562333</v>
      </c>
      <c r="V204" s="2">
        <f t="shared" si="91"/>
        <v>84237.219967457015</v>
      </c>
      <c r="Y204">
        <f t="shared" si="86"/>
        <v>40184.391236568146</v>
      </c>
      <c r="Z204">
        <f t="shared" si="87"/>
        <v>90637.219967457015</v>
      </c>
    </row>
    <row r="205" spans="1:26" x14ac:dyDescent="0.2">
      <c r="A205" s="2">
        <v>192</v>
      </c>
      <c r="B205" s="2">
        <f t="shared" si="88"/>
        <v>41.11870194440543</v>
      </c>
      <c r="C205" s="2">
        <f t="shared" si="92"/>
        <v>-2.7417641137408503E-3</v>
      </c>
      <c r="D205" s="2">
        <f t="shared" si="93"/>
        <v>2880.3496930737456</v>
      </c>
      <c r="E205" s="2">
        <f t="shared" si="94"/>
        <v>0.30001013932946208</v>
      </c>
      <c r="F205" s="8">
        <f t="shared" si="95"/>
        <v>2715.4676692967209</v>
      </c>
      <c r="G205" s="2">
        <f t="shared" si="96"/>
        <v>137474.04645477133</v>
      </c>
      <c r="H205" s="2">
        <f t="shared" si="97"/>
        <v>851.22943693527839</v>
      </c>
      <c r="I205" s="2">
        <f t="shared" si="98"/>
        <v>85088.44940439229</v>
      </c>
      <c r="J205" s="2">
        <f t="shared" si="89"/>
        <v>8.9419598974906995E-6</v>
      </c>
      <c r="K205" s="2">
        <f t="shared" si="90"/>
        <v>61.178994160615957</v>
      </c>
      <c r="L205" s="2">
        <f t="shared" si="99"/>
        <v>9.5501349069548915</v>
      </c>
      <c r="M205" s="2">
        <f t="shared" si="80"/>
        <v>12635.241807758743</v>
      </c>
      <c r="N205">
        <f t="shared" si="81"/>
        <v>3.7093102224960879E-2</v>
      </c>
      <c r="O205" s="2">
        <f t="shared" si="82"/>
        <v>555267</v>
      </c>
      <c r="P205" s="2">
        <v>1</v>
      </c>
      <c r="R205">
        <f t="shared" si="83"/>
        <v>1374.7404645477134</v>
      </c>
      <c r="S205">
        <f t="shared" si="84"/>
        <v>8508.8449404392286</v>
      </c>
      <c r="T205">
        <f t="shared" si="85"/>
        <v>17.189314794709965</v>
      </c>
      <c r="V205" s="2">
        <f t="shared" si="91"/>
        <v>85088.44940439229</v>
      </c>
      <c r="Y205">
        <f t="shared" si="86"/>
        <v>40627.690255216941</v>
      </c>
      <c r="Z205">
        <f t="shared" si="87"/>
        <v>91488.44940439229</v>
      </c>
    </row>
    <row r="206" spans="1:26" x14ac:dyDescent="0.2">
      <c r="A206" s="2">
        <v>193</v>
      </c>
      <c r="B206" s="2">
        <f t="shared" si="88"/>
        <v>41.693619785086256</v>
      </c>
      <c r="C206" s="2">
        <f t="shared" si="92"/>
        <v>-2.6926064923495476E-3</v>
      </c>
      <c r="D206" s="2">
        <f t="shared" si="93"/>
        <v>2921.4683950181511</v>
      </c>
      <c r="E206" s="2">
        <f t="shared" si="94"/>
        <v>0.29726837521572125</v>
      </c>
      <c r="F206" s="8">
        <f t="shared" si="95"/>
        <v>2756.1933248774603</v>
      </c>
      <c r="G206" s="2">
        <f t="shared" si="96"/>
        <v>140230.23977964881</v>
      </c>
      <c r="H206" s="2">
        <f t="shared" si="97"/>
        <v>855.72580748060125</v>
      </c>
      <c r="I206" s="2">
        <f t="shared" si="98"/>
        <v>85944.175211872891</v>
      </c>
      <c r="J206" s="2">
        <f t="shared" si="89"/>
        <v>7.9391392416374155E-6</v>
      </c>
      <c r="K206" s="2">
        <f t="shared" si="90"/>
        <v>55.879818156311067</v>
      </c>
      <c r="L206" s="2">
        <f t="shared" si="99"/>
        <v>9.5476064952790782</v>
      </c>
      <c r="M206" s="2">
        <f t="shared" ref="M206:M224" si="100">$B$1-($B$7*A206)</f>
        <v>12479.401452590817</v>
      </c>
      <c r="N206">
        <f t="shared" ref="N206:N239" si="101">(0.5*J206*(D206)^2)/1000</f>
        <v>3.3880187728202463E-2</v>
      </c>
      <c r="O206" s="2">
        <f t="shared" ref="O206:O224" si="102">$B$5*P206</f>
        <v>555267</v>
      </c>
      <c r="P206" s="2">
        <v>1</v>
      </c>
      <c r="R206">
        <f t="shared" ref="R206:R239" si="103">G206/100</f>
        <v>1402.3023977964881</v>
      </c>
      <c r="S206">
        <f t="shared" ref="S206:S239" si="104">I206/10</f>
        <v>8594.4175211872898</v>
      </c>
      <c r="T206">
        <f t="shared" ref="T206:T239" si="105">E206*180/PI()</f>
        <v>17.03222328257219</v>
      </c>
      <c r="V206" s="2">
        <f t="shared" si="91"/>
        <v>85944.175211872891</v>
      </c>
      <c r="Y206">
        <f t="shared" ref="Y206:Y269" si="106">(G206*COS((PI()/2) - E206))</f>
        <v>41074.767528981873</v>
      </c>
      <c r="Z206">
        <f t="shared" ref="Z206:Z269" si="107">6400+(I206)</f>
        <v>92344.175211872891</v>
      </c>
    </row>
    <row r="207" spans="1:26" x14ac:dyDescent="0.2">
      <c r="A207" s="2">
        <v>194</v>
      </c>
      <c r="B207" s="2">
        <f t="shared" ref="B207:B239" si="108">((O206-K207)/M207)-(L207*SIN(E207))</f>
        <v>42.281954295933566</v>
      </c>
      <c r="C207" s="2">
        <f t="shared" si="92"/>
        <v>-2.64387990077576E-3</v>
      </c>
      <c r="D207" s="2">
        <f t="shared" si="93"/>
        <v>2963.1620148032375</v>
      </c>
      <c r="E207" s="2">
        <f t="shared" si="94"/>
        <v>0.29457576872337171</v>
      </c>
      <c r="F207" s="8">
        <f t="shared" si="95"/>
        <v>2797.4517131743105</v>
      </c>
      <c r="G207" s="2">
        <f t="shared" si="96"/>
        <v>143027.69149282313</v>
      </c>
      <c r="H207" s="2">
        <f t="shared" si="97"/>
        <v>860.30643914214761</v>
      </c>
      <c r="I207" s="2">
        <f t="shared" si="98"/>
        <v>86804.481651015041</v>
      </c>
      <c r="J207" s="2">
        <f t="shared" ref="J207:J239" si="109">$J$13*EXP(-I207/7194)</f>
        <v>7.0442959240011982E-6</v>
      </c>
      <c r="K207" s="2">
        <f t="shared" ref="K207:K239" si="110">0.7*(PI()*(0.75))*0.5*J207*(D207)^2</f>
        <v>51.006740071571926</v>
      </c>
      <c r="L207" s="2">
        <f t="shared" si="99"/>
        <v>9.5450655612608077</v>
      </c>
      <c r="M207" s="2">
        <f t="shared" si="100"/>
        <v>12323.561097422895</v>
      </c>
      <c r="N207">
        <f t="shared" si="101"/>
        <v>3.0925618336739534E-2</v>
      </c>
      <c r="O207" s="2">
        <f t="shared" si="102"/>
        <v>555267</v>
      </c>
      <c r="P207" s="2">
        <v>1</v>
      </c>
      <c r="R207">
        <f t="shared" si="103"/>
        <v>1430.2769149282312</v>
      </c>
      <c r="S207">
        <f t="shared" si="104"/>
        <v>8680.4481651015049</v>
      </c>
      <c r="T207">
        <f t="shared" si="105"/>
        <v>16.87794829467104</v>
      </c>
      <c r="V207" s="2">
        <f t="shared" si="91"/>
        <v>86804.481651015041</v>
      </c>
      <c r="Y207">
        <f t="shared" si="106"/>
        <v>41525.790136413802</v>
      </c>
      <c r="Z207">
        <f t="shared" si="107"/>
        <v>93204.481651015041</v>
      </c>
    </row>
    <row r="208" spans="1:26" x14ac:dyDescent="0.2">
      <c r="A208" s="2">
        <v>195</v>
      </c>
      <c r="B208" s="2">
        <f t="shared" si="108"/>
        <v>42.884243364889997</v>
      </c>
      <c r="C208" s="2">
        <f t="shared" si="92"/>
        <v>-2.5955731887885485E-3</v>
      </c>
      <c r="D208" s="2">
        <f t="shared" si="93"/>
        <v>3005.4439690991712</v>
      </c>
      <c r="E208" s="2">
        <f t="shared" si="94"/>
        <v>0.29193188882259596</v>
      </c>
      <c r="F208" s="8">
        <f t="shared" si="95"/>
        <v>2839.2553350309363</v>
      </c>
      <c r="G208" s="2">
        <f t="shared" si="96"/>
        <v>145866.94682785406</v>
      </c>
      <c r="H208" s="2">
        <f t="shared" si="97"/>
        <v>864.97552306774901</v>
      </c>
      <c r="I208" s="2">
        <f t="shared" si="98"/>
        <v>87669.457174082796</v>
      </c>
      <c r="J208" s="2">
        <f t="shared" si="109"/>
        <v>6.2462576900442849E-6</v>
      </c>
      <c r="K208" s="2">
        <f t="shared" si="110"/>
        <v>46.528210440980104</v>
      </c>
      <c r="L208" s="2">
        <f t="shared" si="99"/>
        <v>9.5425118594757343</v>
      </c>
      <c r="M208" s="2">
        <f t="shared" si="100"/>
        <v>12167.720742254973</v>
      </c>
      <c r="N208">
        <f t="shared" si="101"/>
        <v>2.8210265466293023E-2</v>
      </c>
      <c r="O208" s="2">
        <f t="shared" si="102"/>
        <v>555267</v>
      </c>
      <c r="P208" s="2">
        <v>1</v>
      </c>
      <c r="R208">
        <f t="shared" si="103"/>
        <v>1458.6694682785405</v>
      </c>
      <c r="S208">
        <f t="shared" si="104"/>
        <v>8766.94571740828</v>
      </c>
      <c r="T208">
        <f t="shared" si="105"/>
        <v>16.726465134817118</v>
      </c>
      <c r="V208" s="2">
        <f t="shared" ref="V208:V224" si="111">H208+I207</f>
        <v>87669.457174082796</v>
      </c>
      <c r="Y208">
        <f t="shared" si="106"/>
        <v>41980.931911545907</v>
      </c>
      <c r="Z208">
        <f t="shared" si="107"/>
        <v>94069.457174082796</v>
      </c>
    </row>
    <row r="209" spans="1:26" x14ac:dyDescent="0.2">
      <c r="A209" s="2">
        <v>196</v>
      </c>
      <c r="B209" s="2">
        <f t="shared" si="108"/>
        <v>43.501052414545285</v>
      </c>
      <c r="C209" s="2">
        <f t="shared" si="92"/>
        <v>-2.5476752102340334E-3</v>
      </c>
      <c r="D209" s="2">
        <f t="shared" si="93"/>
        <v>3048.3282124640614</v>
      </c>
      <c r="E209" s="2">
        <f t="shared" si="94"/>
        <v>0.28933631563380741</v>
      </c>
      <c r="F209" s="8">
        <f t="shared" si="95"/>
        <v>2881.6171957644078</v>
      </c>
      <c r="G209" s="2">
        <f t="shared" si="96"/>
        <v>148748.56402361847</v>
      </c>
      <c r="H209" s="2">
        <f t="shared" si="97"/>
        <v>869.73739356733392</v>
      </c>
      <c r="I209" s="2">
        <f t="shared" si="98"/>
        <v>88539.194567650135</v>
      </c>
      <c r="J209" s="2">
        <f t="shared" si="109"/>
        <v>5.5349631394368417E-6</v>
      </c>
      <c r="K209" s="2">
        <f t="shared" si="110"/>
        <v>42.414794236834226</v>
      </c>
      <c r="L209" s="2">
        <f t="shared" si="99"/>
        <v>9.5399451322014226</v>
      </c>
      <c r="M209" s="2">
        <f t="shared" si="100"/>
        <v>12011.880387087047</v>
      </c>
      <c r="N209">
        <f t="shared" si="101"/>
        <v>2.5716282525782098E-2</v>
      </c>
      <c r="O209" s="2">
        <f t="shared" si="102"/>
        <v>555267</v>
      </c>
      <c r="P209" s="2">
        <v>1</v>
      </c>
      <c r="R209">
        <f t="shared" si="103"/>
        <v>1487.4856402361847</v>
      </c>
      <c r="S209">
        <f t="shared" si="104"/>
        <v>8853.9194567650138</v>
      </c>
      <c r="T209">
        <f t="shared" si="105"/>
        <v>16.577749745682222</v>
      </c>
      <c r="V209" s="2">
        <f t="shared" si="111"/>
        <v>88539.194567650135</v>
      </c>
      <c r="Y209">
        <f t="shared" si="106"/>
        <v>42440.373658520824</v>
      </c>
      <c r="Z209">
        <f t="shared" si="107"/>
        <v>94939.194567650135</v>
      </c>
    </row>
    <row r="210" spans="1:26" x14ac:dyDescent="0.2">
      <c r="A210" s="2">
        <v>197</v>
      </c>
      <c r="B210" s="2">
        <f t="shared" si="108"/>
        <v>44.132976223454548</v>
      </c>
      <c r="C210" s="2">
        <f t="shared" si="92"/>
        <v>-2.5001748190919765E-3</v>
      </c>
      <c r="D210" s="2">
        <f t="shared" si="93"/>
        <v>3091.8292648786069</v>
      </c>
      <c r="E210" s="2">
        <f t="shared" si="94"/>
        <v>0.28678864042357338</v>
      </c>
      <c r="F210" s="8">
        <f t="shared" si="95"/>
        <v>2924.5508305389976</v>
      </c>
      <c r="G210" s="2">
        <f t="shared" si="96"/>
        <v>151673.11485415747</v>
      </c>
      <c r="H210" s="2">
        <f t="shared" si="97"/>
        <v>874.59653544654043</v>
      </c>
      <c r="I210" s="2">
        <f t="shared" si="98"/>
        <v>89413.791103096679</v>
      </c>
      <c r="J210" s="2">
        <f t="shared" si="109"/>
        <v>4.9013557704177563E-6</v>
      </c>
      <c r="K210" s="2">
        <f t="shared" si="110"/>
        <v>38.639047765741459</v>
      </c>
      <c r="L210" s="2">
        <f t="shared" si="99"/>
        <v>9.5373651090043712</v>
      </c>
      <c r="M210" s="2">
        <f t="shared" si="100"/>
        <v>11856.040031919125</v>
      </c>
      <c r="N210">
        <f t="shared" si="101"/>
        <v>2.342703027916803E-2</v>
      </c>
      <c r="O210" s="2">
        <f t="shared" si="102"/>
        <v>555267</v>
      </c>
      <c r="P210" s="2">
        <v>1</v>
      </c>
      <c r="R210">
        <f t="shared" si="103"/>
        <v>1516.7311485415746</v>
      </c>
      <c r="S210">
        <f t="shared" si="104"/>
        <v>8941.3791103096682</v>
      </c>
      <c r="T210">
        <f t="shared" si="105"/>
        <v>16.431778708565709</v>
      </c>
      <c r="V210" s="2">
        <f t="shared" si="111"/>
        <v>89413.791103096679</v>
      </c>
      <c r="Y210">
        <f t="shared" si="106"/>
        <v>42904.303377515134</v>
      </c>
      <c r="Z210">
        <f t="shared" si="107"/>
        <v>95813.791103096679</v>
      </c>
    </row>
    <row r="211" spans="1:26" x14ac:dyDescent="0.2">
      <c r="A211" s="2">
        <v>198</v>
      </c>
      <c r="B211" s="2">
        <f t="shared" si="108"/>
        <v>44.780640892746767</v>
      </c>
      <c r="C211" s="2">
        <f t="shared" si="92"/>
        <v>-2.4530608649655688E-3</v>
      </c>
      <c r="D211" s="2">
        <f t="shared" si="93"/>
        <v>3135.9622411020614</v>
      </c>
      <c r="E211" s="2">
        <f t="shared" si="94"/>
        <v>0.2842884656044814</v>
      </c>
      <c r="F211" s="8">
        <f t="shared" si="95"/>
        <v>2968.0703314333882</v>
      </c>
      <c r="G211" s="2">
        <f t="shared" si="96"/>
        <v>154641.18518559085</v>
      </c>
      <c r="H211" s="2">
        <f t="shared" si="97"/>
        <v>879.55759182534166</v>
      </c>
      <c r="I211" s="2">
        <f t="shared" si="98"/>
        <v>90293.348694922024</v>
      </c>
      <c r="J211" s="2">
        <f t="shared" si="109"/>
        <v>4.3372876725081826E-6</v>
      </c>
      <c r="K211" s="2">
        <f t="shared" si="110"/>
        <v>35.175401077897554</v>
      </c>
      <c r="L211" s="2">
        <f t="shared" si="99"/>
        <v>9.5347715063055052</v>
      </c>
      <c r="M211" s="2">
        <f t="shared" si="100"/>
        <v>11700.199676751203</v>
      </c>
      <c r="N211">
        <f t="shared" si="101"/>
        <v>2.1327005549666208E-2</v>
      </c>
      <c r="O211" s="2">
        <f t="shared" si="102"/>
        <v>555267</v>
      </c>
      <c r="P211" s="2">
        <v>1</v>
      </c>
      <c r="R211">
        <f t="shared" si="103"/>
        <v>1546.4118518559085</v>
      </c>
      <c r="S211">
        <f t="shared" si="104"/>
        <v>9029.3348694922024</v>
      </c>
      <c r="T211">
        <f t="shared" si="105"/>
        <v>16.288529243386854</v>
      </c>
      <c r="V211" s="2">
        <f t="shared" si="111"/>
        <v>90293.348694922024</v>
      </c>
      <c r="Y211">
        <f t="shared" si="106"/>
        <v>43372.91650267299</v>
      </c>
      <c r="Z211">
        <f t="shared" si="107"/>
        <v>96693.348694922024</v>
      </c>
    </row>
    <row r="212" spans="1:26" x14ac:dyDescent="0.2">
      <c r="A212" s="2">
        <v>199</v>
      </c>
      <c r="B212" s="2">
        <f t="shared" si="108"/>
        <v>45.444705971746984</v>
      </c>
      <c r="C212" s="2">
        <f t="shared" si="92"/>
        <v>-2.4063221879951457E-3</v>
      </c>
      <c r="D212" s="2">
        <f t="shared" si="93"/>
        <v>3180.7428819948082</v>
      </c>
      <c r="E212" s="2">
        <f t="shared" si="94"/>
        <v>0.28183540473951585</v>
      </c>
      <c r="F212" s="8">
        <f t="shared" si="95"/>
        <v>3012.1903763361474</v>
      </c>
      <c r="G212" s="2">
        <f t="shared" si="96"/>
        <v>157653.37556192698</v>
      </c>
      <c r="H212" s="2">
        <f t="shared" si="97"/>
        <v>884.62537247906153</v>
      </c>
      <c r="I212" s="2">
        <f t="shared" si="98"/>
        <v>91177.974067401083</v>
      </c>
      <c r="J212" s="2">
        <f t="shared" si="109"/>
        <v>3.8354320371462155E-6</v>
      </c>
      <c r="K212" s="2">
        <f t="shared" si="110"/>
        <v>32.000045802712592</v>
      </c>
      <c r="L212" s="2">
        <f t="shared" si="99"/>
        <v>9.5321640269227945</v>
      </c>
      <c r="M212" s="2">
        <f t="shared" si="100"/>
        <v>11544.359321583277</v>
      </c>
      <c r="N212">
        <f t="shared" si="101"/>
        <v>1.9401773213976251E-2</v>
      </c>
      <c r="O212" s="2">
        <f t="shared" si="102"/>
        <v>555267</v>
      </c>
      <c r="P212" s="2">
        <v>1</v>
      </c>
      <c r="R212">
        <f t="shared" si="103"/>
        <v>1576.5337556192699</v>
      </c>
      <c r="S212">
        <f t="shared" si="104"/>
        <v>9117.7974067401083</v>
      </c>
      <c r="T212">
        <f t="shared" si="105"/>
        <v>16.147979208935617</v>
      </c>
      <c r="V212" s="2">
        <f t="shared" si="111"/>
        <v>91177.974067401083</v>
      </c>
      <c r="Y212">
        <f t="shared" si="106"/>
        <v>43846.416152815793</v>
      </c>
      <c r="Z212">
        <f t="shared" si="107"/>
        <v>97577.974067401083</v>
      </c>
    </row>
    <row r="213" spans="1:26" x14ac:dyDescent="0.2">
      <c r="A213" s="2">
        <v>200</v>
      </c>
      <c r="B213" s="2">
        <f t="shared" si="108"/>
        <v>46.125866757840683</v>
      </c>
      <c r="C213" s="2">
        <f t="shared" si="92"/>
        <v>-2.3599476131829101E-3</v>
      </c>
      <c r="D213" s="2">
        <f t="shared" si="93"/>
        <v>3226.1875879665549</v>
      </c>
      <c r="E213" s="2">
        <f t="shared" si="94"/>
        <v>0.27942908255152071</v>
      </c>
      <c r="F213" s="8">
        <f t="shared" si="95"/>
        <v>3056.9262598171031</v>
      </c>
      <c r="G213" s="2">
        <f t="shared" si="96"/>
        <v>160710.30182174407</v>
      </c>
      <c r="H213" s="2">
        <f t="shared" si="97"/>
        <v>889.80486274267787</v>
      </c>
      <c r="I213" s="2">
        <f t="shared" si="98"/>
        <v>92067.778930143759</v>
      </c>
      <c r="J213" s="2">
        <f t="shared" si="109"/>
        <v>3.3892037220596593E-6</v>
      </c>
      <c r="K213" s="2">
        <f t="shared" si="110"/>
        <v>29.090828306825497</v>
      </c>
      <c r="L213" s="2">
        <f t="shared" si="99"/>
        <v>9.5295423595894011</v>
      </c>
      <c r="M213" s="2">
        <f t="shared" si="100"/>
        <v>11388.518966415355</v>
      </c>
      <c r="N213">
        <f t="shared" si="101"/>
        <v>1.7637901423500607E-2</v>
      </c>
      <c r="O213" s="2">
        <f t="shared" si="102"/>
        <v>555267</v>
      </c>
      <c r="P213" s="2">
        <v>1</v>
      </c>
      <c r="R213">
        <f t="shared" si="103"/>
        <v>1607.1030182174406</v>
      </c>
      <c r="S213">
        <f t="shared" si="104"/>
        <v>9206.7778930143759</v>
      </c>
      <c r="T213">
        <f t="shared" si="105"/>
        <v>16.010107103414811</v>
      </c>
      <c r="V213" s="2">
        <f t="shared" si="111"/>
        <v>92067.778930143759</v>
      </c>
      <c r="Y213">
        <f t="shared" si="106"/>
        <v>44325.013395753529</v>
      </c>
      <c r="Z213">
        <f t="shared" si="107"/>
        <v>98467.778930143759</v>
      </c>
    </row>
    <row r="214" spans="1:26" x14ac:dyDescent="0.2">
      <c r="A214" s="2">
        <v>201</v>
      </c>
      <c r="B214" s="2">
        <f t="shared" si="108"/>
        <v>46.824856787501858</v>
      </c>
      <c r="C214" s="2">
        <f t="shared" si="92"/>
        <v>-2.3139259441119862E-3</v>
      </c>
      <c r="D214" s="2">
        <f t="shared" si="93"/>
        <v>3272.3134547243958</v>
      </c>
      <c r="E214" s="2">
        <f t="shared" si="94"/>
        <v>0.27706913493833779</v>
      </c>
      <c r="F214" s="8">
        <f t="shared" si="95"/>
        <v>3102.2939261363836</v>
      </c>
      <c r="G214" s="2">
        <f t="shared" si="96"/>
        <v>163812.59574788046</v>
      </c>
      <c r="H214" s="2">
        <f t="shared" si="97"/>
        <v>895.10123302323916</v>
      </c>
      <c r="I214" s="2">
        <f t="shared" si="98"/>
        <v>92962.880163166992</v>
      </c>
      <c r="J214" s="2">
        <f t="shared" si="109"/>
        <v>2.9926871667409137E-6</v>
      </c>
      <c r="K214" s="2">
        <f t="shared" si="110"/>
        <v>26.427148055582119</v>
      </c>
      <c r="L214" s="2">
        <f t="shared" si="99"/>
        <v>9.5269061784456905</v>
      </c>
      <c r="M214" s="2">
        <f t="shared" si="100"/>
        <v>11232.678611247433</v>
      </c>
      <c r="N214">
        <f t="shared" si="101"/>
        <v>1.6022899980446724E-2</v>
      </c>
      <c r="O214" s="2">
        <f t="shared" si="102"/>
        <v>555267</v>
      </c>
      <c r="P214" s="2">
        <v>1</v>
      </c>
      <c r="R214">
        <f t="shared" si="103"/>
        <v>1638.1259574788046</v>
      </c>
      <c r="S214">
        <f t="shared" si="104"/>
        <v>9296.2880163166992</v>
      </c>
      <c r="T214">
        <f t="shared" si="105"/>
        <v>15.874892065307456</v>
      </c>
      <c r="V214" s="2">
        <f t="shared" si="111"/>
        <v>92962.880163166992</v>
      </c>
      <c r="Y214">
        <f t="shared" si="106"/>
        <v>44808.927527089487</v>
      </c>
      <c r="Z214">
        <f t="shared" si="107"/>
        <v>99362.880163166992</v>
      </c>
    </row>
    <row r="215" spans="1:26" x14ac:dyDescent="0.2">
      <c r="A215" s="2">
        <v>202</v>
      </c>
      <c r="B215" s="2">
        <f t="shared" si="108"/>
        <v>47.542450537311524</v>
      </c>
      <c r="C215" s="2">
        <f t="shared" si="92"/>
        <v>-2.2682459560390972E-3</v>
      </c>
      <c r="D215" s="2">
        <f t="shared" si="93"/>
        <v>3319.1383115118979</v>
      </c>
      <c r="E215" s="2">
        <f t="shared" si="94"/>
        <v>0.27475520899422579</v>
      </c>
      <c r="F215" s="8">
        <f t="shared" si="95"/>
        <v>3148.3100045686647</v>
      </c>
      <c r="G215" s="2">
        <f t="shared" si="96"/>
        <v>166960.90575244912</v>
      </c>
      <c r="H215" s="2">
        <f t="shared" si="97"/>
        <v>900.51984896955753</v>
      </c>
      <c r="I215" s="2">
        <f t="shared" si="98"/>
        <v>93863.400012136553</v>
      </c>
      <c r="J215" s="2">
        <f t="shared" si="109"/>
        <v>2.6405710134999349E-6</v>
      </c>
      <c r="K215" s="2">
        <f t="shared" si="110"/>
        <v>23.989861046508342</v>
      </c>
      <c r="L215" s="2">
        <f t="shared" si="99"/>
        <v>9.5242551425033088</v>
      </c>
      <c r="M215" s="2">
        <f t="shared" si="100"/>
        <v>11076.838256079507</v>
      </c>
      <c r="N215">
        <f t="shared" si="101"/>
        <v>1.45451617891029E-2</v>
      </c>
      <c r="O215" s="2">
        <f t="shared" si="102"/>
        <v>555267</v>
      </c>
      <c r="P215" s="2">
        <v>1</v>
      </c>
      <c r="R215">
        <f t="shared" si="103"/>
        <v>1669.6090575244912</v>
      </c>
      <c r="S215">
        <f t="shared" si="104"/>
        <v>9386.3400012136553</v>
      </c>
      <c r="T215">
        <f t="shared" si="105"/>
        <v>15.742313874604013</v>
      </c>
      <c r="V215" s="2">
        <f t="shared" si="111"/>
        <v>93863.400012136553</v>
      </c>
      <c r="Y215">
        <f t="shared" si="106"/>
        <v>45298.386364480699</v>
      </c>
      <c r="Z215">
        <f t="shared" si="107"/>
        <v>100263.40001213655</v>
      </c>
    </row>
    <row r="216" spans="1:26" x14ac:dyDescent="0.2">
      <c r="A216" s="2">
        <v>203</v>
      </c>
      <c r="B216" s="2">
        <f t="shared" si="108"/>
        <v>48.279466355945779</v>
      </c>
      <c r="C216" s="2">
        <f t="shared" si="92"/>
        <v>-2.2228963883358299E-3</v>
      </c>
      <c r="D216" s="2">
        <f t="shared" si="93"/>
        <v>3366.6807620492095</v>
      </c>
      <c r="E216" s="2">
        <f t="shared" si="94"/>
        <v>0.2724869630381867</v>
      </c>
      <c r="F216" s="8">
        <f t="shared" si="95"/>
        <v>3194.9918472376407</v>
      </c>
      <c r="G216" s="2">
        <f t="shared" si="96"/>
        <v>170155.89759968675</v>
      </c>
      <c r="H216" s="2">
        <f t="shared" si="97"/>
        <v>906.06628235317567</v>
      </c>
      <c r="I216" s="2">
        <f t="shared" si="98"/>
        <v>94769.466294489728</v>
      </c>
      <c r="J216" s="2">
        <f t="shared" si="109"/>
        <v>2.328088841507769E-6</v>
      </c>
      <c r="K216" s="2">
        <f t="shared" si="110"/>
        <v>21.761188172984859</v>
      </c>
      <c r="L216" s="2">
        <f t="shared" si="99"/>
        <v>9.5215888950793595</v>
      </c>
      <c r="M216" s="2">
        <f t="shared" si="100"/>
        <v>10920.997900911585</v>
      </c>
      <c r="N216">
        <f t="shared" si="101"/>
        <v>1.3193907296317834E-2</v>
      </c>
      <c r="O216" s="2">
        <f t="shared" si="102"/>
        <v>555267</v>
      </c>
      <c r="P216" s="2">
        <v>1</v>
      </c>
      <c r="R216">
        <f t="shared" si="103"/>
        <v>1701.5589759968675</v>
      </c>
      <c r="S216">
        <f t="shared" si="104"/>
        <v>9476.9466294489721</v>
      </c>
      <c r="T216">
        <f t="shared" si="105"/>
        <v>15.61235295442536</v>
      </c>
      <c r="V216" s="2">
        <f t="shared" si="111"/>
        <v>94769.466294489728</v>
      </c>
      <c r="Y216">
        <f t="shared" si="106"/>
        <v>45793.626558395503</v>
      </c>
      <c r="Z216">
        <f t="shared" si="107"/>
        <v>101169.46629448973</v>
      </c>
    </row>
    <row r="217" spans="1:26" x14ac:dyDescent="0.2">
      <c r="A217" s="2">
        <v>204</v>
      </c>
      <c r="B217" s="2">
        <f t="shared" si="108"/>
        <v>49.036769650542993</v>
      </c>
      <c r="C217" s="2">
        <f t="shared" si="92"/>
        <v>-2.1778659362488143E-3</v>
      </c>
      <c r="D217" s="2">
        <f t="shared" si="93"/>
        <v>3414.9602284051552</v>
      </c>
      <c r="E217" s="2">
        <f t="shared" si="94"/>
        <v>0.27026406664985086</v>
      </c>
      <c r="F217" s="8">
        <f t="shared" si="95"/>
        <v>3242.3575696752591</v>
      </c>
      <c r="G217" s="2">
        <f t="shared" si="96"/>
        <v>173398.255169362</v>
      </c>
      <c r="H217" s="2">
        <f t="shared" si="97"/>
        <v>911.74632271997439</v>
      </c>
      <c r="I217" s="2">
        <f t="shared" si="98"/>
        <v>95681.212617209705</v>
      </c>
      <c r="J217" s="2">
        <f t="shared" si="109"/>
        <v>2.0509654702551592E-6</v>
      </c>
      <c r="K217" s="2">
        <f t="shared" si="110"/>
        <v>19.724628368015516</v>
      </c>
      <c r="L217" s="2">
        <f t="shared" si="99"/>
        <v>9.518907063198613</v>
      </c>
      <c r="M217" s="2">
        <f t="shared" si="100"/>
        <v>10765.157545743663</v>
      </c>
      <c r="N217">
        <f t="shared" si="101"/>
        <v>1.1959131830172548E-2</v>
      </c>
      <c r="O217" s="2">
        <f t="shared" si="102"/>
        <v>555267</v>
      </c>
      <c r="P217" s="2">
        <v>1</v>
      </c>
      <c r="R217">
        <f t="shared" si="103"/>
        <v>1733.9825516936201</v>
      </c>
      <c r="S217">
        <f t="shared" si="104"/>
        <v>9568.1212617209712</v>
      </c>
      <c r="T217">
        <f t="shared" si="105"/>
        <v>15.484990373078841</v>
      </c>
      <c r="V217" s="2">
        <f t="shared" si="111"/>
        <v>95681.212617209705</v>
      </c>
      <c r="Y217">
        <f t="shared" si="106"/>
        <v>46294.893920494869</v>
      </c>
      <c r="Z217">
        <f t="shared" si="107"/>
        <v>102081.21261720971</v>
      </c>
    </row>
    <row r="218" spans="1:26" x14ac:dyDescent="0.2">
      <c r="A218" s="2">
        <v>205</v>
      </c>
      <c r="B218" s="2">
        <f t="shared" si="108"/>
        <v>49.81527635361212</v>
      </c>
      <c r="C218" s="2">
        <f t="shared" si="92"/>
        <v>-2.1331432419440712E-3</v>
      </c>
      <c r="D218" s="2">
        <f t="shared" si="93"/>
        <v>3463.9969980556984</v>
      </c>
      <c r="E218" s="2">
        <f t="shared" si="94"/>
        <v>0.26808620071360206</v>
      </c>
      <c r="F218" s="8">
        <f t="shared" si="95"/>
        <v>3290.4260943420577</v>
      </c>
      <c r="G218" s="2">
        <f t="shared" si="96"/>
        <v>176688.68126370406</v>
      </c>
      <c r="H218" s="2">
        <f t="shared" si="97"/>
        <v>917.56598987777284</v>
      </c>
      <c r="I218" s="2">
        <f t="shared" si="98"/>
        <v>96598.778607087472</v>
      </c>
      <c r="J218" s="2">
        <f t="shared" si="109"/>
        <v>1.8053683341823747E-6</v>
      </c>
      <c r="K218" s="2">
        <f t="shared" si="110"/>
        <v>17.864876371496123</v>
      </c>
      <c r="L218" s="2">
        <f t="shared" si="99"/>
        <v>9.516209256961357</v>
      </c>
      <c r="M218" s="2">
        <f t="shared" si="100"/>
        <v>10609.317190575741</v>
      </c>
      <c r="N218">
        <f t="shared" si="101"/>
        <v>1.0831555741901758E-2</v>
      </c>
      <c r="O218" s="2">
        <f t="shared" si="102"/>
        <v>555267</v>
      </c>
      <c r="P218" s="2">
        <v>1</v>
      </c>
      <c r="R218">
        <f t="shared" si="103"/>
        <v>1766.8868126370405</v>
      </c>
      <c r="S218">
        <f t="shared" si="104"/>
        <v>9659.8778607087479</v>
      </c>
      <c r="T218">
        <f t="shared" si="105"/>
        <v>15.360207846586476</v>
      </c>
      <c r="V218" s="2">
        <f t="shared" si="111"/>
        <v>96598.778607087472</v>
      </c>
      <c r="Y218">
        <f t="shared" si="106"/>
        <v>46802.443770859783</v>
      </c>
      <c r="Z218">
        <f t="shared" si="107"/>
        <v>102998.77860708747</v>
      </c>
    </row>
    <row r="219" spans="1:26" x14ac:dyDescent="0.2">
      <c r="A219" s="2">
        <v>206</v>
      </c>
      <c r="B219" s="2">
        <f t="shared" si="108"/>
        <v>50.615956699765569</v>
      </c>
      <c r="C219" s="2">
        <f t="shared" si="92"/>
        <v>-2.0887168847953494E-3</v>
      </c>
      <c r="D219" s="2">
        <f t="shared" si="93"/>
        <v>3513.8122744093107</v>
      </c>
      <c r="E219" s="2">
        <f t="shared" si="94"/>
        <v>0.26595305747165798</v>
      </c>
      <c r="F219" s="8">
        <f t="shared" si="95"/>
        <v>3339.2171973692493</v>
      </c>
      <c r="G219" s="2">
        <f t="shared" si="96"/>
        <v>180027.89846107332</v>
      </c>
      <c r="H219" s="2">
        <f t="shared" si="97"/>
        <v>923.53154729195842</v>
      </c>
      <c r="I219" s="2">
        <f t="shared" si="98"/>
        <v>97522.310154379433</v>
      </c>
      <c r="J219" s="2">
        <f t="shared" si="109"/>
        <v>1.5878634721203775E-6</v>
      </c>
      <c r="K219" s="2">
        <f t="shared" si="110"/>
        <v>16.167744959547512</v>
      </c>
      <c r="L219" s="2">
        <f t="shared" si="99"/>
        <v>9.5134950688745104</v>
      </c>
      <c r="M219" s="2">
        <f t="shared" si="100"/>
        <v>10453.476835407815</v>
      </c>
      <c r="N219">
        <f t="shared" si="101"/>
        <v>9.8025772531849971E-3</v>
      </c>
      <c r="O219" s="2">
        <f t="shared" si="102"/>
        <v>555267</v>
      </c>
      <c r="P219" s="2">
        <v>1</v>
      </c>
      <c r="R219">
        <f t="shared" si="103"/>
        <v>1800.2789846107332</v>
      </c>
      <c r="S219">
        <f t="shared" si="104"/>
        <v>9752.2310154379429</v>
      </c>
      <c r="T219">
        <f t="shared" si="105"/>
        <v>15.237987741726227</v>
      </c>
      <c r="V219" s="2">
        <f t="shared" si="111"/>
        <v>97522.310154379433</v>
      </c>
      <c r="Y219">
        <f t="shared" si="106"/>
        <v>47316.541305390048</v>
      </c>
      <c r="Z219">
        <f t="shared" si="107"/>
        <v>103922.31015437943</v>
      </c>
    </row>
    <row r="220" spans="1:26" x14ac:dyDescent="0.2">
      <c r="A220" s="2">
        <v>207</v>
      </c>
      <c r="B220" s="2">
        <f t="shared" si="108"/>
        <v>51.439839345106691</v>
      </c>
      <c r="C220" s="2">
        <f t="shared" si="92"/>
        <v>-2.0445753708702276E-3</v>
      </c>
      <c r="D220" s="2">
        <f t="shared" si="93"/>
        <v>3564.4282311090765</v>
      </c>
      <c r="E220" s="2">
        <f t="shared" si="94"/>
        <v>0.26386434058686264</v>
      </c>
      <c r="F220" s="8">
        <f t="shared" si="95"/>
        <v>3388.7515588104934</v>
      </c>
      <c r="G220" s="2">
        <f t="shared" si="96"/>
        <v>183416.65001988382</v>
      </c>
      <c r="H220" s="2">
        <f t="shared" si="97"/>
        <v>929.6495164686504</v>
      </c>
      <c r="I220" s="2">
        <f t="shared" si="98"/>
        <v>98451.959670848082</v>
      </c>
      <c r="J220" s="2">
        <f t="shared" si="109"/>
        <v>1.3953757138443465E-6</v>
      </c>
      <c r="K220" s="2">
        <f t="shared" si="110"/>
        <v>14.620091471109905</v>
      </c>
      <c r="L220" s="2">
        <f t="shared" si="99"/>
        <v>9.5107640731432053</v>
      </c>
      <c r="M220" s="2">
        <f t="shared" si="100"/>
        <v>10297.636480239893</v>
      </c>
      <c r="N220">
        <f t="shared" si="101"/>
        <v>8.8642279088868639E-3</v>
      </c>
      <c r="O220" s="2">
        <f t="shared" si="102"/>
        <v>555267</v>
      </c>
      <c r="P220" s="2">
        <v>1</v>
      </c>
      <c r="R220">
        <f t="shared" si="103"/>
        <v>1834.1665001988381</v>
      </c>
      <c r="S220">
        <f t="shared" si="104"/>
        <v>9845.1959670848082</v>
      </c>
      <c r="T220">
        <f t="shared" si="105"/>
        <v>15.118313079629742</v>
      </c>
      <c r="V220" s="2">
        <f t="shared" si="111"/>
        <v>98451.959670848082</v>
      </c>
      <c r="Y220">
        <f t="shared" si="106"/>
        <v>47837.461984815804</v>
      </c>
      <c r="Z220">
        <f t="shared" si="107"/>
        <v>104851.95967084808</v>
      </c>
    </row>
    <row r="221" spans="1:26" x14ac:dyDescent="0.2">
      <c r="A221" s="2">
        <v>208</v>
      </c>
      <c r="B221" s="2">
        <f t="shared" si="108"/>
        <v>52.288015866138487</v>
      </c>
      <c r="C221" s="2">
        <f t="shared" si="92"/>
        <v>-2.0007071215611873E-3</v>
      </c>
      <c r="D221" s="2">
        <f t="shared" si="93"/>
        <v>3615.868070454183</v>
      </c>
      <c r="E221" s="2">
        <f t="shared" si="94"/>
        <v>0.26181976521599243</v>
      </c>
      <c r="F221" s="8">
        <f t="shared" si="95"/>
        <v>3439.0508167218049</v>
      </c>
      <c r="G221" s="2">
        <f t="shared" si="96"/>
        <v>186855.70083660563</v>
      </c>
      <c r="H221" s="2">
        <f t="shared" si="97"/>
        <v>935.92669241325757</v>
      </c>
      <c r="I221" s="2">
        <f t="shared" si="98"/>
        <v>99387.886363261336</v>
      </c>
      <c r="J221" s="2">
        <f t="shared" si="109"/>
        <v>1.2251526816922162E-6</v>
      </c>
      <c r="K221" s="2">
        <f t="shared" si="110"/>
        <v>13.209748464945308</v>
      </c>
      <c r="L221" s="2">
        <f t="shared" si="99"/>
        <v>9.508015824919914</v>
      </c>
      <c r="M221" s="2">
        <f t="shared" si="100"/>
        <v>10141.796125071971</v>
      </c>
      <c r="N221">
        <f t="shared" si="101"/>
        <v>8.0091305340823718E-3</v>
      </c>
      <c r="O221" s="2">
        <f t="shared" si="102"/>
        <v>555267</v>
      </c>
      <c r="P221" s="2">
        <v>1</v>
      </c>
      <c r="R221">
        <f t="shared" si="103"/>
        <v>1868.5570083660562</v>
      </c>
      <c r="S221">
        <f t="shared" si="104"/>
        <v>9938.7886363261332</v>
      </c>
      <c r="T221">
        <f t="shared" si="105"/>
        <v>15.001167539982482</v>
      </c>
      <c r="V221" s="2">
        <f t="shared" si="111"/>
        <v>99387.886363261336</v>
      </c>
      <c r="Y221">
        <f t="shared" si="106"/>
        <v>48365.491946889168</v>
      </c>
      <c r="Z221">
        <f t="shared" si="107"/>
        <v>105787.88636326134</v>
      </c>
    </row>
    <row r="222" spans="1:26" x14ac:dyDescent="0.2">
      <c r="A222" s="2">
        <v>209</v>
      </c>
      <c r="B222" s="2">
        <f t="shared" si="108"/>
        <v>53.161645679663643</v>
      </c>
      <c r="C222" s="2">
        <f t="shared" si="92"/>
        <v>-1.9571004613015857E-3</v>
      </c>
      <c r="D222" s="2">
        <f t="shared" si="93"/>
        <v>3668.1560863203213</v>
      </c>
      <c r="E222" s="2">
        <f t="shared" si="94"/>
        <v>0.25981905809443123</v>
      </c>
      <c r="F222" s="8">
        <f t="shared" si="95"/>
        <v>3490.1376254223951</v>
      </c>
      <c r="G222" s="2">
        <f t="shared" si="96"/>
        <v>190345.83846202801</v>
      </c>
      <c r="H222" s="2">
        <f t="shared" si="97"/>
        <v>942.37016026168385</v>
      </c>
      <c r="I222" s="2">
        <f t="shared" si="98"/>
        <v>100330.25652352301</v>
      </c>
      <c r="J222" s="2">
        <f t="shared" si="109"/>
        <v>1.0747322580473387E-6</v>
      </c>
      <c r="K222" s="2">
        <f t="shared" si="110"/>
        <v>11.925458339314487</v>
      </c>
      <c r="L222" s="2">
        <f t="shared" si="99"/>
        <v>9.5052498595079289</v>
      </c>
      <c r="M222" s="2">
        <f t="shared" si="100"/>
        <v>9985.9557699040452</v>
      </c>
      <c r="N222">
        <f t="shared" si="101"/>
        <v>7.2304595936699655E-3</v>
      </c>
      <c r="O222" s="2">
        <f t="shared" si="102"/>
        <v>555267</v>
      </c>
      <c r="P222" s="2">
        <v>1</v>
      </c>
      <c r="R222">
        <f t="shared" si="103"/>
        <v>1903.4583846202802</v>
      </c>
      <c r="S222">
        <f t="shared" si="104"/>
        <v>10033.025652352302</v>
      </c>
      <c r="T222">
        <f t="shared" si="105"/>
        <v>14.886535465875259</v>
      </c>
      <c r="V222" s="2">
        <f t="shared" si="111"/>
        <v>100330.25652352301</v>
      </c>
      <c r="Y222">
        <f t="shared" si="106"/>
        <v>48900.92844346373</v>
      </c>
      <c r="Z222">
        <f t="shared" si="107"/>
        <v>106730.25652352301</v>
      </c>
    </row>
    <row r="223" spans="1:26" x14ac:dyDescent="0.2">
      <c r="A223" s="2">
        <v>210</v>
      </c>
      <c r="B223" s="2">
        <f t="shared" si="108"/>
        <v>54.061961430406321</v>
      </c>
      <c r="C223" s="2">
        <f t="shared" si="92"/>
        <v>-1.9137436042983907E-3</v>
      </c>
      <c r="D223" s="2">
        <f t="shared" si="93"/>
        <v>3721.317731999985</v>
      </c>
      <c r="E223" s="2">
        <f t="shared" si="94"/>
        <v>0.25786195763312963</v>
      </c>
      <c r="F223" s="8">
        <f t="shared" si="95"/>
        <v>3542.0357183278447</v>
      </c>
      <c r="G223" s="2">
        <f t="shared" si="96"/>
        <v>193887.87418035587</v>
      </c>
      <c r="H223" s="2">
        <f t="shared" si="97"/>
        <v>948.98731319195485</v>
      </c>
      <c r="I223" s="2">
        <f t="shared" si="98"/>
        <v>101279.24383671497</v>
      </c>
      <c r="J223" s="2">
        <f t="shared" si="109"/>
        <v>9.4191319971903066E-7</v>
      </c>
      <c r="K223" s="2">
        <f t="shared" si="110"/>
        <v>10.75681174674444</v>
      </c>
      <c r="L223" s="2">
        <f t="shared" si="99"/>
        <v>9.50246569151561</v>
      </c>
      <c r="M223" s="2">
        <f t="shared" si="100"/>
        <v>9830.1154147361231</v>
      </c>
      <c r="N223">
        <f t="shared" si="101"/>
        <v>6.5219038529651142E-3</v>
      </c>
      <c r="O223" s="2">
        <f t="shared" si="102"/>
        <v>555267</v>
      </c>
      <c r="P223" s="2">
        <v>1</v>
      </c>
      <c r="R223">
        <f t="shared" si="103"/>
        <v>1938.8787418035586</v>
      </c>
      <c r="S223">
        <f t="shared" si="104"/>
        <v>10127.924383671498</v>
      </c>
      <c r="T223">
        <f t="shared" si="105"/>
        <v>14.774401869359572</v>
      </c>
      <c r="V223" s="2">
        <f t="shared" si="111"/>
        <v>101279.24383671497</v>
      </c>
      <c r="Y223">
        <f t="shared" si="106"/>
        <v>49444.080304324969</v>
      </c>
      <c r="Z223">
        <f t="shared" si="107"/>
        <v>107679.24383671497</v>
      </c>
    </row>
    <row r="224" spans="1:26" x14ac:dyDescent="0.2">
      <c r="A224" s="2">
        <v>211</v>
      </c>
      <c r="B224" s="2">
        <f t="shared" si="108"/>
        <v>54.990274899109359</v>
      </c>
      <c r="C224" s="2">
        <f t="shared" si="92"/>
        <v>-1.8706246402045918E-3</v>
      </c>
      <c r="D224" s="2">
        <f t="shared" si="93"/>
        <v>3775.3796934303914</v>
      </c>
      <c r="E224" s="2">
        <f t="shared" si="94"/>
        <v>0.25594821402883122</v>
      </c>
      <c r="F224" s="8">
        <f t="shared" si="95"/>
        <v>3594.7699757904884</v>
      </c>
      <c r="G224" s="2">
        <f t="shared" si="96"/>
        <v>197482.64415614636</v>
      </c>
      <c r="H224" s="2">
        <f t="shared" si="97"/>
        <v>955.78587173590813</v>
      </c>
      <c r="I224" s="2">
        <f t="shared" si="98"/>
        <v>102235.02970845088</v>
      </c>
      <c r="J224" s="2">
        <f t="shared" si="109"/>
        <v>8.2472860806141331E-7</v>
      </c>
      <c r="K224" s="2">
        <f t="shared" si="110"/>
        <v>9.6941896373562564</v>
      </c>
      <c r="L224" s="2">
        <f t="shared" si="99"/>
        <v>9.4996628139576575</v>
      </c>
      <c r="M224" s="2">
        <f t="shared" si="100"/>
        <v>9674.275059568201</v>
      </c>
      <c r="N224">
        <f t="shared" si="101"/>
        <v>5.8776312383065771E-3</v>
      </c>
      <c r="O224" s="2">
        <f t="shared" si="102"/>
        <v>555267</v>
      </c>
      <c r="P224" s="2">
        <v>1</v>
      </c>
      <c r="R224">
        <f t="shared" si="103"/>
        <v>1974.8264415614635</v>
      </c>
      <c r="S224">
        <f t="shared" si="104"/>
        <v>10223.502970845087</v>
      </c>
      <c r="T224">
        <f t="shared" si="105"/>
        <v>14.664752437763118</v>
      </c>
      <c r="V224" s="2">
        <f t="shared" si="111"/>
        <v>102235.02970845088</v>
      </c>
      <c r="Y224">
        <f t="shared" si="106"/>
        <v>49995.268429806893</v>
      </c>
      <c r="Z224">
        <f t="shared" si="107"/>
        <v>108635.02970845088</v>
      </c>
    </row>
    <row r="225" spans="1:26" x14ac:dyDescent="0.2">
      <c r="A225" s="3">
        <v>212</v>
      </c>
      <c r="B225" s="3">
        <f t="shared" si="108"/>
        <v>89.917995295758459</v>
      </c>
      <c r="C225" s="3">
        <f t="shared" ref="C225:C239" si="112">-((L225/D225)-(D225/(6378000+(I225))))*COS(E225)</f>
        <v>-1.8277315186441649E-3</v>
      </c>
      <c r="D225" s="3">
        <f t="shared" ref="D225:D239" si="113">B224+D224</f>
        <v>3830.3699683295008</v>
      </c>
      <c r="E225" s="3">
        <f t="shared" ref="E225:E239" si="114">E224+C224</f>
        <v>0.25407758938862662</v>
      </c>
      <c r="F225" s="9">
        <f t="shared" ref="F225:F239" si="115">((6378000/(6378000+(I225)))*D225*COS(E225))</f>
        <v>3648.3664984310594</v>
      </c>
      <c r="G225" s="3">
        <f t="shared" ref="G225:G239" si="116">F225+G224</f>
        <v>201131.0106545774</v>
      </c>
      <c r="H225" s="3">
        <f t="shared" ref="H225:H239" si="117">D225*SIN(E225)</f>
        <v>962.77390462395829</v>
      </c>
      <c r="I225" s="3">
        <f t="shared" ref="I225:I239" si="118">H225+I224</f>
        <v>103197.80361307484</v>
      </c>
      <c r="J225" s="3">
        <f t="shared" si="109"/>
        <v>7.214219892228995E-7</v>
      </c>
      <c r="K225" s="3">
        <f t="shared" si="110"/>
        <v>8.7287087660627556</v>
      </c>
      <c r="L225" s="3">
        <f t="shared" ref="L225:L239" si="119">((9.80665)/(1+(I225/6378000))^2)</f>
        <v>9.4968406972991044</v>
      </c>
      <c r="M225" s="3">
        <f>6030-(14.53*A14)</f>
        <v>6015.47</v>
      </c>
      <c r="N225" s="1">
        <f t="shared" si="101"/>
        <v>5.2922557978226517E-3</v>
      </c>
      <c r="O225" s="3">
        <v>54156</v>
      </c>
      <c r="P225" s="2">
        <v>1</v>
      </c>
      <c r="R225">
        <f t="shared" si="103"/>
        <v>2011.310106545774</v>
      </c>
      <c r="S225">
        <f t="shared" si="104"/>
        <v>10319.780361307483</v>
      </c>
      <c r="T225">
        <f t="shared" si="105"/>
        <v>14.557573540826217</v>
      </c>
      <c r="V225" s="2">
        <f>$I$224-(9.81*(A14^2))</f>
        <v>102225.21970845088</v>
      </c>
      <c r="Y225">
        <f t="shared" si="106"/>
        <v>50554.826314420563</v>
      </c>
      <c r="Z225">
        <f t="shared" si="107"/>
        <v>109597.80361307484</v>
      </c>
    </row>
    <row r="226" spans="1:26" x14ac:dyDescent="0.2">
      <c r="A226" s="2">
        <v>213</v>
      </c>
      <c r="B226" s="2">
        <f t="shared" si="108"/>
        <v>6.6537194102036956</v>
      </c>
      <c r="C226" s="2">
        <f t="shared" si="112"/>
        <v>-1.7594734601788691E-3</v>
      </c>
      <c r="D226" s="2">
        <f t="shared" si="113"/>
        <v>3920.2879636252592</v>
      </c>
      <c r="E226" s="2">
        <f t="shared" si="114"/>
        <v>0.25224985786998244</v>
      </c>
      <c r="F226" s="8">
        <f t="shared" si="115"/>
        <v>3735.2141568031916</v>
      </c>
      <c r="G226" s="2">
        <f t="shared" si="116"/>
        <v>204866.22481138058</v>
      </c>
      <c r="H226" s="2">
        <f t="shared" si="117"/>
        <v>978.4381971406716</v>
      </c>
      <c r="I226" s="2">
        <f t="shared" si="118"/>
        <v>104176.24181021551</v>
      </c>
      <c r="J226" s="2">
        <f t="shared" si="109"/>
        <v>6.2968312437294857E-7</v>
      </c>
      <c r="K226" s="2">
        <f t="shared" si="110"/>
        <v>7.9806299384913677</v>
      </c>
      <c r="L226" s="2">
        <f t="shared" si="119"/>
        <v>9.4939739531508813</v>
      </c>
      <c r="M226" s="2">
        <f t="shared" ref="M226:M238" si="120">6030-(14.53*A15)</f>
        <v>6000.94</v>
      </c>
      <c r="N226">
        <f t="shared" si="101"/>
        <v>4.8386922045640761E-3</v>
      </c>
      <c r="O226" s="2">
        <v>54156</v>
      </c>
      <c r="P226" s="2">
        <v>1</v>
      </c>
      <c r="R226">
        <f t="shared" si="103"/>
        <v>2048.6622481138056</v>
      </c>
      <c r="S226">
        <f t="shared" si="104"/>
        <v>10417.624181021551</v>
      </c>
      <c r="T226">
        <f t="shared" si="105"/>
        <v>14.452852238724867</v>
      </c>
      <c r="V226" s="2">
        <f t="shared" ref="V226:V289" si="121">$I$224-(9.81*(A15^2))</f>
        <v>102195.78970845087</v>
      </c>
      <c r="Y226">
        <f t="shared" si="106"/>
        <v>51131.177484752705</v>
      </c>
      <c r="Z226">
        <f t="shared" si="107"/>
        <v>110576.24181021551</v>
      </c>
    </row>
    <row r="227" spans="1:26" x14ac:dyDescent="0.2">
      <c r="A227" s="2">
        <v>214</v>
      </c>
      <c r="B227" s="2">
        <f t="shared" si="108"/>
        <v>6.6926711387632736</v>
      </c>
      <c r="C227" s="2">
        <f t="shared" si="112"/>
        <v>-1.7546837400077141E-3</v>
      </c>
      <c r="D227" s="2">
        <f t="shared" si="113"/>
        <v>3926.941683035463</v>
      </c>
      <c r="E227" s="2">
        <f t="shared" si="114"/>
        <v>0.25049038440980359</v>
      </c>
      <c r="F227" s="8">
        <f t="shared" si="115"/>
        <v>3742.6826846123149</v>
      </c>
      <c r="G227" s="2">
        <f t="shared" si="116"/>
        <v>208608.9074959929</v>
      </c>
      <c r="H227" s="2">
        <f t="shared" si="117"/>
        <v>973.40664854198258</v>
      </c>
      <c r="I227" s="2">
        <f t="shared" si="118"/>
        <v>105149.6484587575</v>
      </c>
      <c r="J227" s="2">
        <f t="shared" si="109"/>
        <v>5.4999467207363604E-7</v>
      </c>
      <c r="K227" s="2">
        <f t="shared" si="110"/>
        <v>6.9943372082483926</v>
      </c>
      <c r="L227" s="2">
        <f t="shared" si="119"/>
        <v>9.491123238886976</v>
      </c>
      <c r="M227" s="2">
        <f t="shared" si="120"/>
        <v>5986.41</v>
      </c>
      <c r="N227">
        <f t="shared" si="101"/>
        <v>4.240698439406854E-3</v>
      </c>
      <c r="O227" s="2">
        <v>54156</v>
      </c>
      <c r="P227" s="2">
        <v>1</v>
      </c>
      <c r="R227">
        <f t="shared" si="103"/>
        <v>2086.0890749599289</v>
      </c>
      <c r="S227">
        <f t="shared" si="104"/>
        <v>10514.964845875749</v>
      </c>
      <c r="T227">
        <f t="shared" si="105"/>
        <v>14.35204183529134</v>
      </c>
      <c r="V227" s="2">
        <f t="shared" si="121"/>
        <v>102146.73970845088</v>
      </c>
      <c r="Y227">
        <f t="shared" si="106"/>
        <v>51709.781782324782</v>
      </c>
      <c r="Z227">
        <f t="shared" si="107"/>
        <v>111549.6484587575</v>
      </c>
    </row>
    <row r="228" spans="1:26" x14ac:dyDescent="0.2">
      <c r="A228" s="2">
        <v>215</v>
      </c>
      <c r="B228" s="2">
        <f t="shared" si="108"/>
        <v>6.731658676362783</v>
      </c>
      <c r="C228" s="2">
        <f t="shared" si="112"/>
        <v>-1.7498720519241824E-3</v>
      </c>
      <c r="D228" s="2">
        <f t="shared" si="113"/>
        <v>3933.6343541742262</v>
      </c>
      <c r="E228" s="2">
        <f t="shared" si="114"/>
        <v>0.24873570066979589</v>
      </c>
      <c r="F228" s="8">
        <f t="shared" si="115"/>
        <v>3750.1785759024851</v>
      </c>
      <c r="G228" s="2">
        <f t="shared" si="116"/>
        <v>212359.08607189538</v>
      </c>
      <c r="H228" s="2">
        <f t="shared" si="117"/>
        <v>968.37725326440022</v>
      </c>
      <c r="I228" s="2">
        <f t="shared" si="118"/>
        <v>106118.0257120219</v>
      </c>
      <c r="J228" s="2">
        <f t="shared" si="109"/>
        <v>4.8072701669071754E-7</v>
      </c>
      <c r="K228" s="2">
        <f t="shared" si="110"/>
        <v>6.1343095389583153</v>
      </c>
      <c r="L228" s="2">
        <f t="shared" si="119"/>
        <v>9.4882885275207496</v>
      </c>
      <c r="M228" s="2">
        <f t="shared" si="120"/>
        <v>5971.88</v>
      </c>
      <c r="N228">
        <f t="shared" si="101"/>
        <v>3.7192597545942147E-3</v>
      </c>
      <c r="O228" s="2">
        <v>54156</v>
      </c>
      <c r="P228" s="2">
        <v>1</v>
      </c>
      <c r="R228">
        <f t="shared" si="103"/>
        <v>2123.590860718954</v>
      </c>
      <c r="S228">
        <f t="shared" si="104"/>
        <v>10611.80257120219</v>
      </c>
      <c r="T228">
        <f t="shared" si="105"/>
        <v>14.251505862608669</v>
      </c>
      <c r="V228" s="2">
        <f t="shared" si="121"/>
        <v>102078.06970845087</v>
      </c>
      <c r="Y228">
        <f t="shared" si="106"/>
        <v>52278.297869200527</v>
      </c>
      <c r="Z228">
        <f t="shared" si="107"/>
        <v>112518.0257120219</v>
      </c>
    </row>
    <row r="229" spans="1:26" x14ac:dyDescent="0.2">
      <c r="A229" s="2">
        <v>216</v>
      </c>
      <c r="B229" s="2">
        <f t="shared" si="108"/>
        <v>6.7706852641084083</v>
      </c>
      <c r="C229" s="2">
        <f t="shared" si="112"/>
        <v>-1.7450386113698354E-3</v>
      </c>
      <c r="D229" s="2">
        <f t="shared" si="113"/>
        <v>3940.366012850589</v>
      </c>
      <c r="E229" s="2">
        <f t="shared" si="114"/>
        <v>0.24698582861787172</v>
      </c>
      <c r="F229" s="8">
        <f t="shared" si="115"/>
        <v>3757.7019047524723</v>
      </c>
      <c r="G229" s="2">
        <f t="shared" si="116"/>
        <v>216116.78797664784</v>
      </c>
      <c r="H229" s="2">
        <f t="shared" si="117"/>
        <v>963.35002828007714</v>
      </c>
      <c r="I229" s="2">
        <f t="shared" si="118"/>
        <v>107081.37574030198</v>
      </c>
      <c r="J229" s="2">
        <f t="shared" si="109"/>
        <v>4.2047682681606504E-7</v>
      </c>
      <c r="K229" s="2">
        <f t="shared" si="110"/>
        <v>5.3838676529059333</v>
      </c>
      <c r="L229" s="2">
        <f t="shared" si="119"/>
        <v>9.4854697921544133</v>
      </c>
      <c r="M229" s="2">
        <f t="shared" si="120"/>
        <v>5957.35</v>
      </c>
      <c r="N229">
        <f t="shared" si="101"/>
        <v>3.2642634282382473E-3</v>
      </c>
      <c r="O229" s="2">
        <v>54156</v>
      </c>
      <c r="P229" s="2">
        <v>1</v>
      </c>
      <c r="R229">
        <f t="shared" si="103"/>
        <v>2161.1678797664786</v>
      </c>
      <c r="S229">
        <f t="shared" si="104"/>
        <v>10708.137574030199</v>
      </c>
      <c r="T229">
        <f t="shared" si="105"/>
        <v>14.151245579345515</v>
      </c>
      <c r="V229" s="2">
        <f t="shared" si="121"/>
        <v>101989.77970845088</v>
      </c>
      <c r="Y229">
        <f t="shared" si="106"/>
        <v>52836.744893778865</v>
      </c>
      <c r="Z229">
        <f t="shared" si="107"/>
        <v>113481.37574030198</v>
      </c>
    </row>
    <row r="230" spans="1:26" x14ac:dyDescent="0.2">
      <c r="A230" s="2">
        <v>217</v>
      </c>
      <c r="B230" s="2">
        <f t="shared" si="108"/>
        <v>6.8097537976285087</v>
      </c>
      <c r="C230" s="2">
        <f t="shared" si="112"/>
        <v>-1.7401836312207013E-3</v>
      </c>
      <c r="D230" s="2">
        <f t="shared" si="113"/>
        <v>3947.1366981146975</v>
      </c>
      <c r="E230" s="2">
        <f t="shared" si="114"/>
        <v>0.24524079000650187</v>
      </c>
      <c r="F230" s="8">
        <f t="shared" si="115"/>
        <v>3765.2527486085096</v>
      </c>
      <c r="G230" s="2">
        <f t="shared" si="116"/>
        <v>219882.04072525635</v>
      </c>
      <c r="H230" s="2">
        <f t="shared" si="117"/>
        <v>958.32499182584866</v>
      </c>
      <c r="I230" s="2">
        <f t="shared" si="118"/>
        <v>108039.70073212784</v>
      </c>
      <c r="J230" s="2">
        <f t="shared" si="109"/>
        <v>3.680348615632165E-7</v>
      </c>
      <c r="K230" s="2">
        <f t="shared" si="110"/>
        <v>4.7285988628054385</v>
      </c>
      <c r="L230" s="2">
        <f t="shared" si="119"/>
        <v>9.4826670059749247</v>
      </c>
      <c r="M230" s="2">
        <f t="shared" si="120"/>
        <v>5942.82</v>
      </c>
      <c r="N230">
        <f t="shared" si="101"/>
        <v>2.866970982530288E-3</v>
      </c>
      <c r="O230" s="2">
        <v>54156</v>
      </c>
      <c r="P230" s="2">
        <v>1</v>
      </c>
      <c r="R230">
        <f t="shared" si="103"/>
        <v>2198.8204072525637</v>
      </c>
      <c r="S230">
        <f t="shared" si="104"/>
        <v>10803.970073212784</v>
      </c>
      <c r="T230">
        <f t="shared" si="105"/>
        <v>14.051262231826653</v>
      </c>
      <c r="V230" s="2">
        <f t="shared" si="121"/>
        <v>101881.86970845087</v>
      </c>
      <c r="Y230">
        <f t="shared" si="106"/>
        <v>53385.142445492056</v>
      </c>
      <c r="Z230">
        <f t="shared" si="107"/>
        <v>114439.70073212784</v>
      </c>
    </row>
    <row r="231" spans="1:26" x14ac:dyDescent="0.2">
      <c r="A231" s="2">
        <v>218</v>
      </c>
      <c r="B231" s="2">
        <f t="shared" si="108"/>
        <v>6.8488668761081009</v>
      </c>
      <c r="C231" s="2">
        <f t="shared" si="112"/>
        <v>-1.7353073220447118E-3</v>
      </c>
      <c r="D231" s="2">
        <f t="shared" si="113"/>
        <v>3953.9464519123262</v>
      </c>
      <c r="E231" s="2">
        <f t="shared" si="114"/>
        <v>0.24350060637528118</v>
      </c>
      <c r="F231" s="8">
        <f t="shared" si="115"/>
        <v>3772.8311879550697</v>
      </c>
      <c r="G231" s="2">
        <f t="shared" si="116"/>
        <v>223654.87191321142</v>
      </c>
      <c r="H231" s="2">
        <f t="shared" si="117"/>
        <v>953.3021633039782</v>
      </c>
      <c r="I231" s="2">
        <f t="shared" si="118"/>
        <v>108993.00289543181</v>
      </c>
      <c r="J231" s="2">
        <f t="shared" si="109"/>
        <v>3.2235846124273064E-7</v>
      </c>
      <c r="K231" s="2">
        <f t="shared" si="110"/>
        <v>4.1560409804326968</v>
      </c>
      <c r="L231" s="2">
        <f t="shared" si="119"/>
        <v>9.4798801422502237</v>
      </c>
      <c r="M231" s="2">
        <f t="shared" si="120"/>
        <v>5928.29</v>
      </c>
      <c r="N231">
        <f t="shared" si="101"/>
        <v>2.5198265361080028E-3</v>
      </c>
      <c r="O231" s="2">
        <v>54156</v>
      </c>
      <c r="P231" s="2">
        <v>1</v>
      </c>
      <c r="R231">
        <f t="shared" si="103"/>
        <v>2236.548719132114</v>
      </c>
      <c r="S231">
        <f t="shared" si="104"/>
        <v>10899.300289543182</v>
      </c>
      <c r="T231">
        <f t="shared" si="105"/>
        <v>13.951557054179958</v>
      </c>
      <c r="V231" s="2">
        <f t="shared" si="121"/>
        <v>101754.33970845088</v>
      </c>
      <c r="Y231">
        <f t="shared" si="106"/>
        <v>53923.510553669556</v>
      </c>
      <c r="Z231">
        <f t="shared" si="107"/>
        <v>115393.00289543181</v>
      </c>
    </row>
    <row r="232" spans="1:26" x14ac:dyDescent="0.2">
      <c r="A232" s="2">
        <v>219</v>
      </c>
      <c r="B232" s="2">
        <f t="shared" si="108"/>
        <v>6.8880268444145019</v>
      </c>
      <c r="C232" s="2">
        <f t="shared" si="112"/>
        <v>-1.7304098923197875E-3</v>
      </c>
      <c r="D232" s="2">
        <f t="shared" si="113"/>
        <v>3960.7953187884341</v>
      </c>
      <c r="E232" s="2">
        <f t="shared" si="114"/>
        <v>0.24176529905323646</v>
      </c>
      <c r="F232" s="8">
        <f t="shared" si="115"/>
        <v>3780.4373060320931</v>
      </c>
      <c r="G232" s="2">
        <f t="shared" si="116"/>
        <v>227435.3092192435</v>
      </c>
      <c r="H232" s="2">
        <f t="shared" si="117"/>
        <v>948.2815631973823</v>
      </c>
      <c r="I232" s="2">
        <f t="shared" si="118"/>
        <v>109941.28445862919</v>
      </c>
      <c r="J232" s="2">
        <f t="shared" si="109"/>
        <v>2.8254802637848215E-7</v>
      </c>
      <c r="K232" s="2">
        <f t="shared" si="110"/>
        <v>3.6554113717971335</v>
      </c>
      <c r="L232" s="2">
        <f t="shared" si="119"/>
        <v>9.4771091743256868</v>
      </c>
      <c r="M232" s="2">
        <f t="shared" si="120"/>
        <v>5913.76</v>
      </c>
      <c r="N232">
        <f t="shared" si="101"/>
        <v>2.2162925289746283E-3</v>
      </c>
      <c r="O232" s="2">
        <v>54156</v>
      </c>
      <c r="P232" s="2">
        <v>1</v>
      </c>
      <c r="R232">
        <f t="shared" si="103"/>
        <v>2274.3530921924348</v>
      </c>
      <c r="S232">
        <f t="shared" si="104"/>
        <v>10994.12844586292</v>
      </c>
      <c r="T232">
        <f t="shared" si="105"/>
        <v>13.852131268468646</v>
      </c>
      <c r="V232" s="2">
        <f t="shared" si="121"/>
        <v>101607.18970845088</v>
      </c>
      <c r="Y232">
        <f t="shared" si="106"/>
        <v>54451.869686282167</v>
      </c>
      <c r="Z232">
        <f t="shared" si="107"/>
        <v>116341.28445862919</v>
      </c>
    </row>
    <row r="233" spans="1:26" x14ac:dyDescent="0.2">
      <c r="A233" s="2">
        <v>220</v>
      </c>
      <c r="B233" s="2">
        <f t="shared" si="108"/>
        <v>6.9272358293121838</v>
      </c>
      <c r="C233" s="2">
        <f t="shared" si="112"/>
        <v>-1.7254915486182407E-3</v>
      </c>
      <c r="D233" s="2">
        <f t="shared" si="113"/>
        <v>3967.6833456328486</v>
      </c>
      <c r="E233" s="2">
        <f t="shared" si="114"/>
        <v>0.24003488916091667</v>
      </c>
      <c r="F233" s="8">
        <f t="shared" si="115"/>
        <v>3788.0711885921296</v>
      </c>
      <c r="G233" s="2">
        <f t="shared" si="116"/>
        <v>231223.38040783562</v>
      </c>
      <c r="H233" s="2">
        <f t="shared" si="117"/>
        <v>943.26321299723043</v>
      </c>
      <c r="I233" s="2">
        <f t="shared" si="118"/>
        <v>110884.54767162642</v>
      </c>
      <c r="J233" s="2">
        <f t="shared" si="109"/>
        <v>2.4782689449995032E-7</v>
      </c>
      <c r="K233" s="2">
        <f t="shared" si="110"/>
        <v>3.2173745659111463</v>
      </c>
      <c r="L233" s="2">
        <f t="shared" si="119"/>
        <v>9.4743540756208198</v>
      </c>
      <c r="M233" s="2">
        <f t="shared" si="120"/>
        <v>5899.23</v>
      </c>
      <c r="N233">
        <f t="shared" si="101"/>
        <v>1.950708822639619E-3</v>
      </c>
      <c r="O233" s="2">
        <v>54156</v>
      </c>
      <c r="P233" s="2">
        <v>1</v>
      </c>
      <c r="R233">
        <f t="shared" si="103"/>
        <v>2312.2338040783561</v>
      </c>
      <c r="S233">
        <f t="shared" si="104"/>
        <v>11088.454767162642</v>
      </c>
      <c r="T233">
        <f t="shared" si="105"/>
        <v>13.752986084811035</v>
      </c>
      <c r="V233" s="2">
        <f t="shared" si="121"/>
        <v>101440.41970845088</v>
      </c>
      <c r="Y233">
        <f t="shared" si="106"/>
        <v>54970.240748581753</v>
      </c>
      <c r="Z233">
        <f t="shared" si="107"/>
        <v>117284.54767162642</v>
      </c>
    </row>
    <row r="234" spans="1:26" x14ac:dyDescent="0.2">
      <c r="A234" s="2">
        <v>221</v>
      </c>
      <c r="B234" s="2">
        <f t="shared" si="108"/>
        <v>6.96649577061768</v>
      </c>
      <c r="C234" s="2">
        <f t="shared" si="112"/>
        <v>-1.7205524957623235E-3</v>
      </c>
      <c r="D234" s="2">
        <f t="shared" si="113"/>
        <v>3974.610581462161</v>
      </c>
      <c r="E234" s="2">
        <f t="shared" si="114"/>
        <v>0.23830939761229844</v>
      </c>
      <c r="F234" s="8">
        <f t="shared" si="115"/>
        <v>3795.7329236918122</v>
      </c>
      <c r="G234" s="2">
        <f t="shared" si="116"/>
        <v>235019.11333152742</v>
      </c>
      <c r="H234" s="2">
        <f t="shared" si="117"/>
        <v>938.24713514112227</v>
      </c>
      <c r="I234" s="2">
        <f t="shared" si="118"/>
        <v>111822.79480676755</v>
      </c>
      <c r="J234" s="2">
        <f t="shared" si="109"/>
        <v>2.1752411333800098E-7</v>
      </c>
      <c r="K234" s="2">
        <f t="shared" si="110"/>
        <v>2.8338428072333093</v>
      </c>
      <c r="L234" s="2">
        <f t="shared" si="119"/>
        <v>9.47161481962614</v>
      </c>
      <c r="M234" s="2">
        <f t="shared" si="120"/>
        <v>5884.7</v>
      </c>
      <c r="N234">
        <f t="shared" si="101"/>
        <v>1.7181717741584542E-3</v>
      </c>
      <c r="O234" s="2">
        <v>54156</v>
      </c>
      <c r="P234" s="2">
        <v>1</v>
      </c>
      <c r="R234">
        <f t="shared" si="103"/>
        <v>2350.1911333152743</v>
      </c>
      <c r="S234">
        <f t="shared" si="104"/>
        <v>11182.279480676754</v>
      </c>
      <c r="T234">
        <f t="shared" si="105"/>
        <v>13.654122701489719</v>
      </c>
      <c r="V234" s="2">
        <f t="shared" si="121"/>
        <v>101254.02970845088</v>
      </c>
      <c r="Y234">
        <f t="shared" si="106"/>
        <v>55478.645081650684</v>
      </c>
      <c r="Z234">
        <f t="shared" si="107"/>
        <v>118222.79480676755</v>
      </c>
    </row>
    <row r="235" spans="1:26" x14ac:dyDescent="0.2">
      <c r="A235" s="2">
        <v>222</v>
      </c>
      <c r="B235" s="2">
        <f t="shared" si="108"/>
        <v>7.0058084480202769</v>
      </c>
      <c r="C235" s="2">
        <f t="shared" si="112"/>
        <v>-1.715592936955058E-3</v>
      </c>
      <c r="D235" s="2">
        <f t="shared" si="113"/>
        <v>3981.5770772327787</v>
      </c>
      <c r="E235" s="2">
        <f t="shared" si="114"/>
        <v>0.23658884511653611</v>
      </c>
      <c r="F235" s="8">
        <f t="shared" si="115"/>
        <v>3803.4226015128629</v>
      </c>
      <c r="G235" s="2">
        <f t="shared" si="116"/>
        <v>238822.53593304029</v>
      </c>
      <c r="H235" s="2">
        <f t="shared" si="117"/>
        <v>933.2333529603186</v>
      </c>
      <c r="I235" s="2">
        <f t="shared" si="118"/>
        <v>112756.02815972787</v>
      </c>
      <c r="J235" s="2">
        <f t="shared" si="109"/>
        <v>1.9105968452032197E-7</v>
      </c>
      <c r="K235" s="2">
        <f t="shared" si="110"/>
        <v>2.4978047754103749</v>
      </c>
      <c r="L235" s="2">
        <f t="shared" si="119"/>
        <v>9.4688913799002172</v>
      </c>
      <c r="M235" s="2">
        <f t="shared" si="120"/>
        <v>5870.17</v>
      </c>
      <c r="N235">
        <f t="shared" si="101"/>
        <v>1.5144303881337244E-3</v>
      </c>
      <c r="O235" s="2">
        <v>54156</v>
      </c>
      <c r="P235" s="2">
        <v>1</v>
      </c>
      <c r="R235">
        <f t="shared" si="103"/>
        <v>2388.2253593304031</v>
      </c>
      <c r="S235">
        <f t="shared" si="104"/>
        <v>11275.602815972787</v>
      </c>
      <c r="T235">
        <f t="shared" si="105"/>
        <v>13.555542305051837</v>
      </c>
      <c r="V235" s="2">
        <f t="shared" si="121"/>
        <v>101048.01970845088</v>
      </c>
      <c r="Y235">
        <f t="shared" si="106"/>
        <v>55977.104460873183</v>
      </c>
      <c r="Z235">
        <f t="shared" si="107"/>
        <v>119156.02815972787</v>
      </c>
    </row>
    <row r="236" spans="1:26" x14ac:dyDescent="0.2">
      <c r="A236" s="2">
        <v>223</v>
      </c>
      <c r="B236" s="2">
        <f t="shared" si="108"/>
        <v>7.0451755041878403</v>
      </c>
      <c r="C236" s="2">
        <f t="shared" si="112"/>
        <v>-1.7106130738898653E-3</v>
      </c>
      <c r="D236" s="2">
        <f t="shared" si="113"/>
        <v>3988.5828856807989</v>
      </c>
      <c r="E236" s="2">
        <f t="shared" si="114"/>
        <v>0.23487325217958105</v>
      </c>
      <c r="F236" s="8">
        <f t="shared" si="115"/>
        <v>3811.1403142085478</v>
      </c>
      <c r="G236" s="2">
        <f t="shared" si="116"/>
        <v>242633.67624724883</v>
      </c>
      <c r="H236" s="2">
        <f t="shared" si="117"/>
        <v>928.22189063472149</v>
      </c>
      <c r="I236" s="2">
        <f t="shared" si="118"/>
        <v>113684.25005036259</v>
      </c>
      <c r="J236" s="2">
        <f t="shared" si="109"/>
        <v>1.6793191575673448E-7</v>
      </c>
      <c r="K236" s="2">
        <f t="shared" si="110"/>
        <v>2.2031784031761643</v>
      </c>
      <c r="L236" s="2">
        <f t="shared" si="119"/>
        <v>9.4661837300668417</v>
      </c>
      <c r="M236" s="2">
        <f t="shared" si="120"/>
        <v>5855.64</v>
      </c>
      <c r="N236">
        <f t="shared" si="101"/>
        <v>1.3357970795382676E-3</v>
      </c>
      <c r="O236" s="2">
        <v>54156</v>
      </c>
      <c r="P236" s="2">
        <v>1</v>
      </c>
      <c r="R236">
        <f t="shared" si="103"/>
        <v>2426.3367624724883</v>
      </c>
      <c r="S236">
        <f t="shared" si="104"/>
        <v>11368.425005036259</v>
      </c>
      <c r="T236">
        <f t="shared" si="105"/>
        <v>13.457246070401858</v>
      </c>
      <c r="V236" s="2">
        <f t="shared" si="121"/>
        <v>100822.38970845088</v>
      </c>
      <c r="Y236">
        <f t="shared" si="106"/>
        <v>56465.641094338855</v>
      </c>
      <c r="Z236">
        <f t="shared" si="107"/>
        <v>120084.25005036259</v>
      </c>
    </row>
    <row r="237" spans="1:26" x14ac:dyDescent="0.2">
      <c r="A237" s="2">
        <v>224</v>
      </c>
      <c r="B237" s="2">
        <f t="shared" si="108"/>
        <v>7.0845984646867839</v>
      </c>
      <c r="C237" s="2">
        <f t="shared" si="112"/>
        <v>-1.7056131068420451E-3</v>
      </c>
      <c r="D237" s="2">
        <f t="shared" si="113"/>
        <v>3995.6280611849866</v>
      </c>
      <c r="E237" s="2">
        <f t="shared" si="114"/>
        <v>0.23316263910569118</v>
      </c>
      <c r="F237" s="8">
        <f t="shared" si="115"/>
        <v>3818.8861557720429</v>
      </c>
      <c r="G237" s="2">
        <f t="shared" si="116"/>
        <v>246452.56240302089</v>
      </c>
      <c r="H237" s="2">
        <f t="shared" si="117"/>
        <v>923.21277315449731</v>
      </c>
      <c r="I237" s="2">
        <f t="shared" si="118"/>
        <v>114607.4628235171</v>
      </c>
      <c r="J237" s="2">
        <f t="shared" si="109"/>
        <v>1.4770657363098901E-7</v>
      </c>
      <c r="K237" s="2">
        <f t="shared" si="110"/>
        <v>1.9446843236854749</v>
      </c>
      <c r="L237" s="2">
        <f t="shared" si="119"/>
        <v>9.4634918438123474</v>
      </c>
      <c r="M237" s="2">
        <f t="shared" si="120"/>
        <v>5841.11</v>
      </c>
      <c r="N237">
        <f t="shared" si="101"/>
        <v>1.1790709442585248E-3</v>
      </c>
      <c r="O237" s="2">
        <v>54156</v>
      </c>
      <c r="P237" s="2">
        <v>1</v>
      </c>
      <c r="R237">
        <f t="shared" si="103"/>
        <v>2464.5256240302087</v>
      </c>
      <c r="S237">
        <f t="shared" si="104"/>
        <v>11460.746282351709</v>
      </c>
      <c r="T237">
        <f t="shared" si="105"/>
        <v>13.359235160888067</v>
      </c>
      <c r="V237" s="2">
        <f t="shared" si="121"/>
        <v>100577.13970845088</v>
      </c>
      <c r="Y237">
        <f t="shared" si="106"/>
        <v>56944.277621187415</v>
      </c>
      <c r="Z237">
        <f t="shared" si="107"/>
        <v>121007.4628235171</v>
      </c>
    </row>
    <row r="238" spans="1:26" x14ac:dyDescent="0.2">
      <c r="A238" s="2">
        <v>225</v>
      </c>
      <c r="B238" s="2">
        <f t="shared" si="108"/>
        <v>7.1240787551681386</v>
      </c>
      <c r="C238" s="2">
        <f t="shared" si="112"/>
        <v>-1.7005932347446608E-3</v>
      </c>
      <c r="D238" s="2">
        <f t="shared" si="113"/>
        <v>4002.7126596496732</v>
      </c>
      <c r="E238" s="2">
        <f t="shared" si="114"/>
        <v>0.23145702599884913</v>
      </c>
      <c r="F238" s="8">
        <f t="shared" si="115"/>
        <v>3826.660221923712</v>
      </c>
      <c r="G238" s="2">
        <f t="shared" si="116"/>
        <v>250279.22262494461</v>
      </c>
      <c r="H238" s="2">
        <f t="shared" si="117"/>
        <v>918.20602628739096</v>
      </c>
      <c r="I238" s="2">
        <f t="shared" si="118"/>
        <v>115525.66884980448</v>
      </c>
      <c r="J238" s="2">
        <f t="shared" si="109"/>
        <v>1.3000757499437978E-7</v>
      </c>
      <c r="K238" s="2">
        <f t="shared" si="110"/>
        <v>1.717736988605064</v>
      </c>
      <c r="L238" s="2">
        <f t="shared" si="119"/>
        <v>9.460815694882978</v>
      </c>
      <c r="M238" s="2">
        <f t="shared" si="120"/>
        <v>5826.58</v>
      </c>
      <c r="N238">
        <f t="shared" si="101"/>
        <v>1.0414717434982196E-3</v>
      </c>
      <c r="O238" s="2">
        <v>54156</v>
      </c>
      <c r="P238" s="2">
        <v>1</v>
      </c>
      <c r="R238">
        <f t="shared" si="103"/>
        <v>2502.7922262494462</v>
      </c>
      <c r="S238">
        <f t="shared" si="104"/>
        <v>11552.566884980448</v>
      </c>
      <c r="T238">
        <f t="shared" si="105"/>
        <v>13.261510728383822</v>
      </c>
      <c r="V238" s="2">
        <f t="shared" si="121"/>
        <v>100312.26970845088</v>
      </c>
      <c r="Y238">
        <f t="shared" si="106"/>
        <v>57413.03710990362</v>
      </c>
      <c r="Z238">
        <f t="shared" si="107"/>
        <v>121925.66884980448</v>
      </c>
    </row>
    <row r="239" spans="1:26" x14ac:dyDescent="0.2">
      <c r="A239" s="2">
        <v>226</v>
      </c>
      <c r="B239" s="2">
        <f t="shared" si="108"/>
        <v>7.1636177162062324</v>
      </c>
      <c r="C239" s="2">
        <f t="shared" si="112"/>
        <v>-1.6955536552510835E-3</v>
      </c>
      <c r="D239" s="2">
        <f t="shared" si="113"/>
        <v>4009.8367384048415</v>
      </c>
      <c r="E239" s="2">
        <f t="shared" si="114"/>
        <v>0.22975643276410446</v>
      </c>
      <c r="F239" s="8">
        <f t="shared" si="115"/>
        <v>3834.4626100146961</v>
      </c>
      <c r="G239" s="2">
        <f t="shared" si="116"/>
        <v>254113.6852349593</v>
      </c>
      <c r="H239" s="2">
        <f t="shared" si="117"/>
        <v>913.20167655092973</v>
      </c>
      <c r="I239" s="2">
        <f t="shared" si="118"/>
        <v>116438.87052635541</v>
      </c>
      <c r="J239" s="2">
        <f t="shared" si="109"/>
        <v>1.1450899386709688E-7</v>
      </c>
      <c r="K239" s="2">
        <f t="shared" si="110"/>
        <v>1.5183509318143085</v>
      </c>
      <c r="L239" s="2">
        <f t="shared" si="119"/>
        <v>9.458155257082403</v>
      </c>
      <c r="M239" s="2">
        <f>6030-(14.53*A28)</f>
        <v>5812.05</v>
      </c>
      <c r="N239">
        <f t="shared" si="101"/>
        <v>9.2058307103402859E-4</v>
      </c>
      <c r="O239" s="2">
        <v>54156</v>
      </c>
      <c r="P239" s="2">
        <v>1</v>
      </c>
      <c r="R239">
        <f t="shared" si="103"/>
        <v>2541.136852349593</v>
      </c>
      <c r="S239">
        <f t="shared" si="104"/>
        <v>11643.887052635542</v>
      </c>
      <c r="T239">
        <f t="shared" si="105"/>
        <v>13.164073913364451</v>
      </c>
      <c r="V239" s="2">
        <f t="shared" si="121"/>
        <v>100027.77970845088</v>
      </c>
      <c r="Y239">
        <f t="shared" si="106"/>
        <v>57871.943056568176</v>
      </c>
      <c r="Z239">
        <f t="shared" si="107"/>
        <v>122838.87052635541</v>
      </c>
    </row>
    <row r="240" spans="1:26" x14ac:dyDescent="0.2">
      <c r="A240" s="2">
        <v>227</v>
      </c>
      <c r="B240" s="2">
        <f t="shared" ref="B240:B303" si="122">((O239-K240)/M240)-(L240*SIN(E240))</f>
        <v>7.2032166161206241</v>
      </c>
      <c r="C240" s="2">
        <f t="shared" ref="C240:C303" si="123">-((L240/D240)-(D240/(6378000+(I240))))*COS(E240)</f>
        <v>-1.6904945647860672E-3</v>
      </c>
      <c r="D240" s="2">
        <f t="shared" ref="D240:D303" si="124">B239+D239</f>
        <v>4017.0003561210478</v>
      </c>
      <c r="E240" s="2">
        <f t="shared" ref="E240:E303" si="125">E239+C239</f>
        <v>0.22806087910885336</v>
      </c>
      <c r="F240" s="8">
        <f t="shared" ref="F240:F303" si="126">((6378000/(6378000+(I240)))*D240*COS(E240))</f>
        <v>3842.2934189445896</v>
      </c>
      <c r="G240" s="2">
        <f t="shared" ref="G240:G303" si="127">F240+G239</f>
        <v>257955.97865390388</v>
      </c>
      <c r="H240" s="2">
        <f t="shared" ref="H240:H303" si="128">D240*SIN(E240)</f>
        <v>908.19975118882053</v>
      </c>
      <c r="I240" s="2">
        <f t="shared" ref="I240:I303" si="129">H240+I239</f>
        <v>117347.07027754423</v>
      </c>
      <c r="J240" s="2">
        <f t="shared" ref="J240:J303" si="130">$J$13*EXP(-I240/7194)</f>
        <v>1.0092819377319676E-7</v>
      </c>
      <c r="K240" s="2">
        <f t="shared" ref="K240:K303" si="131">0.7*(PI()*(0.75))*0.5*J240*(D240)^2</f>
        <v>1.3430600222820379</v>
      </c>
      <c r="L240" s="2">
        <f t="shared" ref="L240:L303" si="132">((9.80665)/(1+(I240/6378000))^2)</f>
        <v>9.4555105042692578</v>
      </c>
      <c r="M240" s="2">
        <f t="shared" ref="M240:M303" si="133">6030-(14.53*A29)</f>
        <v>5797.52</v>
      </c>
      <c r="N240">
        <f t="shared" ref="N240:N303" si="134">(0.5*J240*(D240)^2)/1000</f>
        <v>8.1430339586779964E-4</v>
      </c>
      <c r="O240" s="2">
        <v>54156</v>
      </c>
      <c r="P240" s="2">
        <v>1</v>
      </c>
      <c r="V240" s="2">
        <f t="shared" si="121"/>
        <v>99723.669708450878</v>
      </c>
      <c r="Y240">
        <f t="shared" si="106"/>
        <v>58321.019383072387</v>
      </c>
      <c r="Z240">
        <f t="shared" si="107"/>
        <v>123747.07027754423</v>
      </c>
    </row>
    <row r="241" spans="1:26" x14ac:dyDescent="0.2">
      <c r="A241" s="2">
        <v>228</v>
      </c>
      <c r="B241" s="2">
        <f t="shared" si="122"/>
        <v>7.2428766620643277</v>
      </c>
      <c r="C241" s="2">
        <f t="shared" si="123"/>
        <v>-1.6854161585870065E-3</v>
      </c>
      <c r="D241" s="2">
        <f t="shared" si="124"/>
        <v>4024.2035727371685</v>
      </c>
      <c r="E241" s="2">
        <f t="shared" si="125"/>
        <v>0.2263703845440673</v>
      </c>
      <c r="F241" s="8">
        <f t="shared" si="126"/>
        <v>3850.1527490912999</v>
      </c>
      <c r="G241" s="2">
        <f t="shared" si="127"/>
        <v>261806.13140299518</v>
      </c>
      <c r="H241" s="2">
        <f t="shared" si="128"/>
        <v>903.20027815095511</v>
      </c>
      <c r="I241" s="2">
        <f t="shared" si="129"/>
        <v>118250.27055569518</v>
      </c>
      <c r="J241" s="2">
        <f t="shared" si="130"/>
        <v>8.9019923472525136E-8</v>
      </c>
      <c r="K241" s="2">
        <f t="shared" si="131"/>
        <v>1.1888478634604533</v>
      </c>
      <c r="L241" s="2">
        <f t="shared" si="132"/>
        <v>9.452881410354772</v>
      </c>
      <c r="M241" s="2">
        <f t="shared" si="133"/>
        <v>5782.99</v>
      </c>
      <c r="N241">
        <f t="shared" si="134"/>
        <v>7.2080386306274215E-4</v>
      </c>
      <c r="O241" s="2">
        <v>54156</v>
      </c>
      <c r="P241" s="2">
        <v>1</v>
      </c>
      <c r="V241" s="2">
        <f t="shared" si="121"/>
        <v>99399.939708450882</v>
      </c>
      <c r="Y241">
        <f t="shared" si="106"/>
        <v>58760.290435300696</v>
      </c>
      <c r="Z241">
        <f t="shared" si="107"/>
        <v>124650.27055569518</v>
      </c>
    </row>
    <row r="242" spans="1:26" x14ac:dyDescent="0.2">
      <c r="A242" s="2">
        <v>229</v>
      </c>
      <c r="B242" s="2">
        <f t="shared" si="122"/>
        <v>7.2825990096208191</v>
      </c>
      <c r="C242" s="2">
        <f t="shared" si="123"/>
        <v>-1.6803186307367706E-3</v>
      </c>
      <c r="D242" s="2">
        <f t="shared" si="124"/>
        <v>4031.4464493992327</v>
      </c>
      <c r="E242" s="2">
        <f t="shared" si="125"/>
        <v>0.2246849683854803</v>
      </c>
      <c r="F242" s="8">
        <f t="shared" si="126"/>
        <v>3858.0407022514328</v>
      </c>
      <c r="G242" s="2">
        <f t="shared" si="127"/>
        <v>265664.17210524663</v>
      </c>
      <c r="H242" s="2">
        <f t="shared" si="128"/>
        <v>898.20328607651652</v>
      </c>
      <c r="I242" s="2">
        <f t="shared" si="129"/>
        <v>119148.4738417717</v>
      </c>
      <c r="J242" s="2">
        <f t="shared" si="130"/>
        <v>7.8571237873487449E-8</v>
      </c>
      <c r="K242" s="2">
        <f t="shared" si="131"/>
        <v>1.0530877637156755</v>
      </c>
      <c r="L242" s="2">
        <f t="shared" si="132"/>
        <v>9.4502679493004447</v>
      </c>
      <c r="M242" s="2">
        <f t="shared" si="133"/>
        <v>5768.46</v>
      </c>
      <c r="N242">
        <f t="shared" si="134"/>
        <v>6.3849189754262728E-4</v>
      </c>
      <c r="O242" s="2">
        <v>54156</v>
      </c>
      <c r="P242" s="2">
        <v>1</v>
      </c>
      <c r="V242" s="2">
        <f t="shared" si="121"/>
        <v>99056.589708450876</v>
      </c>
      <c r="Y242">
        <f t="shared" si="106"/>
        <v>59189.780981287542</v>
      </c>
      <c r="Z242">
        <f t="shared" si="107"/>
        <v>125548.4738417717</v>
      </c>
    </row>
    <row r="243" spans="1:26" x14ac:dyDescent="0.2">
      <c r="A243" s="2">
        <v>230</v>
      </c>
      <c r="B243" s="2">
        <f t="shared" si="122"/>
        <v>7.3223847711176244</v>
      </c>
      <c r="C243" s="2">
        <f t="shared" si="123"/>
        <v>-1.6752021741893209E-3</v>
      </c>
      <c r="D243" s="2">
        <f t="shared" si="124"/>
        <v>4038.7290484088535</v>
      </c>
      <c r="E243" s="2">
        <f t="shared" si="125"/>
        <v>0.22300464975474352</v>
      </c>
      <c r="F243" s="8">
        <f t="shared" si="126"/>
        <v>3865.9573815898048</v>
      </c>
      <c r="G243" s="2">
        <f t="shared" si="127"/>
        <v>269530.12948683643</v>
      </c>
      <c r="H243" s="2">
        <f t="shared" si="128"/>
        <v>893.20880427975715</v>
      </c>
      <c r="I243" s="2">
        <f t="shared" si="129"/>
        <v>120041.68264605146</v>
      </c>
      <c r="J243" s="2">
        <f t="shared" si="130"/>
        <v>6.9397126160225761E-8</v>
      </c>
      <c r="K243" s="2">
        <f t="shared" si="131"/>
        <v>0.9334909299515044</v>
      </c>
      <c r="L243" s="2">
        <f t="shared" si="132"/>
        <v>9.4476700951157824</v>
      </c>
      <c r="M243" s="2">
        <f t="shared" si="133"/>
        <v>5753.93</v>
      </c>
      <c r="N243">
        <f t="shared" si="134"/>
        <v>5.6597979365040818E-4</v>
      </c>
      <c r="O243" s="2">
        <v>54156</v>
      </c>
      <c r="P243" s="2">
        <v>1</v>
      </c>
      <c r="V243" s="2">
        <f t="shared" si="121"/>
        <v>98693.619708450875</v>
      </c>
      <c r="Y243">
        <f t="shared" si="106"/>
        <v>59609.51620935127</v>
      </c>
      <c r="Z243">
        <f t="shared" si="107"/>
        <v>126441.68264605146</v>
      </c>
    </row>
    <row r="244" spans="1:26" x14ac:dyDescent="0.2">
      <c r="A244" s="2">
        <v>231</v>
      </c>
      <c r="B244" s="2">
        <f t="shared" si="122"/>
        <v>7.362235022834696</v>
      </c>
      <c r="C244" s="2">
        <f t="shared" si="123"/>
        <v>-1.6700669807891322E-3</v>
      </c>
      <c r="D244" s="2">
        <f t="shared" si="124"/>
        <v>4046.0514331799709</v>
      </c>
      <c r="E244" s="2">
        <f t="shared" si="125"/>
        <v>0.2213294475805542</v>
      </c>
      <c r="F244" s="8">
        <f t="shared" si="126"/>
        <v>3873.9028915968497</v>
      </c>
      <c r="G244" s="2">
        <f t="shared" si="127"/>
        <v>273404.03237843327</v>
      </c>
      <c r="H244" s="2">
        <f t="shared" si="128"/>
        <v>888.21686273807757</v>
      </c>
      <c r="I244" s="2">
        <f t="shared" si="129"/>
        <v>120929.89950878953</v>
      </c>
      <c r="J244" s="2">
        <f t="shared" si="130"/>
        <v>6.1336746391746313E-8</v>
      </c>
      <c r="K244" s="2">
        <f t="shared" si="131"/>
        <v>0.82806173064399413</v>
      </c>
      <c r="L244" s="2">
        <f t="shared" si="132"/>
        <v>9.4450878218560419</v>
      </c>
      <c r="M244" s="2">
        <f t="shared" si="133"/>
        <v>5739.4</v>
      </c>
      <c r="N244">
        <f t="shared" si="134"/>
        <v>5.0205759092274756E-4</v>
      </c>
      <c r="O244" s="2">
        <v>54156</v>
      </c>
      <c r="P244" s="2">
        <v>1</v>
      </c>
      <c r="V244" s="2">
        <f t="shared" si="121"/>
        <v>98311.029708450878</v>
      </c>
      <c r="Y244">
        <f t="shared" si="106"/>
        <v>60019.521726210885</v>
      </c>
      <c r="Z244">
        <f t="shared" si="107"/>
        <v>127329.89950878953</v>
      </c>
    </row>
    <row r="245" spans="1:26" x14ac:dyDescent="0.2">
      <c r="A245" s="2">
        <v>232</v>
      </c>
      <c r="B245" s="2">
        <f t="shared" si="122"/>
        <v>7.4021508112605314</v>
      </c>
      <c r="C245" s="2">
        <f t="shared" si="123"/>
        <v>-1.6649132412853279E-3</v>
      </c>
      <c r="D245" s="2">
        <f t="shared" si="124"/>
        <v>4053.4136682028056</v>
      </c>
      <c r="E245" s="2">
        <f t="shared" si="125"/>
        <v>0.21965938059976506</v>
      </c>
      <c r="F245" s="8">
        <f t="shared" si="126"/>
        <v>3881.8773380528814</v>
      </c>
      <c r="G245" s="2">
        <f t="shared" si="127"/>
        <v>277285.90971648617</v>
      </c>
      <c r="H245" s="2">
        <f t="shared" si="128"/>
        <v>883.22749208209166</v>
      </c>
      <c r="I245" s="2">
        <f t="shared" si="129"/>
        <v>121813.12700087162</v>
      </c>
      <c r="J245" s="2">
        <f t="shared" si="130"/>
        <v>5.4250180489458019E-8</v>
      </c>
      <c r="K245" s="2">
        <f t="shared" si="131"/>
        <v>0.7350590400397099</v>
      </c>
      <c r="L245" s="2">
        <f t="shared" si="132"/>
        <v>9.4425211036200309</v>
      </c>
      <c r="M245" s="2">
        <f t="shared" si="133"/>
        <v>5724.87</v>
      </c>
      <c r="N245">
        <f t="shared" si="134"/>
        <v>4.4566963690172666E-4</v>
      </c>
      <c r="O245" s="2">
        <v>54156</v>
      </c>
      <c r="P245" s="2">
        <v>1</v>
      </c>
      <c r="V245" s="2">
        <f t="shared" si="121"/>
        <v>97908.819708450872</v>
      </c>
      <c r="Y245">
        <f t="shared" si="106"/>
        <v>60419.823555087496</v>
      </c>
      <c r="Z245">
        <f t="shared" si="107"/>
        <v>128213.12700087162</v>
      </c>
    </row>
    <row r="246" spans="1:26" x14ac:dyDescent="0.2">
      <c r="A246" s="2">
        <v>233</v>
      </c>
      <c r="B246" s="2">
        <f t="shared" si="122"/>
        <v>7.4421331585273354</v>
      </c>
      <c r="C246" s="2">
        <f t="shared" si="123"/>
        <v>-1.6597411453412802E-3</v>
      </c>
      <c r="D246" s="2">
        <f t="shared" si="124"/>
        <v>4060.8158190140662</v>
      </c>
      <c r="E246" s="2">
        <f t="shared" si="125"/>
        <v>0.21799446735847974</v>
      </c>
      <c r="F246" s="8">
        <f t="shared" si="126"/>
        <v>3889.8808279983009</v>
      </c>
      <c r="G246" s="2">
        <f t="shared" si="127"/>
        <v>281175.79054448445</v>
      </c>
      <c r="H246" s="2">
        <f t="shared" si="128"/>
        <v>878.24072358740477</v>
      </c>
      <c r="I246" s="2">
        <f t="shared" si="129"/>
        <v>122691.36772445902</v>
      </c>
      <c r="J246" s="2">
        <f t="shared" si="130"/>
        <v>4.8015636012548457E-8</v>
      </c>
      <c r="K246" s="2">
        <f t="shared" si="131"/>
        <v>0.65296281655486665</v>
      </c>
      <c r="L246" s="2">
        <f t="shared" si="132"/>
        <v>9.4399699145479534</v>
      </c>
      <c r="M246" s="2">
        <f t="shared" si="133"/>
        <v>5710.34</v>
      </c>
      <c r="N246">
        <f t="shared" si="134"/>
        <v>3.9589432346633714E-4</v>
      </c>
      <c r="O246" s="2">
        <v>54156</v>
      </c>
      <c r="P246" s="2">
        <v>1</v>
      </c>
      <c r="V246" s="2">
        <f t="shared" si="121"/>
        <v>97486.989708450885</v>
      </c>
      <c r="Y246">
        <f t="shared" si="106"/>
        <v>60810.448133794875</v>
      </c>
      <c r="Z246">
        <f t="shared" si="107"/>
        <v>129091.36772445902</v>
      </c>
    </row>
    <row r="247" spans="1:26" x14ac:dyDescent="0.2">
      <c r="A247" s="2">
        <v>234</v>
      </c>
      <c r="B247" s="2">
        <f t="shared" si="122"/>
        <v>7.4821830671380551</v>
      </c>
      <c r="C247" s="2">
        <f t="shared" si="123"/>
        <v>-1.6545508815403289E-3</v>
      </c>
      <c r="D247" s="2">
        <f t="shared" si="124"/>
        <v>4068.2579521725934</v>
      </c>
      <c r="E247" s="2">
        <f t="shared" si="125"/>
        <v>0.21633472621313846</v>
      </c>
      <c r="F247" s="8">
        <f t="shared" si="126"/>
        <v>3897.913469708968</v>
      </c>
      <c r="G247" s="2">
        <f t="shared" si="127"/>
        <v>285073.70401419344</v>
      </c>
      <c r="H247" s="2">
        <f t="shared" si="128"/>
        <v>873.25658916787552</v>
      </c>
      <c r="I247" s="2">
        <f t="shared" si="129"/>
        <v>123564.6243136269</v>
      </c>
      <c r="J247" s="2">
        <f t="shared" si="130"/>
        <v>4.2527031756827374E-8</v>
      </c>
      <c r="K247" s="2">
        <f t="shared" si="131"/>
        <v>0.58044518907018372</v>
      </c>
      <c r="L247" s="2">
        <f t="shared" si="132"/>
        <v>9.4374342288192121</v>
      </c>
      <c r="M247" s="2">
        <f t="shared" si="133"/>
        <v>5695.81</v>
      </c>
      <c r="N247">
        <f t="shared" si="134"/>
        <v>3.5192655632163629E-4</v>
      </c>
      <c r="O247" s="2">
        <v>54156</v>
      </c>
      <c r="P247" s="2">
        <v>1</v>
      </c>
      <c r="V247" s="2">
        <f>$I$224-(9.81*(A36^2))</f>
        <v>97045.539708450873</v>
      </c>
      <c r="Y247">
        <f t="shared" si="106"/>
        <v>61191.422312821422</v>
      </c>
      <c r="Z247">
        <f t="shared" si="107"/>
        <v>129964.6243136269</v>
      </c>
    </row>
    <row r="248" spans="1:26" x14ac:dyDescent="0.2">
      <c r="A248" s="2">
        <v>235</v>
      </c>
      <c r="B248" s="2">
        <f t="shared" si="122"/>
        <v>7.5223015240822706</v>
      </c>
      <c r="C248" s="2">
        <f t="shared" si="123"/>
        <v>-1.6493426373882056E-3</v>
      </c>
      <c r="D248" s="2">
        <f t="shared" si="124"/>
        <v>4075.7401352397314</v>
      </c>
      <c r="E248" s="2">
        <f t="shared" si="125"/>
        <v>0.21468017533159814</v>
      </c>
      <c r="F248" s="8">
        <f t="shared" si="126"/>
        <v>3905.9753726760787</v>
      </c>
      <c r="G248" s="2">
        <f t="shared" si="127"/>
        <v>288979.67938686954</v>
      </c>
      <c r="H248" s="2">
        <f t="shared" si="128"/>
        <v>868.27512137015958</v>
      </c>
      <c r="I248" s="2">
        <f t="shared" si="129"/>
        <v>124432.89943499706</v>
      </c>
      <c r="J248" s="2">
        <f t="shared" si="130"/>
        <v>3.7691913280465003E-8</v>
      </c>
      <c r="K248" s="2">
        <f t="shared" si="131"/>
        <v>0.51634542791781324</v>
      </c>
      <c r="L248" s="2">
        <f t="shared" si="132"/>
        <v>9.4349140206503179</v>
      </c>
      <c r="M248" s="2">
        <f t="shared" si="133"/>
        <v>5681.28</v>
      </c>
      <c r="N248">
        <f t="shared" si="134"/>
        <v>3.1306257979436163E-4</v>
      </c>
      <c r="O248" s="2">
        <v>54156</v>
      </c>
      <c r="P248" s="2">
        <v>1</v>
      </c>
      <c r="V248" s="2">
        <f t="shared" si="121"/>
        <v>96584.469708450881</v>
      </c>
      <c r="Y248">
        <f t="shared" si="106"/>
        <v>61562.773353406017</v>
      </c>
      <c r="Z248">
        <f t="shared" si="107"/>
        <v>130832.89943499706</v>
      </c>
    </row>
    <row r="249" spans="1:26" x14ac:dyDescent="0.2">
      <c r="A249" s="2">
        <v>236</v>
      </c>
      <c r="B249" s="2">
        <f t="shared" si="122"/>
        <v>7.5624895044243221</v>
      </c>
      <c r="C249" s="2">
        <f t="shared" si="123"/>
        <v>-1.6441165993126329E-3</v>
      </c>
      <c r="D249" s="2">
        <f t="shared" si="124"/>
        <v>4083.2624367638136</v>
      </c>
      <c r="E249" s="2">
        <f t="shared" si="125"/>
        <v>0.21303083269420994</v>
      </c>
      <c r="F249" s="8">
        <f t="shared" si="126"/>
        <v>3914.0666475899429</v>
      </c>
      <c r="G249" s="2">
        <f t="shared" si="127"/>
        <v>292893.7460344595</v>
      </c>
      <c r="H249" s="2">
        <f t="shared" si="128"/>
        <v>863.29635336936599</v>
      </c>
      <c r="I249" s="2">
        <f t="shared" si="129"/>
        <v>125296.19578836643</v>
      </c>
      <c r="J249" s="2">
        <f t="shared" si="130"/>
        <v>3.3429652195189561E-8</v>
      </c>
      <c r="K249" s="2">
        <f t="shared" si="131"/>
        <v>0.45964826550833915</v>
      </c>
      <c r="L249" s="2">
        <f t="shared" si="132"/>
        <v>9.4324092642927617</v>
      </c>
      <c r="M249" s="2">
        <f t="shared" si="133"/>
        <v>5666.75</v>
      </c>
      <c r="N249">
        <f t="shared" si="134"/>
        <v>2.786868325305452E-4</v>
      </c>
      <c r="O249" s="2">
        <v>54156</v>
      </c>
      <c r="P249" s="2">
        <v>1</v>
      </c>
      <c r="V249" s="2">
        <f t="shared" si="121"/>
        <v>96103.779708450878</v>
      </c>
      <c r="Y249">
        <f t="shared" si="106"/>
        <v>61924.528925611114</v>
      </c>
      <c r="Z249">
        <f t="shared" si="107"/>
        <v>131696.19578836643</v>
      </c>
    </row>
    <row r="250" spans="1:26" x14ac:dyDescent="0.2">
      <c r="A250" s="2">
        <v>237</v>
      </c>
      <c r="B250" s="2">
        <f t="shared" si="122"/>
        <v>7.6027479744355899</v>
      </c>
      <c r="C250" s="2">
        <f t="shared" si="123"/>
        <v>-1.6388729526605236E-3</v>
      </c>
      <c r="D250" s="2">
        <f t="shared" si="124"/>
        <v>4090.824926268238</v>
      </c>
      <c r="E250" s="2">
        <f t="shared" si="125"/>
        <v>0.21138671609489731</v>
      </c>
      <c r="F250" s="8">
        <f t="shared" si="126"/>
        <v>3922.1874063271894</v>
      </c>
      <c r="G250" s="2">
        <f t="shared" si="127"/>
        <v>296815.93344078667</v>
      </c>
      <c r="H250" s="2">
        <f t="shared" si="128"/>
        <v>858.32031896567867</v>
      </c>
      <c r="I250" s="2">
        <f t="shared" si="129"/>
        <v>126154.51610733211</v>
      </c>
      <c r="J250" s="2">
        <f t="shared" si="130"/>
        <v>2.9669889663598521E-8</v>
      </c>
      <c r="K250" s="2">
        <f t="shared" si="131"/>
        <v>0.40946510695884236</v>
      </c>
      <c r="L250" s="2">
        <f t="shared" si="132"/>
        <v>9.4299199340308899</v>
      </c>
      <c r="M250" s="2">
        <f t="shared" si="133"/>
        <v>5652.22</v>
      </c>
      <c r="N250">
        <f t="shared" si="134"/>
        <v>2.4826055541391005E-4</v>
      </c>
      <c r="O250" s="2">
        <v>54156</v>
      </c>
      <c r="P250" s="2">
        <v>1</v>
      </c>
      <c r="V250" s="2">
        <f t="shared" si="121"/>
        <v>95603.469708450881</v>
      </c>
      <c r="Y250">
        <f t="shared" si="106"/>
        <v>62276.717106393873</v>
      </c>
      <c r="Z250">
        <f t="shared" si="107"/>
        <v>132554.51610733211</v>
      </c>
    </row>
    <row r="251" spans="1:26" x14ac:dyDescent="0.2">
      <c r="A251" s="2">
        <v>238</v>
      </c>
      <c r="B251" s="2">
        <f t="shared" si="122"/>
        <v>7.6430778943326239</v>
      </c>
      <c r="C251" s="2">
        <f t="shared" si="123"/>
        <v>-1.6336118816931587E-3</v>
      </c>
      <c r="D251" s="2">
        <f t="shared" si="124"/>
        <v>4098.4276742426737</v>
      </c>
      <c r="E251" s="2">
        <f t="shared" si="125"/>
        <v>0.2097478431422368</v>
      </c>
      <c r="F251" s="8">
        <f t="shared" si="126"/>
        <v>3930.3377619409293</v>
      </c>
      <c r="G251" s="2">
        <f t="shared" si="127"/>
        <v>300746.27120272757</v>
      </c>
      <c r="H251" s="2">
        <f t="shared" si="128"/>
        <v>853.347052581816</v>
      </c>
      <c r="I251" s="2">
        <f t="shared" si="129"/>
        <v>127007.86315991392</v>
      </c>
      <c r="J251" s="2">
        <f t="shared" si="130"/>
        <v>2.6351190181480521E-8</v>
      </c>
      <c r="K251" s="2">
        <f t="shared" si="131"/>
        <v>0.36501773563571693</v>
      </c>
      <c r="L251" s="2">
        <f t="shared" si="132"/>
        <v>9.4274460041798456</v>
      </c>
      <c r="M251" s="2">
        <f t="shared" si="133"/>
        <v>5637.69</v>
      </c>
      <c r="N251">
        <f t="shared" si="134"/>
        <v>2.2131191216241913E-4</v>
      </c>
      <c r="O251" s="2">
        <v>54156</v>
      </c>
      <c r="P251" s="2">
        <v>1</v>
      </c>
      <c r="V251" s="2">
        <f t="shared" si="121"/>
        <v>95083.539708450873</v>
      </c>
      <c r="Y251">
        <f t="shared" si="106"/>
        <v>62619.366377678605</v>
      </c>
      <c r="Z251">
        <f t="shared" si="107"/>
        <v>133407.86315991392</v>
      </c>
    </row>
    <row r="252" spans="1:26" x14ac:dyDescent="0.2">
      <c r="A252" s="2">
        <v>239</v>
      </c>
      <c r="B252" s="2">
        <f t="shared" si="122"/>
        <v>7.6834802206745003</v>
      </c>
      <c r="C252" s="2">
        <f t="shared" si="123"/>
        <v>-1.6283335695796298E-3</v>
      </c>
      <c r="D252" s="2">
        <f t="shared" si="124"/>
        <v>4106.0707521370059</v>
      </c>
      <c r="E252" s="2">
        <f t="shared" si="125"/>
        <v>0.20811423126054363</v>
      </c>
      <c r="F252" s="8">
        <f t="shared" si="126"/>
        <v>3938.5178286535443</v>
      </c>
      <c r="G252" s="2">
        <f t="shared" si="127"/>
        <v>304684.78903138114</v>
      </c>
      <c r="H252" s="2">
        <f t="shared" si="128"/>
        <v>848.37658926122356</v>
      </c>
      <c r="I252" s="2">
        <f t="shared" si="129"/>
        <v>127856.23974917515</v>
      </c>
      <c r="J252" s="2">
        <f t="shared" si="130"/>
        <v>2.3419876541888581E-8</v>
      </c>
      <c r="K252" s="2">
        <f t="shared" si="131"/>
        <v>0.32562417381410241</v>
      </c>
      <c r="L252" s="2">
        <f t="shared" si="132"/>
        <v>9.4249874490834511</v>
      </c>
      <c r="M252" s="2">
        <f t="shared" si="133"/>
        <v>5623.16</v>
      </c>
      <c r="N252">
        <f t="shared" si="134"/>
        <v>1.9742741658182439E-4</v>
      </c>
      <c r="O252" s="2">
        <v>54156</v>
      </c>
      <c r="P252" s="2">
        <v>1</v>
      </c>
      <c r="V252" s="2">
        <f t="shared" si="121"/>
        <v>94543.989708450885</v>
      </c>
      <c r="Y252">
        <f t="shared" si="106"/>
        <v>62952.505624431564</v>
      </c>
      <c r="Z252">
        <f t="shared" si="107"/>
        <v>134256.23974917515</v>
      </c>
    </row>
    <row r="253" spans="1:26" x14ac:dyDescent="0.2">
      <c r="A253" s="2">
        <v>240</v>
      </c>
      <c r="B253" s="2">
        <f t="shared" si="122"/>
        <v>7.7239559084653502</v>
      </c>
      <c r="C253" s="2">
        <f t="shared" si="123"/>
        <v>-1.6230381983888449E-3</v>
      </c>
      <c r="D253" s="2">
        <f t="shared" si="124"/>
        <v>4113.7542323576808</v>
      </c>
      <c r="E253" s="2">
        <f t="shared" si="125"/>
        <v>0.20648589769096398</v>
      </c>
      <c r="F253" s="8">
        <f t="shared" si="126"/>
        <v>3946.7277218517434</v>
      </c>
      <c r="G253" s="2">
        <f t="shared" si="127"/>
        <v>308631.51675323286</v>
      </c>
      <c r="H253" s="2">
        <f t="shared" si="128"/>
        <v>843.40896466690242</v>
      </c>
      <c r="I253" s="2">
        <f t="shared" si="129"/>
        <v>128699.64871384205</v>
      </c>
      <c r="J253" s="2">
        <f t="shared" si="130"/>
        <v>2.0829020996877963E-8</v>
      </c>
      <c r="K253" s="2">
        <f t="shared" si="131"/>
        <v>0.29068640603656054</v>
      </c>
      <c r="L253" s="2">
        <f t="shared" si="132"/>
        <v>9.4225442431121564</v>
      </c>
      <c r="M253" s="2">
        <f t="shared" si="133"/>
        <v>5608.63</v>
      </c>
      <c r="N253">
        <f t="shared" si="134"/>
        <v>1.7624448918223383E-4</v>
      </c>
      <c r="O253" s="2">
        <v>54156</v>
      </c>
      <c r="P253" s="2">
        <v>1</v>
      </c>
      <c r="V253" s="2">
        <f t="shared" si="121"/>
        <v>93984.819708450872</v>
      </c>
      <c r="Y253">
        <f t="shared" si="106"/>
        <v>63276.164132740385</v>
      </c>
      <c r="Z253">
        <f t="shared" si="107"/>
        <v>135099.64871384203</v>
      </c>
    </row>
    <row r="254" spans="1:26" x14ac:dyDescent="0.2">
      <c r="A254" s="2">
        <v>241</v>
      </c>
      <c r="B254" s="2">
        <f t="shared" si="122"/>
        <v>7.7645059130016501</v>
      </c>
      <c r="C254" s="2">
        <f t="shared" si="123"/>
        <v>-1.6177259490803165E-3</v>
      </c>
      <c r="D254" s="2">
        <f t="shared" si="124"/>
        <v>4121.4781882661464</v>
      </c>
      <c r="E254" s="2">
        <f t="shared" si="125"/>
        <v>0.20486285949257513</v>
      </c>
      <c r="F254" s="8">
        <f t="shared" si="126"/>
        <v>3954.9675580836174</v>
      </c>
      <c r="G254" s="2">
        <f t="shared" si="127"/>
        <v>312586.48431131645</v>
      </c>
      <c r="H254" s="2">
        <f t="shared" si="128"/>
        <v>838.44421508079631</v>
      </c>
      <c r="I254" s="2">
        <f t="shared" si="129"/>
        <v>129538.09292892285</v>
      </c>
      <c r="J254" s="2">
        <f t="shared" si="130"/>
        <v>1.8537571156630397E-8</v>
      </c>
      <c r="K254" s="2">
        <f t="shared" si="131"/>
        <v>0.25967971338105778</v>
      </c>
      <c r="L254" s="2">
        <f t="shared" si="132"/>
        <v>9.4201163606609484</v>
      </c>
      <c r="M254" s="2">
        <f t="shared" si="133"/>
        <v>5594.1</v>
      </c>
      <c r="N254">
        <f t="shared" si="134"/>
        <v>1.5744499049631219E-4</v>
      </c>
      <c r="O254" s="2">
        <v>54156</v>
      </c>
      <c r="P254" s="2">
        <v>1</v>
      </c>
      <c r="V254" s="2">
        <f t="shared" si="121"/>
        <v>93406.029708450878</v>
      </c>
      <c r="Y254">
        <f t="shared" si="106"/>
        <v>63590.371587899623</v>
      </c>
      <c r="Z254">
        <f t="shared" si="107"/>
        <v>135938.09292892285</v>
      </c>
    </row>
    <row r="255" spans="1:26" x14ac:dyDescent="0.2">
      <c r="A255" s="2">
        <v>242</v>
      </c>
      <c r="B255" s="2">
        <f t="shared" si="122"/>
        <v>7.8051311914985462</v>
      </c>
      <c r="C255" s="2">
        <f t="shared" si="123"/>
        <v>-1.6123970014939339E-3</v>
      </c>
      <c r="D255" s="2">
        <f t="shared" si="124"/>
        <v>4129.2426941791482</v>
      </c>
      <c r="E255" s="2">
        <f t="shared" si="125"/>
        <v>0.2032451335434948</v>
      </c>
      <c r="F255" s="8">
        <f t="shared" si="126"/>
        <v>3963.237455057455</v>
      </c>
      <c r="G255" s="2">
        <f t="shared" si="127"/>
        <v>316549.7217663739</v>
      </c>
      <c r="H255" s="2">
        <f t="shared" si="128"/>
        <v>833.4823774036671</v>
      </c>
      <c r="I255" s="2">
        <f t="shared" si="129"/>
        <v>130371.57530632651</v>
      </c>
      <c r="J255" s="2">
        <f t="shared" si="130"/>
        <v>1.6509592181908891E-8</v>
      </c>
      <c r="K255" s="2">
        <f t="shared" si="131"/>
        <v>0.23214340170525974</v>
      </c>
      <c r="L255" s="2">
        <f t="shared" si="132"/>
        <v>9.4177037761472953</v>
      </c>
      <c r="M255" s="2">
        <f t="shared" si="133"/>
        <v>5579.57</v>
      </c>
      <c r="N255">
        <f t="shared" si="134"/>
        <v>1.4074959957165566E-4</v>
      </c>
      <c r="O255" s="2">
        <v>54156</v>
      </c>
      <c r="P255" s="2">
        <v>1</v>
      </c>
      <c r="V255" s="2">
        <f t="shared" si="121"/>
        <v>92807.619708450875</v>
      </c>
      <c r="Y255">
        <f t="shared" si="106"/>
        <v>63895.158072503473</v>
      </c>
      <c r="Z255">
        <f t="shared" si="107"/>
        <v>136771.5753063265</v>
      </c>
    </row>
    <row r="256" spans="1:26" x14ac:dyDescent="0.2">
      <c r="A256" s="2">
        <v>243</v>
      </c>
      <c r="B256" s="2">
        <f t="shared" si="122"/>
        <v>7.8458327045247387</v>
      </c>
      <c r="C256" s="2">
        <f t="shared" si="123"/>
        <v>-1.607051534338898E-3</v>
      </c>
      <c r="D256" s="2">
        <f t="shared" si="124"/>
        <v>4137.0478253706469</v>
      </c>
      <c r="E256" s="2">
        <f t="shared" si="125"/>
        <v>0.20163273654200087</v>
      </c>
      <c r="F256" s="8">
        <f t="shared" si="126"/>
        <v>3971.5375316421014</v>
      </c>
      <c r="G256" s="2">
        <f t="shared" si="127"/>
        <v>320521.25929801603</v>
      </c>
      <c r="H256" s="2">
        <f t="shared" si="128"/>
        <v>828.52348915540108</v>
      </c>
      <c r="I256" s="2">
        <f t="shared" si="129"/>
        <v>131200.09879548193</v>
      </c>
      <c r="J256" s="2">
        <f t="shared" si="130"/>
        <v>1.4713609408983266E-8</v>
      </c>
      <c r="K256" s="2">
        <f t="shared" si="131"/>
        <v>0.20767273685708038</v>
      </c>
      <c r="L256" s="2">
        <f t="shared" si="132"/>
        <v>9.4153064640090669</v>
      </c>
      <c r="M256" s="2">
        <f t="shared" si="133"/>
        <v>5565.04</v>
      </c>
      <c r="N256">
        <f t="shared" si="134"/>
        <v>1.2591292425229251E-4</v>
      </c>
      <c r="O256" s="2">
        <v>54156</v>
      </c>
      <c r="P256" s="2">
        <v>1</v>
      </c>
      <c r="V256" s="2">
        <f t="shared" si="121"/>
        <v>92189.589708450876</v>
      </c>
      <c r="Y256">
        <f t="shared" si="106"/>
        <v>64190.554064548</v>
      </c>
      <c r="Z256">
        <f t="shared" si="107"/>
        <v>137600.09879548193</v>
      </c>
    </row>
    <row r="257" spans="1:26" x14ac:dyDescent="0.2">
      <c r="A257" s="2">
        <v>244</v>
      </c>
      <c r="B257" s="2">
        <f t="shared" si="122"/>
        <v>7.8866114172715278</v>
      </c>
      <c r="C257" s="2">
        <f t="shared" si="123"/>
        <v>-1.6016897251819764E-3</v>
      </c>
      <c r="D257" s="2">
        <f t="shared" si="124"/>
        <v>4144.8936580751715</v>
      </c>
      <c r="E257" s="2">
        <f t="shared" si="125"/>
        <v>0.20002568500766196</v>
      </c>
      <c r="F257" s="8">
        <f t="shared" si="126"/>
        <v>3979.8679078686841</v>
      </c>
      <c r="G257" s="2">
        <f t="shared" si="127"/>
        <v>324501.12720588472</v>
      </c>
      <c r="H257" s="2">
        <f t="shared" si="128"/>
        <v>823.56758847569222</v>
      </c>
      <c r="I257" s="2">
        <f t="shared" si="129"/>
        <v>132023.66638395761</v>
      </c>
      <c r="J257" s="2">
        <f t="shared" si="130"/>
        <v>1.3122037759766232E-8</v>
      </c>
      <c r="K257" s="2">
        <f t="shared" si="131"/>
        <v>0.18591192554363839</v>
      </c>
      <c r="L257" s="2">
        <f t="shared" si="132"/>
        <v>9.41292439870249</v>
      </c>
      <c r="M257" s="2">
        <f t="shared" si="133"/>
        <v>5550.51</v>
      </c>
      <c r="N257">
        <f t="shared" si="134"/>
        <v>1.127192454476284E-4</v>
      </c>
      <c r="O257" s="2">
        <v>54156</v>
      </c>
      <c r="P257" s="2">
        <v>1</v>
      </c>
      <c r="V257" s="2">
        <f t="shared" si="121"/>
        <v>91551.939708450882</v>
      </c>
      <c r="Y257">
        <f t="shared" si="106"/>
        <v>64476.590435543498</v>
      </c>
      <c r="Z257">
        <f t="shared" si="107"/>
        <v>138423.66638395761</v>
      </c>
    </row>
    <row r="258" spans="1:26" x14ac:dyDescent="0.2">
      <c r="A258" s="2">
        <v>245</v>
      </c>
      <c r="B258" s="2">
        <f t="shared" si="122"/>
        <v>7.9274683006780631</v>
      </c>
      <c r="C258" s="2">
        <f t="shared" si="123"/>
        <v>-1.5963117504351851E-3</v>
      </c>
      <c r="D258" s="2">
        <f t="shared" si="124"/>
        <v>4152.780269492443</v>
      </c>
      <c r="E258" s="2">
        <f t="shared" si="125"/>
        <v>0.19842399528247998</v>
      </c>
      <c r="F258" s="8">
        <f t="shared" si="126"/>
        <v>3988.2287049335355</v>
      </c>
      <c r="G258" s="2">
        <f t="shared" si="127"/>
        <v>328489.35591081827</v>
      </c>
      <c r="H258" s="2">
        <f t="shared" si="128"/>
        <v>818.61471412506182</v>
      </c>
      <c r="I258" s="2">
        <f t="shared" si="129"/>
        <v>132842.28109808266</v>
      </c>
      <c r="J258" s="2">
        <f t="shared" si="130"/>
        <v>1.1710686187849293E-8</v>
      </c>
      <c r="K258" s="2">
        <f t="shared" si="131"/>
        <v>0.16654800264012612</v>
      </c>
      <c r="L258" s="2">
        <f t="shared" si="132"/>
        <v>9.4105575547000431</v>
      </c>
      <c r="M258" s="2">
        <f t="shared" si="133"/>
        <v>5535.98</v>
      </c>
      <c r="N258">
        <f t="shared" si="134"/>
        <v>1.0097881098003089E-4</v>
      </c>
      <c r="O258" s="2">
        <v>54156</v>
      </c>
      <c r="P258" s="2">
        <v>1</v>
      </c>
      <c r="V258" s="2">
        <f t="shared" si="121"/>
        <v>90894.669708450878</v>
      </c>
      <c r="Y258">
        <f t="shared" si="106"/>
        <v>64753.29844863819</v>
      </c>
      <c r="Z258">
        <f t="shared" si="107"/>
        <v>139242.28109808266</v>
      </c>
    </row>
    <row r="259" spans="1:26" x14ac:dyDescent="0.2">
      <c r="A259" s="2">
        <v>246</v>
      </c>
      <c r="B259" s="2">
        <f t="shared" si="122"/>
        <v>7.9684043324319491</v>
      </c>
      <c r="C259" s="2">
        <f t="shared" si="123"/>
        <v>-1.5909177853430502E-3</v>
      </c>
      <c r="D259" s="2">
        <f t="shared" si="124"/>
        <v>4160.7077377931209</v>
      </c>
      <c r="E259" s="2">
        <f t="shared" si="125"/>
        <v>0.1968276835320448</v>
      </c>
      <c r="F259" s="8">
        <f t="shared" si="126"/>
        <v>3996.620045202194</v>
      </c>
      <c r="G259" s="2">
        <f t="shared" si="127"/>
        <v>332485.97595602047</v>
      </c>
      <c r="H259" s="2">
        <f t="shared" si="128"/>
        <v>813.66490548617401</v>
      </c>
      <c r="I259" s="2">
        <f t="shared" si="129"/>
        <v>133655.94600356882</v>
      </c>
      <c r="J259" s="2">
        <f t="shared" si="130"/>
        <v>1.0458327039356291E-8</v>
      </c>
      <c r="K259" s="2">
        <f t="shared" si="131"/>
        <v>0.14930550471528278</v>
      </c>
      <c r="L259" s="2">
        <f t="shared" si="132"/>
        <v>9.4082059064884334</v>
      </c>
      <c r="M259" s="2">
        <f t="shared" si="133"/>
        <v>5521.45</v>
      </c>
      <c r="N259">
        <f t="shared" si="134"/>
        <v>9.0524606119114442E-5</v>
      </c>
      <c r="O259" s="2">
        <v>54156</v>
      </c>
      <c r="P259" s="2">
        <v>1</v>
      </c>
      <c r="V259" s="2">
        <f>$I$224-(9.81*(A48^2))</f>
        <v>90217.779708450878</v>
      </c>
      <c r="Y259">
        <f t="shared" si="106"/>
        <v>65020.709756755634</v>
      </c>
      <c r="Z259">
        <f t="shared" si="107"/>
        <v>140055.94600356882</v>
      </c>
    </row>
    <row r="260" spans="1:26" x14ac:dyDescent="0.2">
      <c r="A260" s="2">
        <v>247</v>
      </c>
      <c r="B260" s="2">
        <f t="shared" si="122"/>
        <v>8.0094204978618091</v>
      </c>
      <c r="C260" s="2">
        <f t="shared" si="123"/>
        <v>-1.585508003969502E-3</v>
      </c>
      <c r="D260" s="2">
        <f t="shared" si="124"/>
        <v>4168.6761421255533</v>
      </c>
      <c r="E260" s="2">
        <f t="shared" si="125"/>
        <v>0.19523676574670176</v>
      </c>
      <c r="F260" s="8">
        <f t="shared" si="126"/>
        <v>4005.042052214349</v>
      </c>
      <c r="G260" s="2">
        <f t="shared" si="127"/>
        <v>336491.01800823479</v>
      </c>
      <c r="H260" s="2">
        <f t="shared" si="128"/>
        <v>808.71820256541696</v>
      </c>
      <c r="I260" s="2">
        <f t="shared" si="129"/>
        <v>134464.66420613424</v>
      </c>
      <c r="J260" s="2">
        <f t="shared" si="130"/>
        <v>9.346321605151406E-9</v>
      </c>
      <c r="K260" s="2">
        <f t="shared" si="131"/>
        <v>0.13394182589382714</v>
      </c>
      <c r="L260" s="2">
        <f t="shared" si="132"/>
        <v>9.4058694285664899</v>
      </c>
      <c r="M260" s="2">
        <f t="shared" si="133"/>
        <v>5506.92</v>
      </c>
      <c r="N260">
        <f t="shared" si="134"/>
        <v>8.120953782002517E-5</v>
      </c>
      <c r="O260" s="2">
        <v>54156</v>
      </c>
      <c r="P260" s="2">
        <v>1</v>
      </c>
      <c r="V260" s="2">
        <f t="shared" si="121"/>
        <v>89521.269708450884</v>
      </c>
      <c r="Y260">
        <f t="shared" si="106"/>
        <v>65278.856400745353</v>
      </c>
      <c r="Z260">
        <f t="shared" si="107"/>
        <v>140864.66420613424</v>
      </c>
    </row>
    <row r="261" spans="1:26" x14ac:dyDescent="0.2">
      <c r="A261" s="2">
        <v>248</v>
      </c>
      <c r="B261" s="2">
        <f t="shared" si="122"/>
        <v>8.0505177907360714</v>
      </c>
      <c r="C261" s="2">
        <f t="shared" si="123"/>
        <v>-1.580082579184528E-3</v>
      </c>
      <c r="D261" s="2">
        <f t="shared" si="124"/>
        <v>4176.6855626234146</v>
      </c>
      <c r="E261" s="2">
        <f t="shared" si="125"/>
        <v>0.19365125774273226</v>
      </c>
      <c r="F261" s="8">
        <f t="shared" si="126"/>
        <v>4013.4948506896335</v>
      </c>
      <c r="G261" s="2">
        <f t="shared" si="127"/>
        <v>340504.51285892446</v>
      </c>
      <c r="H261" s="2">
        <f t="shared" si="128"/>
        <v>803.77464599471932</v>
      </c>
      <c r="I261" s="2">
        <f t="shared" si="129"/>
        <v>135268.43885212895</v>
      </c>
      <c r="J261" s="2">
        <f t="shared" si="130"/>
        <v>8.358294341289922E-9</v>
      </c>
      <c r="K261" s="2">
        <f t="shared" si="131"/>
        <v>0.12024316624653576</v>
      </c>
      <c r="L261" s="2">
        <f t="shared" si="132"/>
        <v>9.4035480954431225</v>
      </c>
      <c r="M261" s="2">
        <f t="shared" si="133"/>
        <v>5492.39</v>
      </c>
      <c r="N261">
        <f t="shared" si="134"/>
        <v>7.2903978213930326E-5</v>
      </c>
      <c r="O261" s="2">
        <v>54156</v>
      </c>
      <c r="P261" s="2">
        <v>1</v>
      </c>
      <c r="V261" s="2">
        <f t="shared" si="121"/>
        <v>88805.139708450879</v>
      </c>
      <c r="Y261">
        <f t="shared" si="106"/>
        <v>65527.770807549125</v>
      </c>
      <c r="Z261">
        <f t="shared" si="107"/>
        <v>141668.43885212895</v>
      </c>
    </row>
    <row r="262" spans="1:26" x14ac:dyDescent="0.2">
      <c r="A262" s="2">
        <v>249</v>
      </c>
      <c r="B262" s="2">
        <f t="shared" si="122"/>
        <v>8.0916972139805292</v>
      </c>
      <c r="C262" s="2">
        <f t="shared" si="123"/>
        <v>-1.5746416826506132E-3</v>
      </c>
      <c r="D262" s="2">
        <f t="shared" si="124"/>
        <v>4184.7360804141508</v>
      </c>
      <c r="E262" s="2">
        <f t="shared" si="125"/>
        <v>0.19207117516354774</v>
      </c>
      <c r="F262" s="8">
        <f t="shared" si="126"/>
        <v>4021.9785665341742</v>
      </c>
      <c r="G262" s="2">
        <f t="shared" si="127"/>
        <v>344526.49142545863</v>
      </c>
      <c r="H262" s="2">
        <f t="shared" si="128"/>
        <v>798.83427703358154</v>
      </c>
      <c r="I262" s="2">
        <f t="shared" si="129"/>
        <v>136067.27312916252</v>
      </c>
      <c r="J262" s="2">
        <f t="shared" si="130"/>
        <v>7.4798492660977261E-9</v>
      </c>
      <c r="K262" s="2">
        <f t="shared" si="131"/>
        <v>0.10802099501862948</v>
      </c>
      <c r="L262" s="2">
        <f t="shared" si="132"/>
        <v>9.4012418816352081</v>
      </c>
      <c r="M262" s="2">
        <f t="shared" si="133"/>
        <v>5477.86</v>
      </c>
      <c r="N262">
        <f t="shared" si="134"/>
        <v>6.5493620247313855E-5</v>
      </c>
      <c r="O262" s="2">
        <v>54156</v>
      </c>
      <c r="P262" s="2">
        <v>1</v>
      </c>
      <c r="V262" s="2">
        <f t="shared" si="121"/>
        <v>88069.389708450879</v>
      </c>
      <c r="Y262">
        <f t="shared" si="106"/>
        <v>65767.485788383376</v>
      </c>
      <c r="Z262">
        <f t="shared" si="107"/>
        <v>142467.27312916252</v>
      </c>
    </row>
    <row r="263" spans="1:26" x14ac:dyDescent="0.2">
      <c r="A263" s="2">
        <v>250</v>
      </c>
      <c r="B263" s="2">
        <f t="shared" si="122"/>
        <v>8.1329597803253737</v>
      </c>
      <c r="C263" s="2">
        <f t="shared" si="123"/>
        <v>-1.569185484809089E-3</v>
      </c>
      <c r="D263" s="2">
        <f t="shared" si="124"/>
        <v>4192.8277776281311</v>
      </c>
      <c r="E263" s="2">
        <f t="shared" si="125"/>
        <v>0.19049653348089712</v>
      </c>
      <c r="F263" s="8">
        <f t="shared" si="126"/>
        <v>4030.4933268478248</v>
      </c>
      <c r="G263" s="2">
        <f t="shared" si="127"/>
        <v>348556.98475230648</v>
      </c>
      <c r="H263" s="2">
        <f t="shared" si="128"/>
        <v>793.89713757129573</v>
      </c>
      <c r="I263" s="2">
        <f t="shared" si="129"/>
        <v>136861.17026673382</v>
      </c>
      <c r="J263" s="2">
        <f t="shared" si="130"/>
        <v>6.6983229291633115E-9</v>
      </c>
      <c r="K263" s="2">
        <f t="shared" si="131"/>
        <v>9.7108961453065773E-2</v>
      </c>
      <c r="L263" s="2">
        <f t="shared" si="132"/>
        <v>9.3989507616655619</v>
      </c>
      <c r="M263" s="2">
        <f t="shared" si="133"/>
        <v>5463.33</v>
      </c>
      <c r="N263">
        <f t="shared" si="134"/>
        <v>5.8877604700098065E-5</v>
      </c>
      <c r="O263" s="2">
        <v>54156</v>
      </c>
      <c r="P263" s="2">
        <v>1</v>
      </c>
      <c r="V263" s="2">
        <f t="shared" si="121"/>
        <v>87314.019708450884</v>
      </c>
      <c r="Y263">
        <f t="shared" si="106"/>
        <v>65998.034536938896</v>
      </c>
      <c r="Z263">
        <f t="shared" si="107"/>
        <v>143261.17026673382</v>
      </c>
    </row>
    <row r="264" spans="1:26" x14ac:dyDescent="0.2">
      <c r="A264" s="2">
        <v>251</v>
      </c>
      <c r="B264" s="2">
        <f t="shared" si="122"/>
        <v>8.1743065128911745</v>
      </c>
      <c r="C264" s="2">
        <f t="shared" si="123"/>
        <v>-1.563714154866379E-3</v>
      </c>
      <c r="D264" s="2">
        <f t="shared" si="124"/>
        <v>4200.9607374084562</v>
      </c>
      <c r="E264" s="2">
        <f t="shared" si="125"/>
        <v>0.18892734799608804</v>
      </c>
      <c r="F264" s="8">
        <f t="shared" si="126"/>
        <v>4039.0392599320035</v>
      </c>
      <c r="G264" s="2">
        <f t="shared" si="127"/>
        <v>352596.02401223849</v>
      </c>
      <c r="H264" s="2">
        <f t="shared" si="128"/>
        <v>788.9632701293433</v>
      </c>
      <c r="I264" s="2">
        <f t="shared" si="129"/>
        <v>137650.13353686317</v>
      </c>
      <c r="J264" s="2">
        <f t="shared" si="130"/>
        <v>6.0025691105167197E-9</v>
      </c>
      <c r="K264" s="2">
        <f t="shared" si="131"/>
        <v>8.7360194973489722E-2</v>
      </c>
      <c r="L264" s="2">
        <f t="shared" si="132"/>
        <v>9.3966747100608039</v>
      </c>
      <c r="M264" s="2">
        <f t="shared" si="133"/>
        <v>5448.8</v>
      </c>
      <c r="N264">
        <f t="shared" si="134"/>
        <v>5.2966883274295766E-5</v>
      </c>
      <c r="O264" s="2">
        <v>54156</v>
      </c>
      <c r="P264" s="2">
        <v>1</v>
      </c>
      <c r="V264" s="2">
        <f t="shared" si="121"/>
        <v>86539.029708450878</v>
      </c>
      <c r="Y264">
        <f t="shared" si="106"/>
        <v>66219.450627598766</v>
      </c>
      <c r="Z264">
        <f t="shared" si="107"/>
        <v>144050.13353686317</v>
      </c>
    </row>
    <row r="265" spans="1:26" x14ac:dyDescent="0.2">
      <c r="A265" s="2">
        <v>252</v>
      </c>
      <c r="B265" s="2">
        <f t="shared" si="122"/>
        <v>8.2157384457218612</v>
      </c>
      <c r="C265" s="2">
        <f t="shared" si="123"/>
        <v>-1.5582278607802432E-3</v>
      </c>
      <c r="D265" s="2">
        <f t="shared" si="124"/>
        <v>4209.1350439213475</v>
      </c>
      <c r="E265" s="2">
        <f t="shared" si="125"/>
        <v>0.18736363384122165</v>
      </c>
      <c r="F265" s="8">
        <f t="shared" si="126"/>
        <v>4047.6164952980971</v>
      </c>
      <c r="G265" s="2">
        <f t="shared" si="127"/>
        <v>356643.64050753659</v>
      </c>
      <c r="H265" s="2">
        <f t="shared" si="128"/>
        <v>784.03271786394794</v>
      </c>
      <c r="I265" s="2">
        <f t="shared" si="129"/>
        <v>138434.16625472711</v>
      </c>
      <c r="J265" s="2">
        <f t="shared" si="130"/>
        <v>5.3827710650309776E-9</v>
      </c>
      <c r="K265" s="2">
        <f t="shared" si="131"/>
        <v>7.8644944264241901E-2</v>
      </c>
      <c r="L265" s="2">
        <f t="shared" si="132"/>
        <v>9.3944137013492881</v>
      </c>
      <c r="M265" s="2">
        <f t="shared" si="133"/>
        <v>5434.27</v>
      </c>
      <c r="N265">
        <f t="shared" si="134"/>
        <v>4.7682787157488376E-5</v>
      </c>
      <c r="O265" s="2">
        <v>54156</v>
      </c>
      <c r="P265" s="2">
        <v>1</v>
      </c>
      <c r="V265" s="2">
        <f t="shared" si="121"/>
        <v>85744.419708450878</v>
      </c>
      <c r="Y265">
        <f t="shared" si="106"/>
        <v>66431.768013675988</v>
      </c>
      <c r="Z265">
        <f t="shared" si="107"/>
        <v>144834.16625472711</v>
      </c>
    </row>
    <row r="266" spans="1:26" x14ac:dyDescent="0.2">
      <c r="A266" s="2">
        <v>253</v>
      </c>
      <c r="B266" s="2">
        <f t="shared" si="122"/>
        <v>8.257256624271875</v>
      </c>
      <c r="C266" s="2">
        <f t="shared" si="123"/>
        <v>-1.5527267692460383E-3</v>
      </c>
      <c r="D266" s="2">
        <f t="shared" si="124"/>
        <v>4217.3507823670698</v>
      </c>
      <c r="E266" s="2">
        <f t="shared" si="125"/>
        <v>0.1858054059804414</v>
      </c>
      <c r="F266" s="8">
        <f t="shared" si="126"/>
        <v>4056.2251636763572</v>
      </c>
      <c r="G266" s="2">
        <f t="shared" si="127"/>
        <v>360699.86567121296</v>
      </c>
      <c r="H266" s="2">
        <f t="shared" si="128"/>
        <v>779.10552456877792</v>
      </c>
      <c r="I266" s="2">
        <f t="shared" si="129"/>
        <v>139213.2717792959</v>
      </c>
      <c r="J266" s="2">
        <f t="shared" si="130"/>
        <v>4.8302776927193334E-9</v>
      </c>
      <c r="K266" s="2">
        <f t="shared" si="131"/>
        <v>7.084851149521143E-2</v>
      </c>
      <c r="L266" s="2">
        <f t="shared" si="132"/>
        <v>9.3921677100590273</v>
      </c>
      <c r="M266" s="2">
        <f t="shared" si="133"/>
        <v>5419.74</v>
      </c>
      <c r="N266">
        <f t="shared" si="134"/>
        <v>4.2955774533965215E-5</v>
      </c>
      <c r="O266" s="2">
        <v>54156</v>
      </c>
      <c r="P266" s="2">
        <v>1</v>
      </c>
      <c r="V266" s="2">
        <f t="shared" si="121"/>
        <v>84930.189708450882</v>
      </c>
      <c r="Y266">
        <f t="shared" si="106"/>
        <v>66635.021025670663</v>
      </c>
      <c r="Z266">
        <f t="shared" si="107"/>
        <v>145613.2717792959</v>
      </c>
    </row>
    <row r="267" spans="1:26" x14ac:dyDescent="0.2">
      <c r="A267" s="2">
        <v>254</v>
      </c>
      <c r="B267" s="2">
        <f t="shared" si="122"/>
        <v>8.2988621058535834</v>
      </c>
      <c r="C267" s="2">
        <f t="shared" si="123"/>
        <v>-1.5472110456830189E-3</v>
      </c>
      <c r="D267" s="2">
        <f t="shared" si="124"/>
        <v>4225.6080389913413</v>
      </c>
      <c r="E267" s="2">
        <f t="shared" si="125"/>
        <v>0.18425267921119537</v>
      </c>
      <c r="F267" s="8">
        <f t="shared" si="126"/>
        <v>4064.8653970252649</v>
      </c>
      <c r="G267" s="2">
        <f t="shared" si="127"/>
        <v>364764.73106823821</v>
      </c>
      <c r="H267" s="2">
        <f t="shared" si="128"/>
        <v>774.18173467777967</v>
      </c>
      <c r="I267" s="2">
        <f t="shared" si="129"/>
        <v>139987.45351397368</v>
      </c>
      <c r="J267" s="2">
        <f t="shared" si="130"/>
        <v>4.3374605030261259E-9</v>
      </c>
      <c r="K267" s="2">
        <f t="shared" si="131"/>
        <v>6.3869443735827522E-2</v>
      </c>
      <c r="L267" s="2">
        <f t="shared" si="132"/>
        <v>9.3899367107155545</v>
      </c>
      <c r="M267" s="2">
        <f t="shared" si="133"/>
        <v>5405.21</v>
      </c>
      <c r="N267">
        <f t="shared" si="134"/>
        <v>3.8724334030806254E-5</v>
      </c>
      <c r="O267" s="2">
        <v>54156</v>
      </c>
      <c r="P267" s="2">
        <v>1</v>
      </c>
      <c r="V267" s="2">
        <f t="shared" si="121"/>
        <v>84096.339708450876</v>
      </c>
      <c r="Y267">
        <f t="shared" si="106"/>
        <v>66829.244369548862</v>
      </c>
      <c r="Z267">
        <f t="shared" si="107"/>
        <v>146387.45351397368</v>
      </c>
    </row>
    <row r="268" spans="1:26" x14ac:dyDescent="0.2">
      <c r="A268" s="2">
        <v>255</v>
      </c>
      <c r="B268" s="2">
        <f t="shared" si="122"/>
        <v>8.3405559600503985</v>
      </c>
      <c r="C268" s="2">
        <f t="shared" si="123"/>
        <v>-1.5416808542207375E-3</v>
      </c>
      <c r="D268" s="2">
        <f t="shared" si="124"/>
        <v>4233.9069010971953</v>
      </c>
      <c r="E268" s="2">
        <f t="shared" si="125"/>
        <v>0.18270546816551236</v>
      </c>
      <c r="F268" s="8">
        <f t="shared" si="126"/>
        <v>4073.5373285413139</v>
      </c>
      <c r="G268" s="2">
        <f t="shared" si="127"/>
        <v>368838.26839677955</v>
      </c>
      <c r="H268" s="2">
        <f t="shared" si="128"/>
        <v>769.26139326813848</v>
      </c>
      <c r="I268" s="2">
        <f t="shared" si="129"/>
        <v>140756.71490724181</v>
      </c>
      <c r="J268" s="2">
        <f t="shared" si="130"/>
        <v>3.8975886614706434E-9</v>
      </c>
      <c r="K268" s="2">
        <f t="shared" si="131"/>
        <v>5.7617948612400723E-2</v>
      </c>
      <c r="L268" s="2">
        <f t="shared" si="132"/>
        <v>9.387720677839841</v>
      </c>
      <c r="M268" s="2">
        <f t="shared" si="133"/>
        <v>5390.68</v>
      </c>
      <c r="N268">
        <f t="shared" si="134"/>
        <v>3.4934024123727187E-5</v>
      </c>
      <c r="O268" s="2">
        <v>54156</v>
      </c>
      <c r="P268" s="2">
        <v>1</v>
      </c>
      <c r="V268" s="2">
        <f t="shared" si="121"/>
        <v>83242.869708450875</v>
      </c>
      <c r="Y268">
        <f t="shared" si="106"/>
        <v>67014.473125043573</v>
      </c>
      <c r="Z268">
        <f t="shared" si="107"/>
        <v>147156.71490724181</v>
      </c>
    </row>
    <row r="269" spans="1:26" x14ac:dyDescent="0.2">
      <c r="A269" s="2">
        <v>256</v>
      </c>
      <c r="B269" s="2">
        <f t="shared" si="122"/>
        <v>8.3823392691002123</v>
      </c>
      <c r="C269" s="2">
        <f t="shared" si="123"/>
        <v>-1.536136357685547E-3</v>
      </c>
      <c r="D269" s="2">
        <f t="shared" si="124"/>
        <v>4242.2474570572458</v>
      </c>
      <c r="E269" s="2">
        <f t="shared" si="125"/>
        <v>0.18116378731129162</v>
      </c>
      <c r="F269" s="8">
        <f t="shared" si="126"/>
        <v>4082.2410926691828</v>
      </c>
      <c r="G269" s="2">
        <f t="shared" si="127"/>
        <v>372920.50948944874</v>
      </c>
      <c r="H269" s="2">
        <f t="shared" si="128"/>
        <v>764.34454606335464</v>
      </c>
      <c r="I269" s="2">
        <f t="shared" si="129"/>
        <v>141521.05945330518</v>
      </c>
      <c r="J269" s="2">
        <f t="shared" si="130"/>
        <v>3.5047197695561695E-9</v>
      </c>
      <c r="K269" s="2">
        <f t="shared" si="131"/>
        <v>5.2014505595508173E-2</v>
      </c>
      <c r="L269" s="2">
        <f t="shared" si="132"/>
        <v>9.3855195859461773</v>
      </c>
      <c r="M269" s="2">
        <f t="shared" si="133"/>
        <v>5376.15</v>
      </c>
      <c r="N269">
        <f t="shared" si="134"/>
        <v>3.1536631154309234E-5</v>
      </c>
      <c r="O269" s="2">
        <v>54156</v>
      </c>
      <c r="P269" s="2">
        <v>1</v>
      </c>
      <c r="V269" s="2">
        <f t="shared" si="121"/>
        <v>82369.779708450878</v>
      </c>
      <c r="Y269">
        <f t="shared" si="106"/>
        <v>67190.742743977898</v>
      </c>
      <c r="Z269">
        <f t="shared" si="107"/>
        <v>147921.05945330518</v>
      </c>
    </row>
    <row r="270" spans="1:26" x14ac:dyDescent="0.2">
      <c r="A270" s="2">
        <v>257</v>
      </c>
      <c r="B270" s="2">
        <f t="shared" si="122"/>
        <v>8.4242131282532728</v>
      </c>
      <c r="C270" s="2">
        <f t="shared" si="123"/>
        <v>-1.5305777175872338E-3</v>
      </c>
      <c r="D270" s="2">
        <f t="shared" si="124"/>
        <v>4250.629796326346</v>
      </c>
      <c r="E270" s="2">
        <f t="shared" si="125"/>
        <v>0.17962765095360608</v>
      </c>
      <c r="F270" s="8">
        <f t="shared" si="126"/>
        <v>4090.9768251122741</v>
      </c>
      <c r="G270" s="2">
        <f t="shared" si="127"/>
        <v>377011.48631456104</v>
      </c>
      <c r="H270" s="2">
        <f t="shared" si="128"/>
        <v>759.43123943643081</v>
      </c>
      <c r="I270" s="2">
        <f t="shared" si="129"/>
        <v>142280.49069274162</v>
      </c>
      <c r="J270" s="2">
        <f t="shared" si="130"/>
        <v>3.1536043417965588E-9</v>
      </c>
      <c r="K270" s="2">
        <f t="shared" si="131"/>
        <v>4.6988648052837249E-2</v>
      </c>
      <c r="L270" s="2">
        <f t="shared" si="132"/>
        <v>9.3833334095400414</v>
      </c>
      <c r="M270" s="2">
        <f t="shared" si="133"/>
        <v>5361.62</v>
      </c>
      <c r="N270">
        <f t="shared" si="134"/>
        <v>2.8489430883102518E-5</v>
      </c>
      <c r="O270" s="2">
        <v>54156</v>
      </c>
      <c r="P270" s="2">
        <v>1</v>
      </c>
      <c r="V270" s="2">
        <f t="shared" si="121"/>
        <v>81477.069708450872</v>
      </c>
      <c r="Y270">
        <f t="shared" ref="Y270:Y333" si="135">(G270*COS((PI()/2) - E270))</f>
        <v>67358.08904861311</v>
      </c>
      <c r="Z270">
        <f t="shared" ref="Z270:Z333" si="136">6400+(I270)</f>
        <v>148680.49069274162</v>
      </c>
    </row>
    <row r="271" spans="1:26" x14ac:dyDescent="0.2">
      <c r="A271" s="2">
        <v>258</v>
      </c>
      <c r="B271" s="2">
        <f t="shared" si="122"/>
        <v>8.4661786461080535</v>
      </c>
      <c r="C271" s="2">
        <f t="shared" si="123"/>
        <v>-1.5250050941058059E-3</v>
      </c>
      <c r="D271" s="2">
        <f t="shared" si="124"/>
        <v>4259.0540094545995</v>
      </c>
      <c r="E271" s="2">
        <f t="shared" si="125"/>
        <v>0.17809707323601884</v>
      </c>
      <c r="F271" s="8">
        <f t="shared" si="126"/>
        <v>4099.7446628435819</v>
      </c>
      <c r="G271" s="2">
        <f t="shared" si="127"/>
        <v>381111.23097740463</v>
      </c>
      <c r="H271" s="2">
        <f t="shared" si="128"/>
        <v>754.52152041316174</v>
      </c>
      <c r="I271" s="2">
        <f t="shared" si="129"/>
        <v>143035.01221315478</v>
      </c>
      <c r="J271" s="2">
        <f t="shared" si="130"/>
        <v>2.8396022139789258E-9</v>
      </c>
      <c r="K271" s="2">
        <f t="shared" si="131"/>
        <v>4.2477894448331728E-2</v>
      </c>
      <c r="L271" s="2">
        <f t="shared" si="132"/>
        <v>9.3811621231159776</v>
      </c>
      <c r="M271" s="2">
        <f t="shared" si="133"/>
        <v>5347.09</v>
      </c>
      <c r="N271">
        <f t="shared" si="134"/>
        <v>2.5754540470810567E-5</v>
      </c>
      <c r="O271" s="2">
        <v>54156</v>
      </c>
      <c r="P271" s="2">
        <v>1</v>
      </c>
      <c r="V271" s="2">
        <f t="shared" si="121"/>
        <v>80564.739708450885</v>
      </c>
      <c r="Y271">
        <f t="shared" si="135"/>
        <v>67516.548230020344</v>
      </c>
      <c r="Z271">
        <f t="shared" si="136"/>
        <v>149435.01221315478</v>
      </c>
    </row>
    <row r="272" spans="1:26" x14ac:dyDescent="0.2">
      <c r="A272" s="2">
        <v>259</v>
      </c>
      <c r="B272" s="2">
        <f t="shared" si="122"/>
        <v>8.5082369449282407</v>
      </c>
      <c r="C272" s="2">
        <f t="shared" si="123"/>
        <v>-1.5194186460784481E-3</v>
      </c>
      <c r="D272" s="2">
        <f t="shared" si="124"/>
        <v>4267.5201881007079</v>
      </c>
      <c r="E272" s="2">
        <f t="shared" si="125"/>
        <v>0.17657206814191304</v>
      </c>
      <c r="F272" s="8">
        <f t="shared" si="126"/>
        <v>4108.5447441168835</v>
      </c>
      <c r="G272" s="2">
        <f t="shared" si="127"/>
        <v>385219.77572152152</v>
      </c>
      <c r="H272" s="2">
        <f t="shared" si="128"/>
        <v>749.61543667552417</v>
      </c>
      <c r="I272" s="2">
        <f t="shared" si="129"/>
        <v>143784.62764983031</v>
      </c>
      <c r="J272" s="2">
        <f t="shared" si="130"/>
        <v>2.5586093503208562E-9</v>
      </c>
      <c r="K272" s="2">
        <f t="shared" si="131"/>
        <v>3.842680987975234E-2</v>
      </c>
      <c r="L272" s="2">
        <f t="shared" si="132"/>
        <v>9.3790057011554566</v>
      </c>
      <c r="M272" s="2">
        <f t="shared" si="133"/>
        <v>5332.56</v>
      </c>
      <c r="N272">
        <f t="shared" si="134"/>
        <v>2.3298349484247866E-5</v>
      </c>
      <c r="O272" s="2">
        <v>54156</v>
      </c>
      <c r="P272" s="2">
        <v>1</v>
      </c>
      <c r="V272" s="2">
        <f t="shared" si="121"/>
        <v>79632.789708450873</v>
      </c>
      <c r="Y272">
        <f t="shared" si="135"/>
        <v>67666.156846478465</v>
      </c>
      <c r="Z272">
        <f t="shared" si="136"/>
        <v>150184.62764983031</v>
      </c>
    </row>
    <row r="273" spans="1:26" x14ac:dyDescent="0.2">
      <c r="A273" s="2">
        <v>260</v>
      </c>
      <c r="B273" s="2">
        <f t="shared" si="122"/>
        <v>8.5503891609435207</v>
      </c>
      <c r="C273" s="2">
        <f t="shared" si="123"/>
        <v>-1.5138185309866577E-3</v>
      </c>
      <c r="D273" s="2">
        <f t="shared" si="124"/>
        <v>4276.0284250456361</v>
      </c>
      <c r="E273" s="2">
        <f t="shared" si="125"/>
        <v>0.1750526494958346</v>
      </c>
      <c r="F273" s="8">
        <f t="shared" si="126"/>
        <v>4117.3772084782222</v>
      </c>
      <c r="G273" s="2">
        <f t="shared" si="127"/>
        <v>389337.15292999975</v>
      </c>
      <c r="H273" s="2">
        <f t="shared" si="128"/>
        <v>744.71303656515977</v>
      </c>
      <c r="I273" s="2">
        <f t="shared" si="129"/>
        <v>144529.34068639547</v>
      </c>
      <c r="J273" s="2">
        <f t="shared" si="130"/>
        <v>2.3069937190951349E-9</v>
      </c>
      <c r="K273" s="2">
        <f t="shared" si="131"/>
        <v>3.4786181583292344E-2</v>
      </c>
      <c r="L273" s="2">
        <f t="shared" si="132"/>
        <v>9.3768641181247343</v>
      </c>
      <c r="M273" s="2">
        <f t="shared" si="133"/>
        <v>5318.03</v>
      </c>
      <c r="N273">
        <f t="shared" si="134"/>
        <v>2.1091020001040885E-5</v>
      </c>
      <c r="O273" s="2">
        <v>54156</v>
      </c>
      <c r="P273" s="2">
        <v>1</v>
      </c>
      <c r="V273" s="2">
        <f>$I$224-(9.81*(A62^2))</f>
        <v>78681.219708450881</v>
      </c>
      <c r="Y273">
        <f t="shared" si="135"/>
        <v>67806.951821897659</v>
      </c>
      <c r="Z273">
        <f t="shared" si="136"/>
        <v>150929.34068639547</v>
      </c>
    </row>
    <row r="274" spans="1:26" x14ac:dyDescent="0.2">
      <c r="A274" s="2">
        <v>261</v>
      </c>
      <c r="B274" s="2">
        <f t="shared" si="122"/>
        <v>8.5926364446366215</v>
      </c>
      <c r="C274" s="2">
        <f t="shared" si="123"/>
        <v>-1.5082049049435717E-3</v>
      </c>
      <c r="D274" s="2">
        <f t="shared" si="124"/>
        <v>4284.5788142065794</v>
      </c>
      <c r="E274" s="2">
        <f t="shared" si="125"/>
        <v>0.17353883096484793</v>
      </c>
      <c r="F274" s="8">
        <f t="shared" si="126"/>
        <v>4126.2421967776781</v>
      </c>
      <c r="G274" s="2">
        <f t="shared" si="127"/>
        <v>393463.39512677741</v>
      </c>
      <c r="H274" s="2">
        <f t="shared" si="128"/>
        <v>739.81436908695173</v>
      </c>
      <c r="I274" s="2">
        <f t="shared" si="129"/>
        <v>145269.15505548244</v>
      </c>
      <c r="J274" s="2">
        <f t="shared" si="130"/>
        <v>2.0815390809626073E-9</v>
      </c>
      <c r="K274" s="2">
        <f t="shared" si="131"/>
        <v>3.1512294146798819E-2</v>
      </c>
      <c r="L274" s="2">
        <f t="shared" si="132"/>
        <v>9.3747373484726797</v>
      </c>
      <c r="M274" s="2">
        <f t="shared" si="133"/>
        <v>5303.5</v>
      </c>
      <c r="N274">
        <f t="shared" si="134"/>
        <v>1.9106047168109845E-5</v>
      </c>
      <c r="O274" s="2">
        <v>54156</v>
      </c>
      <c r="P274" s="2">
        <v>1</v>
      </c>
      <c r="V274" s="2">
        <f t="shared" si="121"/>
        <v>77710.029708450878</v>
      </c>
      <c r="Y274">
        <f t="shared" si="135"/>
        <v>67938.970444270191</v>
      </c>
      <c r="Z274">
        <f t="shared" si="136"/>
        <v>151669.15505548244</v>
      </c>
    </row>
    <row r="275" spans="1:26" x14ac:dyDescent="0.2">
      <c r="A275" s="2">
        <v>262</v>
      </c>
      <c r="B275" s="2">
        <f t="shared" si="122"/>
        <v>8.6349799610186508</v>
      </c>
      <c r="C275" s="2">
        <f t="shared" si="123"/>
        <v>-1.5025779226815006E-3</v>
      </c>
      <c r="D275" s="2">
        <f t="shared" si="124"/>
        <v>4293.1714506512162</v>
      </c>
      <c r="E275" s="2">
        <f t="shared" si="125"/>
        <v>0.17203062605990435</v>
      </c>
      <c r="F275" s="8">
        <f t="shared" si="126"/>
        <v>4135.139851181405</v>
      </c>
      <c r="G275" s="2">
        <f t="shared" si="127"/>
        <v>397598.53497795883</v>
      </c>
      <c r="H275" s="2">
        <f t="shared" si="128"/>
        <v>734.91948391268716</v>
      </c>
      <c r="I275" s="2">
        <f t="shared" si="129"/>
        <v>146004.07453939514</v>
      </c>
      <c r="J275" s="2">
        <f t="shared" si="130"/>
        <v>1.8793956854339717E-9</v>
      </c>
      <c r="K275" s="2">
        <f t="shared" si="131"/>
        <v>2.8566292006435803E-2</v>
      </c>
      <c r="L275" s="2">
        <f t="shared" si="132"/>
        <v>9.3726253666286361</v>
      </c>
      <c r="M275" s="2">
        <f t="shared" si="133"/>
        <v>5288.97</v>
      </c>
      <c r="N275">
        <f t="shared" si="134"/>
        <v>1.7319872680498115E-5</v>
      </c>
      <c r="O275" s="2">
        <v>54156</v>
      </c>
      <c r="P275" s="2">
        <v>1</v>
      </c>
      <c r="V275" s="2">
        <f t="shared" si="121"/>
        <v>76719.219708450881</v>
      </c>
      <c r="Y275">
        <f t="shared" si="135"/>
        <v>68062.250364149499</v>
      </c>
      <c r="Z275">
        <f t="shared" si="136"/>
        <v>152404.07453939514</v>
      </c>
    </row>
    <row r="276" spans="1:26" x14ac:dyDescent="0.2">
      <c r="A276" s="2">
        <v>263</v>
      </c>
      <c r="B276" s="2">
        <f t="shared" si="122"/>
        <v>8.6774208898945773</v>
      </c>
      <c r="C276" s="2">
        <f t="shared" si="123"/>
        <v>-1.49693773753967E-3</v>
      </c>
      <c r="D276" s="2">
        <f t="shared" si="124"/>
        <v>4301.8064306122351</v>
      </c>
      <c r="E276" s="2">
        <f t="shared" si="125"/>
        <v>0.17052804813722286</v>
      </c>
      <c r="F276" s="8">
        <f t="shared" si="126"/>
        <v>4144.070315183928</v>
      </c>
      <c r="G276" s="2">
        <f t="shared" si="127"/>
        <v>401742.60529314278</v>
      </c>
      <c r="H276" s="2">
        <f t="shared" si="128"/>
        <v>730.02843138480716</v>
      </c>
      <c r="I276" s="2">
        <f t="shared" si="129"/>
        <v>146734.10297077993</v>
      </c>
      <c r="J276" s="2">
        <f t="shared" si="130"/>
        <v>1.6980370018034849E-9</v>
      </c>
      <c r="K276" s="2">
        <f t="shared" si="131"/>
        <v>2.5913618393163539E-2</v>
      </c>
      <c r="L276" s="2">
        <f t="shared" si="132"/>
        <v>9.3705281470002255</v>
      </c>
      <c r="M276" s="2">
        <f t="shared" si="133"/>
        <v>5274.4400000000005</v>
      </c>
      <c r="N276">
        <f t="shared" si="134"/>
        <v>1.5711544612072514E-5</v>
      </c>
      <c r="O276" s="2">
        <v>54156</v>
      </c>
      <c r="P276" s="2">
        <v>1</v>
      </c>
      <c r="V276" s="2">
        <f t="shared" si="121"/>
        <v>75708.789708450873</v>
      </c>
      <c r="Y276">
        <f t="shared" si="135"/>
        <v>68176.829593157367</v>
      </c>
      <c r="Z276">
        <f t="shared" si="136"/>
        <v>153134.10297077993</v>
      </c>
    </row>
    <row r="277" spans="1:26" x14ac:dyDescent="0.2">
      <c r="A277" s="2">
        <v>264</v>
      </c>
      <c r="B277" s="2">
        <f t="shared" si="122"/>
        <v>8.7199604261204762</v>
      </c>
      <c r="C277" s="2">
        <f t="shared" si="123"/>
        <v>-1.4912845014521858E-3</v>
      </c>
      <c r="D277" s="2">
        <f t="shared" si="124"/>
        <v>4310.4838515021293</v>
      </c>
      <c r="E277" s="2">
        <f t="shared" si="125"/>
        <v>0.16903111039968319</v>
      </c>
      <c r="F277" s="8">
        <f t="shared" si="126"/>
        <v>4153.0337336206831</v>
      </c>
      <c r="G277" s="2">
        <f t="shared" si="127"/>
        <v>405895.63902676344</v>
      </c>
      <c r="H277" s="2">
        <f t="shared" si="128"/>
        <v>725.14126252023948</v>
      </c>
      <c r="I277" s="2">
        <f t="shared" si="129"/>
        <v>147459.24423330018</v>
      </c>
      <c r="J277" s="2">
        <f t="shared" si="130"/>
        <v>1.5352217243384819E-9</v>
      </c>
      <c r="K277" s="2">
        <f t="shared" si="131"/>
        <v>2.3523521277841051E-2</v>
      </c>
      <c r="L277" s="2">
        <f t="shared" si="132"/>
        <v>9.3684456639711815</v>
      </c>
      <c r="M277" s="2">
        <f t="shared" si="133"/>
        <v>5259.91</v>
      </c>
      <c r="N277">
        <f t="shared" si="134"/>
        <v>1.4262417867793454E-5</v>
      </c>
      <c r="O277" s="2">
        <v>54156</v>
      </c>
      <c r="P277" s="2">
        <v>1</v>
      </c>
      <c r="V277" s="2">
        <f t="shared" si="121"/>
        <v>74678.739708450885</v>
      </c>
      <c r="Y277">
        <f t="shared" si="135"/>
        <v>68282.746502520138</v>
      </c>
      <c r="Z277">
        <f t="shared" si="136"/>
        <v>153859.24423330018</v>
      </c>
    </row>
    <row r="278" spans="1:26" x14ac:dyDescent="0.2">
      <c r="A278" s="2">
        <v>265</v>
      </c>
      <c r="B278" s="2">
        <f t="shared" si="122"/>
        <v>8.7625997798539519</v>
      </c>
      <c r="C278" s="2">
        <f t="shared" si="123"/>
        <v>-1.4856183649362112E-3</v>
      </c>
      <c r="D278" s="2">
        <f t="shared" si="124"/>
        <v>4319.2038119282497</v>
      </c>
      <c r="E278" s="2">
        <f t="shared" si="125"/>
        <v>0.16753982589823099</v>
      </c>
      <c r="F278" s="8">
        <f t="shared" si="126"/>
        <v>4162.0302526808127</v>
      </c>
      <c r="G278" s="2">
        <f t="shared" si="127"/>
        <v>410057.66927944426</v>
      </c>
      <c r="H278" s="2">
        <f t="shared" si="128"/>
        <v>720.25802901431553</v>
      </c>
      <c r="I278" s="2">
        <f t="shared" si="129"/>
        <v>148179.50226231449</v>
      </c>
      <c r="J278" s="2">
        <f t="shared" si="130"/>
        <v>1.3889603898553615E-9</v>
      </c>
      <c r="K278" s="2">
        <f t="shared" si="131"/>
        <v>2.136861806521138E-2</v>
      </c>
      <c r="L278" s="2">
        <f t="shared" si="132"/>
        <v>9.3663778918991394</v>
      </c>
      <c r="M278" s="2">
        <f t="shared" si="133"/>
        <v>5245.38</v>
      </c>
      <c r="N278">
        <f t="shared" si="134"/>
        <v>1.2955890255699674E-5</v>
      </c>
      <c r="O278" s="2">
        <v>54156</v>
      </c>
      <c r="P278" s="2">
        <v>1</v>
      </c>
      <c r="V278" s="2">
        <f t="shared" si="121"/>
        <v>73629.069708450872</v>
      </c>
      <c r="Y278">
        <f t="shared" si="135"/>
        <v>68380.039821636237</v>
      </c>
      <c r="Z278">
        <f t="shared" si="136"/>
        <v>154579.50226231449</v>
      </c>
    </row>
    <row r="279" spans="1:26" x14ac:dyDescent="0.2">
      <c r="A279" s="2">
        <v>266</v>
      </c>
      <c r="B279" s="2">
        <f t="shared" si="122"/>
        <v>8.8053401767990014</v>
      </c>
      <c r="C279" s="2">
        <f t="shared" si="123"/>
        <v>-1.4799394770803865E-3</v>
      </c>
      <c r="D279" s="2">
        <f t="shared" si="124"/>
        <v>4327.9664117081038</v>
      </c>
      <c r="E279" s="2">
        <f t="shared" si="125"/>
        <v>0.16605420753329478</v>
      </c>
      <c r="F279" s="8">
        <f t="shared" si="126"/>
        <v>4171.0600199201772</v>
      </c>
      <c r="G279" s="2">
        <f t="shared" si="127"/>
        <v>414228.72929936444</v>
      </c>
      <c r="H279" s="2">
        <f t="shared" si="128"/>
        <v>715.37878324476719</v>
      </c>
      <c r="I279" s="2">
        <f t="shared" si="129"/>
        <v>148894.88104555925</v>
      </c>
      <c r="J279" s="2">
        <f t="shared" si="130"/>
        <v>1.2574860311199118E-9</v>
      </c>
      <c r="K279" s="2">
        <f t="shared" si="131"/>
        <v>1.9424511831763185E-2</v>
      </c>
      <c r="L279" s="2">
        <f t="shared" si="132"/>
        <v>9.3643248051134567</v>
      </c>
      <c r="M279" s="2">
        <f t="shared" si="133"/>
        <v>5230.8500000000004</v>
      </c>
      <c r="N279">
        <f t="shared" si="134"/>
        <v>1.1777169810179497E-5</v>
      </c>
      <c r="O279" s="2">
        <v>54156</v>
      </c>
      <c r="P279" s="2">
        <v>1</v>
      </c>
      <c r="V279" s="2">
        <f t="shared" si="121"/>
        <v>72559.779708450878</v>
      </c>
      <c r="Y279">
        <f t="shared" si="135"/>
        <v>68468.748636672899</v>
      </c>
      <c r="Z279">
        <f t="shared" si="136"/>
        <v>155294.88104555925</v>
      </c>
    </row>
    <row r="280" spans="1:26" x14ac:dyDescent="0.2">
      <c r="A280" s="2">
        <v>267</v>
      </c>
      <c r="B280" s="2">
        <f t="shared" si="122"/>
        <v>8.8481828584464122</v>
      </c>
      <c r="C280" s="2">
        <f t="shared" si="123"/>
        <v>-1.4742479855334692E-3</v>
      </c>
      <c r="D280" s="2">
        <f t="shared" si="124"/>
        <v>4336.7717518849031</v>
      </c>
      <c r="E280" s="2">
        <f t="shared" si="125"/>
        <v>0.16457426805621439</v>
      </c>
      <c r="F280" s="8">
        <f t="shared" si="126"/>
        <v>4180.1231842746065</v>
      </c>
      <c r="G280" s="2">
        <f t="shared" si="127"/>
        <v>418408.85248363903</v>
      </c>
      <c r="H280" s="2">
        <f t="shared" si="128"/>
        <v>710.50357827580422</v>
      </c>
      <c r="I280" s="2">
        <f t="shared" si="129"/>
        <v>149605.38462383504</v>
      </c>
      <c r="J280" s="2">
        <f t="shared" si="130"/>
        <v>1.1392283635471729E-9</v>
      </c>
      <c r="K280" s="2">
        <f t="shared" si="131"/>
        <v>1.7669452811428288E-2</v>
      </c>
      <c r="L280" s="2">
        <f t="shared" si="132"/>
        <v>9.3622863779129766</v>
      </c>
      <c r="M280" s="2">
        <f t="shared" si="133"/>
        <v>5216.32</v>
      </c>
      <c r="N280">
        <f t="shared" si="134"/>
        <v>1.0713069549210665E-5</v>
      </c>
      <c r="O280" s="2">
        <v>54156</v>
      </c>
      <c r="P280" s="2">
        <v>1</v>
      </c>
      <c r="V280" s="2">
        <f t="shared" si="121"/>
        <v>71470.869708450875</v>
      </c>
      <c r="Y280">
        <f t="shared" si="135"/>
        <v>68548.912389196092</v>
      </c>
      <c r="Z280">
        <f t="shared" si="136"/>
        <v>156005.38462383504</v>
      </c>
    </row>
    <row r="281" spans="1:26" x14ac:dyDescent="0.2">
      <c r="A281" s="2">
        <v>268</v>
      </c>
      <c r="B281" s="2">
        <f t="shared" si="122"/>
        <v>8.8911290823106821</v>
      </c>
      <c r="C281" s="2">
        <f t="shared" si="123"/>
        <v>-1.4685440364932121E-3</v>
      </c>
      <c r="D281" s="2">
        <f t="shared" si="124"/>
        <v>4345.6199347433494</v>
      </c>
      <c r="E281" s="2">
        <f t="shared" si="125"/>
        <v>0.16310002007068092</v>
      </c>
      <c r="F281" s="8">
        <f t="shared" si="126"/>
        <v>4189.2198960733804</v>
      </c>
      <c r="G281" s="2">
        <f t="shared" si="127"/>
        <v>422598.07237971242</v>
      </c>
      <c r="H281" s="2">
        <f t="shared" si="128"/>
        <v>705.63246786227251</v>
      </c>
      <c r="I281" s="2">
        <f t="shared" si="129"/>
        <v>150311.01709169731</v>
      </c>
      <c r="J281" s="2">
        <f t="shared" si="130"/>
        <v>1.0327910669658967E-9</v>
      </c>
      <c r="K281" s="2">
        <f t="shared" si="131"/>
        <v>1.6084039624327771E-2</v>
      </c>
      <c r="L281" s="2">
        <f t="shared" si="132"/>
        <v>9.3602625845638165</v>
      </c>
      <c r="M281" s="2">
        <f t="shared" si="133"/>
        <v>5201.79</v>
      </c>
      <c r="N281">
        <f t="shared" si="134"/>
        <v>9.7518263279911487E-6</v>
      </c>
      <c r="O281" s="2">
        <v>54156</v>
      </c>
      <c r="P281" s="2">
        <v>1</v>
      </c>
      <c r="V281" s="2">
        <f t="shared" si="121"/>
        <v>70362.339708450876</v>
      </c>
      <c r="Y281">
        <f t="shared" si="135"/>
        <v>68620.570874831305</v>
      </c>
      <c r="Z281">
        <f t="shared" si="136"/>
        <v>156711.01709169731</v>
      </c>
    </row>
    <row r="282" spans="1:26" x14ac:dyDescent="0.2">
      <c r="A282" s="2">
        <v>269</v>
      </c>
      <c r="B282" s="2">
        <f t="shared" si="122"/>
        <v>8.9341801221643173</v>
      </c>
      <c r="C282" s="2">
        <f t="shared" si="123"/>
        <v>-1.4628277746954769E-3</v>
      </c>
      <c r="D282" s="2">
        <f t="shared" si="124"/>
        <v>4354.5110638256601</v>
      </c>
      <c r="E282" s="2">
        <f t="shared" si="125"/>
        <v>0.1616314760341877</v>
      </c>
      <c r="F282" s="8">
        <f t="shared" si="126"/>
        <v>4198.3503070529123</v>
      </c>
      <c r="G282" s="2">
        <f t="shared" si="127"/>
        <v>426796.42268676532</v>
      </c>
      <c r="H282" s="2">
        <f t="shared" si="128"/>
        <v>700.76550645389125</v>
      </c>
      <c r="I282" s="2">
        <f t="shared" si="129"/>
        <v>151011.78259815121</v>
      </c>
      <c r="J282" s="2">
        <f t="shared" si="130"/>
        <v>9.3693178006941768E-10</v>
      </c>
      <c r="K282" s="2">
        <f t="shared" si="131"/>
        <v>1.4650955432952868E-2</v>
      </c>
      <c r="L282" s="2">
        <f t="shared" si="132"/>
        <v>9.3582533992971388</v>
      </c>
      <c r="M282" s="2">
        <f t="shared" si="133"/>
        <v>5187.26</v>
      </c>
      <c r="N282">
        <f t="shared" si="134"/>
        <v>8.8829408692324123E-6</v>
      </c>
      <c r="O282" s="2">
        <v>54156</v>
      </c>
      <c r="P282" s="2">
        <v>1</v>
      </c>
      <c r="V282" s="2">
        <f t="shared" si="121"/>
        <v>69234.189708450867</v>
      </c>
      <c r="Y282">
        <f t="shared" si="135"/>
        <v>68683.764241958212</v>
      </c>
      <c r="Z282">
        <f t="shared" si="136"/>
        <v>157411.78259815121</v>
      </c>
    </row>
    <row r="283" spans="1:26" x14ac:dyDescent="0.2">
      <c r="A283" s="2">
        <v>270</v>
      </c>
      <c r="B283" s="2">
        <f t="shared" si="122"/>
        <v>8.9773372682702952</v>
      </c>
      <c r="C283" s="2">
        <f t="shared" si="123"/>
        <v>-1.4570993434035785E-3</v>
      </c>
      <c r="D283" s="2">
        <f t="shared" si="124"/>
        <v>4363.4452439478246</v>
      </c>
      <c r="E283" s="2">
        <f t="shared" si="125"/>
        <v>0.16016864825949223</v>
      </c>
      <c r="F283" s="8">
        <f t="shared" si="126"/>
        <v>4207.5145703706785</v>
      </c>
      <c r="G283" s="2">
        <f t="shared" si="127"/>
        <v>431003.93725713599</v>
      </c>
      <c r="H283" s="2">
        <f t="shared" si="128"/>
        <v>695.90274919957005</v>
      </c>
      <c r="I283" s="2">
        <f t="shared" si="129"/>
        <v>151707.68534735078</v>
      </c>
      <c r="J283" s="2">
        <f t="shared" si="130"/>
        <v>8.5054447373017459E-10</v>
      </c>
      <c r="K283" s="2">
        <f t="shared" si="131"/>
        <v>1.3354734810746803E-2</v>
      </c>
      <c r="L283" s="2">
        <f t="shared" si="132"/>
        <v>9.3562587963068804</v>
      </c>
      <c r="M283" s="2">
        <f t="shared" si="133"/>
        <v>5172.7299999999996</v>
      </c>
      <c r="N283">
        <f t="shared" si="134"/>
        <v>8.0970364145209963E-6</v>
      </c>
      <c r="O283" s="2">
        <v>54156</v>
      </c>
      <c r="P283" s="2">
        <v>1</v>
      </c>
      <c r="V283" s="2">
        <f t="shared" si="121"/>
        <v>68086.419708450878</v>
      </c>
      <c r="Y283">
        <f t="shared" si="135"/>
        <v>68738.532990438602</v>
      </c>
      <c r="Z283">
        <f t="shared" si="136"/>
        <v>158107.68534735078</v>
      </c>
    </row>
    <row r="284" spans="1:26" x14ac:dyDescent="0.2">
      <c r="A284" s="2">
        <v>271</v>
      </c>
      <c r="B284" s="2">
        <f t="shared" si="122"/>
        <v>9.0206018276133619</v>
      </c>
      <c r="C284" s="2">
        <f t="shared" si="123"/>
        <v>-1.4513588843978779E-3</v>
      </c>
      <c r="D284" s="2">
        <f t="shared" si="124"/>
        <v>4372.4225812160948</v>
      </c>
      <c r="E284" s="2">
        <f t="shared" si="125"/>
        <v>0.15871154891608866</v>
      </c>
      <c r="F284" s="8">
        <f t="shared" si="126"/>
        <v>4216.7128406193369</v>
      </c>
      <c r="G284" s="2">
        <f t="shared" si="127"/>
        <v>435220.65009775531</v>
      </c>
      <c r="H284" s="2">
        <f t="shared" si="128"/>
        <v>691.04425195180477</v>
      </c>
      <c r="I284" s="2">
        <f t="shared" si="129"/>
        <v>152398.72959930258</v>
      </c>
      <c r="J284" s="2">
        <f t="shared" si="130"/>
        <v>7.7264391158643116E-10</v>
      </c>
      <c r="K284" s="2">
        <f t="shared" si="131"/>
        <v>1.2181557631714428E-2</v>
      </c>
      <c r="L284" s="2">
        <f t="shared" si="132"/>
        <v>9.3542787497475128</v>
      </c>
      <c r="M284" s="2">
        <f t="shared" si="133"/>
        <v>5158.2</v>
      </c>
      <c r="N284">
        <f t="shared" si="134"/>
        <v>7.3857337586520131E-6</v>
      </c>
      <c r="O284" s="2">
        <v>54156</v>
      </c>
      <c r="P284" s="2">
        <v>1</v>
      </c>
      <c r="V284" s="2">
        <f>$I$224-(9.81*(A73^2))</f>
        <v>66919.029708450878</v>
      </c>
      <c r="Y284">
        <f t="shared" si="135"/>
        <v>68784.917970378912</v>
      </c>
      <c r="Z284">
        <f t="shared" si="136"/>
        <v>158798.72959930258</v>
      </c>
    </row>
    <row r="285" spans="1:26" x14ac:dyDescent="0.2">
      <c r="A285" s="2">
        <v>272</v>
      </c>
      <c r="B285" s="2">
        <f t="shared" si="122"/>
        <v>9.0639751241307991</v>
      </c>
      <c r="C285" s="2">
        <f t="shared" si="123"/>
        <v>-1.4456065379656027E-3</v>
      </c>
      <c r="D285" s="2">
        <f t="shared" si="124"/>
        <v>4381.4431830437079</v>
      </c>
      <c r="E285" s="2">
        <f t="shared" si="125"/>
        <v>0.15726019003169078</v>
      </c>
      <c r="F285" s="8">
        <f t="shared" si="126"/>
        <v>4225.9452738410846</v>
      </c>
      <c r="G285" s="2">
        <f t="shared" si="127"/>
        <v>439446.5953715964</v>
      </c>
      <c r="H285" s="2">
        <f t="shared" si="128"/>
        <v>686.19007127115367</v>
      </c>
      <c r="I285" s="2">
        <f t="shared" si="129"/>
        <v>153084.91967057373</v>
      </c>
      <c r="J285" s="2">
        <f t="shared" si="130"/>
        <v>7.0235194306033554E-10</v>
      </c>
      <c r="K285" s="2">
        <f t="shared" si="131"/>
        <v>1.1119066746525857E-2</v>
      </c>
      <c r="L285" s="2">
        <f t="shared" si="132"/>
        <v>9.352313233731774</v>
      </c>
      <c r="M285" s="2">
        <f t="shared" si="133"/>
        <v>5143.67</v>
      </c>
      <c r="N285">
        <f t="shared" si="134"/>
        <v>6.741540705822128E-6</v>
      </c>
      <c r="O285" s="2">
        <v>54156</v>
      </c>
      <c r="P285" s="2">
        <v>1</v>
      </c>
      <c r="V285" s="2">
        <f t="shared" si="121"/>
        <v>65732.019708450884</v>
      </c>
      <c r="Y285">
        <f t="shared" si="135"/>
        <v>68822.960380927427</v>
      </c>
      <c r="Z285">
        <f t="shared" si="136"/>
        <v>159484.91967057373</v>
      </c>
    </row>
    <row r="286" spans="1:26" x14ac:dyDescent="0.2">
      <c r="A286" s="2">
        <v>273</v>
      </c>
      <c r="B286" s="2">
        <f t="shared" si="122"/>
        <v>9.1074584989431777</v>
      </c>
      <c r="C286" s="2">
        <f t="shared" si="123"/>
        <v>-1.4398424428909067E-3</v>
      </c>
      <c r="D286" s="2">
        <f t="shared" si="124"/>
        <v>4390.5071581678385</v>
      </c>
      <c r="E286" s="2">
        <f t="shared" si="125"/>
        <v>0.15581458349372518</v>
      </c>
      <c r="F286" s="8">
        <f t="shared" si="126"/>
        <v>4235.2120275422176</v>
      </c>
      <c r="G286" s="2">
        <f t="shared" si="127"/>
        <v>443681.80739913863</v>
      </c>
      <c r="H286" s="2">
        <f t="shared" si="128"/>
        <v>681.34026443079438</v>
      </c>
      <c r="I286" s="2">
        <f t="shared" si="129"/>
        <v>153766.25993500452</v>
      </c>
      <c r="J286" s="2">
        <f t="shared" si="130"/>
        <v>6.3888540596453215E-10</v>
      </c>
      <c r="K286" s="2">
        <f t="shared" si="131"/>
        <v>1.0156206609336787E-2</v>
      </c>
      <c r="L286" s="2">
        <f t="shared" si="132"/>
        <v>9.350362222328382</v>
      </c>
      <c r="M286" s="2">
        <f t="shared" si="133"/>
        <v>5129.1400000000003</v>
      </c>
      <c r="N286">
        <f t="shared" si="134"/>
        <v>6.1577542283372488E-6</v>
      </c>
      <c r="O286" s="2">
        <v>54156</v>
      </c>
      <c r="P286" s="2">
        <v>1</v>
      </c>
      <c r="V286" s="2">
        <f t="shared" si="121"/>
        <v>64525.389708450879</v>
      </c>
      <c r="Y286">
        <f t="shared" si="135"/>
        <v>68852.70176910756</v>
      </c>
      <c r="Z286">
        <f t="shared" si="136"/>
        <v>160166.25993500452</v>
      </c>
    </row>
    <row r="287" spans="1:26" x14ac:dyDescent="0.2">
      <c r="A287" s="2">
        <v>274</v>
      </c>
      <c r="B287" s="2">
        <f t="shared" si="122"/>
        <v>9.1510533105856293</v>
      </c>
      <c r="C287" s="2">
        <f t="shared" si="123"/>
        <v>-1.4340667364451639E-3</v>
      </c>
      <c r="D287" s="2">
        <f t="shared" si="124"/>
        <v>4399.6146166667813</v>
      </c>
      <c r="E287" s="2">
        <f t="shared" si="125"/>
        <v>0.15437474105083426</v>
      </c>
      <c r="F287" s="8">
        <f t="shared" si="126"/>
        <v>4244.5132607079095</v>
      </c>
      <c r="G287" s="2">
        <f t="shared" si="127"/>
        <v>447926.32065984653</v>
      </c>
      <c r="H287" s="2">
        <f t="shared" si="128"/>
        <v>676.49488942115966</v>
      </c>
      <c r="I287" s="2">
        <f t="shared" si="129"/>
        <v>154442.75482442568</v>
      </c>
      <c r="J287" s="2">
        <f t="shared" si="130"/>
        <v>5.8154544372968457E-10</v>
      </c>
      <c r="K287" s="2">
        <f t="shared" si="131"/>
        <v>9.2830803677956299E-3</v>
      </c>
      <c r="L287" s="2">
        <f t="shared" si="132"/>
        <v>9.348425689559722</v>
      </c>
      <c r="M287" s="2">
        <f t="shared" si="133"/>
        <v>5114.6099999999997</v>
      </c>
      <c r="N287">
        <f t="shared" si="134"/>
        <v>5.6283738196343025E-6</v>
      </c>
      <c r="O287" s="2">
        <v>54156</v>
      </c>
      <c r="P287" s="2">
        <v>1</v>
      </c>
      <c r="V287" s="2">
        <f t="shared" si="121"/>
        <v>63299.139708450879</v>
      </c>
      <c r="Y287">
        <f t="shared" si="135"/>
        <v>68874.184028687174</v>
      </c>
      <c r="Z287">
        <f t="shared" si="136"/>
        <v>160842.75482442568</v>
      </c>
    </row>
    <row r="288" spans="1:26" x14ac:dyDescent="0.2">
      <c r="A288" s="2">
        <v>275</v>
      </c>
      <c r="B288" s="2">
        <f t="shared" si="122"/>
        <v>9.1947609352400388</v>
      </c>
      <c r="C288" s="2">
        <f t="shared" si="123"/>
        <v>-1.4282795543775013E-3</v>
      </c>
      <c r="D288" s="2">
        <f t="shared" si="124"/>
        <v>4408.765669977367</v>
      </c>
      <c r="E288" s="2">
        <f t="shared" si="125"/>
        <v>0.1529406743143891</v>
      </c>
      <c r="F288" s="8">
        <f t="shared" si="126"/>
        <v>4253.849133817208</v>
      </c>
      <c r="G288" s="2">
        <f t="shared" si="127"/>
        <v>452180.16979366372</v>
      </c>
      <c r="H288" s="2">
        <f t="shared" si="128"/>
        <v>671.6540049546561</v>
      </c>
      <c r="I288" s="2">
        <f t="shared" si="129"/>
        <v>155114.40882938032</v>
      </c>
      <c r="J288" s="2">
        <f t="shared" si="130"/>
        <v>5.2970806658172266E-10</v>
      </c>
      <c r="K288" s="2">
        <f t="shared" si="131"/>
        <v>8.4908232330076373E-3</v>
      </c>
      <c r="L288" s="2">
        <f t="shared" si="132"/>
        <v>9.3465036093995693</v>
      </c>
      <c r="M288" s="2">
        <f t="shared" si="133"/>
        <v>5100.08</v>
      </c>
      <c r="N288">
        <f t="shared" si="134"/>
        <v>5.1480247179149466E-6</v>
      </c>
      <c r="O288" s="2">
        <v>54156</v>
      </c>
      <c r="P288" s="2">
        <v>1</v>
      </c>
      <c r="V288" s="2">
        <f t="shared" si="121"/>
        <v>62053.269708450876</v>
      </c>
      <c r="Y288">
        <f t="shared" si="135"/>
        <v>68887.44939908541</v>
      </c>
      <c r="Z288">
        <f t="shared" si="136"/>
        <v>161514.40882938032</v>
      </c>
    </row>
    <row r="289" spans="1:26" x14ac:dyDescent="0.2">
      <c r="A289" s="2">
        <v>276</v>
      </c>
      <c r="B289" s="2">
        <f t="shared" si="122"/>
        <v>9.2385827669686158</v>
      </c>
      <c r="C289" s="2">
        <f t="shared" si="123"/>
        <v>-1.4224810309055567E-3</v>
      </c>
      <c r="D289" s="2">
        <f t="shared" si="124"/>
        <v>4417.9604309126071</v>
      </c>
      <c r="E289" s="2">
        <f t="shared" si="125"/>
        <v>0.1515123947600116</v>
      </c>
      <c r="F289" s="8">
        <f t="shared" si="126"/>
        <v>4263.2198088582463</v>
      </c>
      <c r="G289" s="2">
        <f t="shared" si="127"/>
        <v>456443.38960252196</v>
      </c>
      <c r="H289" s="2">
        <f t="shared" si="128"/>
        <v>666.81767047046435</v>
      </c>
      <c r="I289" s="2">
        <f t="shared" si="129"/>
        <v>155781.22649985077</v>
      </c>
      <c r="J289" s="2">
        <f t="shared" si="130"/>
        <v>4.8281580718568944E-10</v>
      </c>
      <c r="K289" s="2">
        <f t="shared" si="131"/>
        <v>7.7714902122608537E-3</v>
      </c>
      <c r="L289" s="2">
        <f t="shared" si="132"/>
        <v>9.3445959557707408</v>
      </c>
      <c r="M289" s="2">
        <f t="shared" si="133"/>
        <v>5085.55</v>
      </c>
      <c r="N289">
        <f t="shared" si="134"/>
        <v>4.7118898379870399E-6</v>
      </c>
      <c r="O289" s="2">
        <v>54156</v>
      </c>
      <c r="P289" s="2">
        <v>1</v>
      </c>
      <c r="V289" s="2">
        <f t="shared" si="121"/>
        <v>60787.779708450878</v>
      </c>
      <c r="Y289">
        <f t="shared" si="135"/>
        <v>68892.540464316626</v>
      </c>
      <c r="Z289">
        <f t="shared" si="136"/>
        <v>162181.22649985077</v>
      </c>
    </row>
    <row r="290" spans="1:26" x14ac:dyDescent="0.2">
      <c r="A290" s="2">
        <v>277</v>
      </c>
      <c r="B290" s="2">
        <f t="shared" si="122"/>
        <v>9.2825202179491377</v>
      </c>
      <c r="C290" s="2">
        <f t="shared" si="123"/>
        <v>-1.4166712987064788E-3</v>
      </c>
      <c r="D290" s="2">
        <f t="shared" si="124"/>
        <v>4427.1990136795757</v>
      </c>
      <c r="E290" s="2">
        <f t="shared" si="125"/>
        <v>0.15008991372910604</v>
      </c>
      <c r="F290" s="8">
        <f t="shared" si="126"/>
        <v>4272.6254493436718</v>
      </c>
      <c r="G290" s="2">
        <f t="shared" si="127"/>
        <v>460716.0150518656</v>
      </c>
      <c r="H290" s="2">
        <f t="shared" si="128"/>
        <v>661.98594613942078</v>
      </c>
      <c r="I290" s="2">
        <f t="shared" si="129"/>
        <v>156443.21244599018</v>
      </c>
      <c r="J290" s="2">
        <f t="shared" si="130"/>
        <v>4.4037033976080425E-10</v>
      </c>
      <c r="K290" s="2">
        <f t="shared" si="131"/>
        <v>7.1179565200333575E-3</v>
      </c>
      <c r="L290" s="2">
        <f t="shared" si="132"/>
        <v>9.3427027025427805</v>
      </c>
      <c r="M290" s="2">
        <f t="shared" si="133"/>
        <v>5071.0200000000004</v>
      </c>
      <c r="N290">
        <f t="shared" si="134"/>
        <v>4.3156493900056934E-6</v>
      </c>
      <c r="O290" s="2">
        <v>54156</v>
      </c>
      <c r="P290" s="2">
        <v>1</v>
      </c>
      <c r="V290" s="2">
        <f t="shared" ref="V290:V304" si="137">$I$224-(9.81*(A79^2))</f>
        <v>59502.669708450878</v>
      </c>
      <c r="Y290">
        <f t="shared" si="135"/>
        <v>68889.500151972825</v>
      </c>
      <c r="Z290">
        <f t="shared" si="136"/>
        <v>162843.21244599018</v>
      </c>
    </row>
    <row r="291" spans="1:26" x14ac:dyDescent="0.2">
      <c r="A291" s="2">
        <v>278</v>
      </c>
      <c r="B291" s="2">
        <f t="shared" si="122"/>
        <v>9.3265747187122816</v>
      </c>
      <c r="C291" s="2">
        <f t="shared" si="123"/>
        <v>-1.4108504889081424E-3</v>
      </c>
      <c r="D291" s="2">
        <f t="shared" si="124"/>
        <v>4436.481533897525</v>
      </c>
      <c r="E291" s="2">
        <f t="shared" si="125"/>
        <v>0.14867324243039956</v>
      </c>
      <c r="F291" s="8">
        <f t="shared" si="126"/>
        <v>4282.0662203262982</v>
      </c>
      <c r="G291" s="2">
        <f t="shared" si="127"/>
        <v>464998.08127219189</v>
      </c>
      <c r="H291" s="2">
        <f t="shared" si="128"/>
        <v>657.1588928689855</v>
      </c>
      <c r="I291" s="2">
        <f t="shared" si="129"/>
        <v>157100.37133885917</v>
      </c>
      <c r="J291" s="2">
        <f t="shared" si="130"/>
        <v>4.0192594781079214E-10</v>
      </c>
      <c r="K291" s="2">
        <f t="shared" si="131"/>
        <v>6.5238291864666417E-3</v>
      </c>
      <c r="L291" s="2">
        <f t="shared" si="132"/>
        <v>9.3408238235296004</v>
      </c>
      <c r="M291" s="2">
        <f t="shared" si="133"/>
        <v>5056.49</v>
      </c>
      <c r="N291">
        <f t="shared" si="134"/>
        <v>3.9554272872889304E-6</v>
      </c>
      <c r="O291" s="2">
        <v>54156</v>
      </c>
      <c r="P291" s="2">
        <v>1</v>
      </c>
      <c r="V291" s="2">
        <f t="shared" si="137"/>
        <v>58197.939708450875</v>
      </c>
      <c r="Y291">
        <f t="shared" si="135"/>
        <v>68878.371732245476</v>
      </c>
      <c r="Z291">
        <f t="shared" si="136"/>
        <v>163500.37133885917</v>
      </c>
    </row>
    <row r="292" spans="1:26" x14ac:dyDescent="0.2">
      <c r="A292" s="2">
        <v>279</v>
      </c>
      <c r="B292" s="2">
        <f t="shared" si="122"/>
        <v>9.3707477183812689</v>
      </c>
      <c r="C292" s="2">
        <f t="shared" si="123"/>
        <v>-1.4050187310805974E-3</v>
      </c>
      <c r="D292" s="2">
        <f t="shared" si="124"/>
        <v>4445.8081086162374</v>
      </c>
      <c r="E292" s="2">
        <f t="shared" si="125"/>
        <v>0.14726239194149141</v>
      </c>
      <c r="F292" s="8">
        <f t="shared" si="126"/>
        <v>4291.5422884149721</v>
      </c>
      <c r="G292" s="2">
        <f t="shared" si="127"/>
        <v>469289.62356060685</v>
      </c>
      <c r="H292" s="2">
        <f t="shared" si="128"/>
        <v>652.33657230829238</v>
      </c>
      <c r="I292" s="2">
        <f t="shared" si="129"/>
        <v>157752.70791116747</v>
      </c>
      <c r="J292" s="2">
        <f t="shared" si="130"/>
        <v>3.6708373971092137E-10</v>
      </c>
      <c r="K292" s="2">
        <f t="shared" si="131"/>
        <v>5.9833685608359213E-3</v>
      </c>
      <c r="L292" s="2">
        <f t="shared" si="132"/>
        <v>9.3389592924871145</v>
      </c>
      <c r="M292" s="2">
        <f t="shared" si="133"/>
        <v>5041.96</v>
      </c>
      <c r="N292">
        <f t="shared" si="134"/>
        <v>3.6277435535149591E-6</v>
      </c>
      <c r="O292" s="2">
        <v>54156</v>
      </c>
      <c r="P292" s="2">
        <v>1</v>
      </c>
      <c r="V292" s="2">
        <f t="shared" si="137"/>
        <v>56873.589708450876</v>
      </c>
      <c r="Y292">
        <f t="shared" si="135"/>
        <v>68859.198816986318</v>
      </c>
      <c r="Z292">
        <f t="shared" si="136"/>
        <v>164152.70791116747</v>
      </c>
    </row>
    <row r="293" spans="1:26" x14ac:dyDescent="0.2">
      <c r="A293" s="2">
        <v>280</v>
      </c>
      <c r="B293" s="2">
        <f t="shared" si="122"/>
        <v>9.415040684914171</v>
      </c>
      <c r="C293" s="2">
        <f t="shared" si="123"/>
        <v>-1.3991761532277424E-3</v>
      </c>
      <c r="D293" s="2">
        <f t="shared" si="124"/>
        <v>4455.178856334619</v>
      </c>
      <c r="E293" s="2">
        <f t="shared" si="125"/>
        <v>0.14585737321041081</v>
      </c>
      <c r="F293" s="8">
        <f t="shared" si="126"/>
        <v>4301.0538217906724</v>
      </c>
      <c r="G293" s="2">
        <f t="shared" si="127"/>
        <v>473590.67738239752</v>
      </c>
      <c r="H293" s="2">
        <f t="shared" si="128"/>
        <v>647.51904685328657</v>
      </c>
      <c r="I293" s="2">
        <f t="shared" si="129"/>
        <v>158400.22695802076</v>
      </c>
      <c r="J293" s="2">
        <f t="shared" si="130"/>
        <v>3.3548652371300119E-10</v>
      </c>
      <c r="K293" s="2">
        <f t="shared" si="131"/>
        <v>5.4914185637983575E-3</v>
      </c>
      <c r="L293" s="2">
        <f t="shared" si="132"/>
        <v>9.3371090831108745</v>
      </c>
      <c r="M293" s="2">
        <f t="shared" si="133"/>
        <v>5027.43</v>
      </c>
      <c r="N293">
        <f t="shared" si="134"/>
        <v>3.329472034343258E-6</v>
      </c>
      <c r="O293" s="2">
        <v>54156</v>
      </c>
      <c r="P293" s="2">
        <v>1</v>
      </c>
      <c r="V293" s="2">
        <f t="shared" si="137"/>
        <v>55529.619708450875</v>
      </c>
      <c r="Y293">
        <f t="shared" si="135"/>
        <v>68832.025358808678</v>
      </c>
      <c r="Z293">
        <f t="shared" si="136"/>
        <v>164800.22695802076</v>
      </c>
    </row>
    <row r="294" spans="1:26" x14ac:dyDescent="0.2">
      <c r="A294" s="2">
        <v>281</v>
      </c>
      <c r="B294" s="2">
        <f t="shared" si="122"/>
        <v>9.4594551053491021</v>
      </c>
      <c r="C294" s="2">
        <f t="shared" si="123"/>
        <v>-1.3933228817792174E-3</v>
      </c>
      <c r="D294" s="2">
        <f t="shared" si="124"/>
        <v>4464.593897019533</v>
      </c>
      <c r="E294" s="2">
        <f t="shared" si="125"/>
        <v>0.14445819705718307</v>
      </c>
      <c r="F294" s="8">
        <f t="shared" si="126"/>
        <v>4310.6009902228261</v>
      </c>
      <c r="G294" s="2">
        <f t="shared" si="127"/>
        <v>477901.27837262035</v>
      </c>
      <c r="H294" s="2">
        <f t="shared" si="128"/>
        <v>642.7063796519476</v>
      </c>
      <c r="I294" s="2">
        <f t="shared" si="129"/>
        <v>159042.9333376727</v>
      </c>
      <c r="J294" s="2">
        <f t="shared" si="130"/>
        <v>3.0681426470190166E-10</v>
      </c>
      <c r="K294" s="2">
        <f t="shared" si="131"/>
        <v>5.0433446791693119E-3</v>
      </c>
      <c r="L294" s="2">
        <f t="shared" si="132"/>
        <v>9.335273169033675</v>
      </c>
      <c r="M294" s="2">
        <f t="shared" si="133"/>
        <v>5012.8999999999996</v>
      </c>
      <c r="N294">
        <f t="shared" si="134"/>
        <v>3.0578028015466857E-6</v>
      </c>
      <c r="O294" s="2">
        <v>54156</v>
      </c>
      <c r="P294" s="2">
        <v>1</v>
      </c>
      <c r="V294" s="2">
        <f t="shared" si="137"/>
        <v>54166.029708450878</v>
      </c>
      <c r="Y294">
        <f t="shared" si="135"/>
        <v>68796.895650229519</v>
      </c>
      <c r="Z294">
        <f t="shared" si="136"/>
        <v>165442.9333376727</v>
      </c>
    </row>
    <row r="295" spans="1:26" x14ac:dyDescent="0.2">
      <c r="A295" s="2">
        <v>282</v>
      </c>
      <c r="B295" s="2">
        <f t="shared" si="122"/>
        <v>9.5039924860525495</v>
      </c>
      <c r="C295" s="2">
        <f t="shared" si="123"/>
        <v>-1.3874590415825087E-3</v>
      </c>
      <c r="D295" s="2">
        <f t="shared" si="124"/>
        <v>4474.0533521248817</v>
      </c>
      <c r="E295" s="2">
        <f t="shared" si="125"/>
        <v>0.14306487417540387</v>
      </c>
      <c r="F295" s="8">
        <f t="shared" si="126"/>
        <v>4320.1839650858619</v>
      </c>
      <c r="G295" s="2">
        <f t="shared" si="127"/>
        <v>482221.46233770624</v>
      </c>
      <c r="H295" s="2">
        <f t="shared" si="128"/>
        <v>637.89863460960157</v>
      </c>
      <c r="I295" s="2">
        <f t="shared" si="129"/>
        <v>159680.83197228229</v>
      </c>
      <c r="J295" s="2">
        <f t="shared" si="130"/>
        <v>2.8078005446101105E-10</v>
      </c>
      <c r="K295" s="2">
        <f t="shared" si="131"/>
        <v>4.6349787961026132E-3</v>
      </c>
      <c r="L295" s="2">
        <f t="shared" si="132"/>
        <v>9.333451523823129</v>
      </c>
      <c r="M295" s="2">
        <f t="shared" si="133"/>
        <v>4998.37</v>
      </c>
      <c r="N295">
        <f t="shared" si="134"/>
        <v>2.8102087105746782E-6</v>
      </c>
      <c r="O295" s="2">
        <v>54156</v>
      </c>
      <c r="P295" s="2">
        <v>1</v>
      </c>
      <c r="V295" s="2">
        <f t="shared" si="137"/>
        <v>52782.819708450879</v>
      </c>
      <c r="Y295">
        <f t="shared" si="135"/>
        <v>68753.854322853498</v>
      </c>
      <c r="Z295">
        <f t="shared" si="136"/>
        <v>166080.83197228229</v>
      </c>
    </row>
    <row r="296" spans="1:26" x14ac:dyDescent="0.2">
      <c r="A296" s="2">
        <v>283</v>
      </c>
      <c r="B296" s="2">
        <f t="shared" si="122"/>
        <v>9.5486543529710595</v>
      </c>
      <c r="C296" s="2">
        <f t="shared" si="123"/>
        <v>-1.3815847558952779E-3</v>
      </c>
      <c r="D296" s="2">
        <f t="shared" si="124"/>
        <v>4483.5573446109347</v>
      </c>
      <c r="E296" s="2">
        <f t="shared" si="125"/>
        <v>0.14167741513382137</v>
      </c>
      <c r="F296" s="8">
        <f t="shared" si="126"/>
        <v>4329.8029193759912</v>
      </c>
      <c r="G296" s="2">
        <f t="shared" si="127"/>
        <v>486551.26525708224</v>
      </c>
      <c r="H296" s="2">
        <f t="shared" si="128"/>
        <v>633.09587639432209</v>
      </c>
      <c r="I296" s="2">
        <f t="shared" si="129"/>
        <v>160313.92784867663</v>
      </c>
      <c r="J296" s="2">
        <f t="shared" si="130"/>
        <v>2.5712653545282456E-10</v>
      </c>
      <c r="K296" s="2">
        <f t="shared" si="131"/>
        <v>4.2625701179645889E-3</v>
      </c>
      <c r="L296" s="2">
        <f t="shared" si="132"/>
        <v>9.3316441209792789</v>
      </c>
      <c r="M296" s="2">
        <f t="shared" si="133"/>
        <v>4983.84</v>
      </c>
      <c r="N296">
        <f t="shared" si="134"/>
        <v>2.5844156363804484E-6</v>
      </c>
      <c r="O296" s="2">
        <v>54156</v>
      </c>
      <c r="P296" s="2">
        <v>1</v>
      </c>
      <c r="V296" s="2">
        <f t="shared" si="137"/>
        <v>51379.989708450878</v>
      </c>
      <c r="Y296">
        <f t="shared" si="135"/>
        <v>68702.946346597659</v>
      </c>
      <c r="Z296">
        <f t="shared" si="136"/>
        <v>166713.92784867663</v>
      </c>
    </row>
    <row r="297" spans="1:26" x14ac:dyDescent="0.2">
      <c r="A297" s="2">
        <v>284</v>
      </c>
      <c r="B297" s="2">
        <f t="shared" si="122"/>
        <v>9.5934422518865325</v>
      </c>
      <c r="C297" s="2">
        <f t="shared" si="123"/>
        <v>-1.3757001463778975E-3</v>
      </c>
      <c r="D297" s="2">
        <f t="shared" si="124"/>
        <v>4493.1059989639061</v>
      </c>
      <c r="E297" s="2">
        <f t="shared" si="125"/>
        <v>0.14029583037792609</v>
      </c>
      <c r="F297" s="8">
        <f t="shared" si="126"/>
        <v>4339.4580277282166</v>
      </c>
      <c r="G297" s="2">
        <f t="shared" si="127"/>
        <v>490890.72328481043</v>
      </c>
      <c r="H297" s="2">
        <f t="shared" si="128"/>
        <v>628.29817044242134</v>
      </c>
      <c r="I297" s="2">
        <f t="shared" si="129"/>
        <v>160942.22601911906</v>
      </c>
      <c r="J297" s="2">
        <f t="shared" si="130"/>
        <v>2.3562272534461073E-10</v>
      </c>
      <c r="K297" s="2">
        <f t="shared" si="131"/>
        <v>3.9227414467395885E-3</v>
      </c>
      <c r="L297" s="2">
        <f t="shared" si="132"/>
        <v>9.3298509339321338</v>
      </c>
      <c r="M297" s="2">
        <f t="shared" si="133"/>
        <v>4969.3099999999995</v>
      </c>
      <c r="N297">
        <f t="shared" si="134"/>
        <v>2.3783759684573652E-6</v>
      </c>
      <c r="O297" s="2">
        <v>54156</v>
      </c>
      <c r="P297" s="2">
        <v>1</v>
      </c>
      <c r="V297" s="2">
        <f t="shared" si="137"/>
        <v>49957.539708450873</v>
      </c>
      <c r="Y297">
        <f t="shared" si="135"/>
        <v>68644.217028960615</v>
      </c>
      <c r="Z297">
        <f t="shared" si="136"/>
        <v>167342.22601911906</v>
      </c>
    </row>
    <row r="298" spans="1:26" x14ac:dyDescent="0.2">
      <c r="A298" s="2">
        <v>285</v>
      </c>
      <c r="B298" s="2">
        <f t="shared" si="122"/>
        <v>9.6383577486752543</v>
      </c>
      <c r="C298" s="2">
        <f t="shared" si="123"/>
        <v>-1.3698053330861929E-3</v>
      </c>
      <c r="D298" s="2">
        <f t="shared" si="124"/>
        <v>4502.6994412157928</v>
      </c>
      <c r="E298" s="2">
        <f t="shared" si="125"/>
        <v>0.1389201302315482</v>
      </c>
      <c r="F298" s="8">
        <f t="shared" si="126"/>
        <v>4349.1494664335933</v>
      </c>
      <c r="G298" s="2">
        <f t="shared" si="127"/>
        <v>495239.87275124405</v>
      </c>
      <c r="H298" s="2">
        <f t="shared" si="128"/>
        <v>623.50558296403347</v>
      </c>
      <c r="I298" s="2">
        <f t="shared" si="129"/>
        <v>161565.73160208311</v>
      </c>
      <c r="J298" s="2">
        <f t="shared" si="130"/>
        <v>2.1606119583866901E-10</v>
      </c>
      <c r="K298" s="2">
        <f t="shared" si="131"/>
        <v>3.6124502331026107E-3</v>
      </c>
      <c r="L298" s="2">
        <f t="shared" si="132"/>
        <v>9.3280719360392261</v>
      </c>
      <c r="M298" s="2">
        <f t="shared" si="133"/>
        <v>4954.78</v>
      </c>
      <c r="N298">
        <f t="shared" si="134"/>
        <v>2.1902449953209523E-6</v>
      </c>
      <c r="O298" s="2">
        <v>54156</v>
      </c>
      <c r="P298" s="2">
        <v>1</v>
      </c>
      <c r="V298" s="2">
        <f t="shared" si="137"/>
        <v>48515.469708450873</v>
      </c>
      <c r="Y298">
        <f t="shared" si="135"/>
        <v>68577.712014333767</v>
      </c>
      <c r="Z298">
        <f t="shared" si="136"/>
        <v>167965.73160208311</v>
      </c>
    </row>
    <row r="299" spans="1:26" x14ac:dyDescent="0.2">
      <c r="A299" s="2">
        <v>286</v>
      </c>
      <c r="B299" s="2">
        <f t="shared" si="122"/>
        <v>9.6834024295709469</v>
      </c>
      <c r="C299" s="2">
        <f t="shared" si="123"/>
        <v>-1.3639004344643908E-3</v>
      </c>
      <c r="D299" s="2">
        <f t="shared" si="124"/>
        <v>4512.3377989644678</v>
      </c>
      <c r="E299" s="2">
        <f t="shared" si="125"/>
        <v>0.137550324898462</v>
      </c>
      <c r="F299" s="8">
        <f t="shared" si="126"/>
        <v>4358.8774134567257</v>
      </c>
      <c r="G299" s="2">
        <f t="shared" si="127"/>
        <v>499598.75016470079</v>
      </c>
      <c r="H299" s="2">
        <f t="shared" si="128"/>
        <v>618.718180948792</v>
      </c>
      <c r="I299" s="2">
        <f t="shared" si="129"/>
        <v>162184.44978303189</v>
      </c>
      <c r="J299" s="2">
        <f t="shared" si="130"/>
        <v>1.9825556491552505E-10</v>
      </c>
      <c r="K299" s="2">
        <f t="shared" si="131"/>
        <v>3.3289538537451977E-3</v>
      </c>
      <c r="L299" s="2">
        <f t="shared" si="132"/>
        <v>9.3263071005831364</v>
      </c>
      <c r="M299" s="2">
        <f t="shared" si="133"/>
        <v>4940.25</v>
      </c>
      <c r="N299">
        <f t="shared" si="134"/>
        <v>2.0183598519937625E-6</v>
      </c>
      <c r="O299" s="2">
        <v>54156</v>
      </c>
      <c r="P299" s="2">
        <v>1</v>
      </c>
      <c r="V299" s="2">
        <f t="shared" si="137"/>
        <v>47053.779708450878</v>
      </c>
      <c r="Y299">
        <f t="shared" si="135"/>
        <v>68503.477283356609</v>
      </c>
      <c r="Z299">
        <f t="shared" si="136"/>
        <v>168584.44978303189</v>
      </c>
    </row>
    <row r="300" spans="1:26" x14ac:dyDescent="0.2">
      <c r="A300" s="2">
        <v>287</v>
      </c>
      <c r="B300" s="2">
        <f t="shared" si="122"/>
        <v>9.7285779014319544</v>
      </c>
      <c r="C300" s="2">
        <f t="shared" si="123"/>
        <v>-1.3579855673382681E-3</v>
      </c>
      <c r="D300" s="2">
        <f t="shared" si="124"/>
        <v>4522.0212013940391</v>
      </c>
      <c r="E300" s="2">
        <f t="shared" si="125"/>
        <v>0.13618642446399762</v>
      </c>
      <c r="F300" s="8">
        <f t="shared" si="126"/>
        <v>4368.6420484534983</v>
      </c>
      <c r="G300" s="2">
        <f t="shared" si="127"/>
        <v>503967.39221315429</v>
      </c>
      <c r="H300" s="2">
        <f t="shared" si="128"/>
        <v>613.93603217160057</v>
      </c>
      <c r="I300" s="2">
        <f t="shared" si="129"/>
        <v>162798.38581520348</v>
      </c>
      <c r="J300" s="2">
        <f t="shared" si="130"/>
        <v>1.8203826646539347E-10</v>
      </c>
      <c r="K300" s="2">
        <f t="shared" si="131"/>
        <v>3.0697786403706224E-3</v>
      </c>
      <c r="L300" s="2">
        <f t="shared" si="132"/>
        <v>9.3245564007690227</v>
      </c>
      <c r="M300" s="2">
        <f t="shared" si="133"/>
        <v>4925.72</v>
      </c>
      <c r="N300">
        <f t="shared" si="134"/>
        <v>1.8612207421443896E-6</v>
      </c>
      <c r="O300" s="2">
        <v>54156</v>
      </c>
      <c r="P300" s="2">
        <v>1</v>
      </c>
      <c r="V300" s="2">
        <f t="shared" si="137"/>
        <v>45572.469708450873</v>
      </c>
      <c r="Y300">
        <f t="shared" si="135"/>
        <v>68421.559152316797</v>
      </c>
      <c r="Z300">
        <f t="shared" si="136"/>
        <v>169198.38581520348</v>
      </c>
    </row>
    <row r="301" spans="1:26" x14ac:dyDescent="0.2">
      <c r="A301" s="2">
        <v>288</v>
      </c>
      <c r="B301" s="2">
        <f t="shared" si="122"/>
        <v>9.7738857920127575</v>
      </c>
      <c r="C301" s="2">
        <f t="shared" si="123"/>
        <v>-1.3520608469084993E-3</v>
      </c>
      <c r="D301" s="2">
        <f t="shared" si="124"/>
        <v>4531.7497792954709</v>
      </c>
      <c r="E301" s="2">
        <f t="shared" si="125"/>
        <v>0.13482843889665935</v>
      </c>
      <c r="F301" s="8">
        <f t="shared" si="126"/>
        <v>4378.4435527890746</v>
      </c>
      <c r="G301" s="2">
        <f t="shared" si="127"/>
        <v>508345.8357659434</v>
      </c>
      <c r="H301" s="2">
        <f t="shared" si="128"/>
        <v>609.15920519849999</v>
      </c>
      <c r="I301" s="2">
        <f t="shared" si="129"/>
        <v>163407.54502040197</v>
      </c>
      <c r="J301" s="2">
        <f t="shared" si="130"/>
        <v>1.6725856555434245E-10</v>
      </c>
      <c r="K301" s="2">
        <f t="shared" si="131"/>
        <v>2.8326922400518386E-3</v>
      </c>
      <c r="L301" s="2">
        <f t="shared" si="132"/>
        <v>9.3228198097220929</v>
      </c>
      <c r="M301" s="2">
        <f t="shared" si="133"/>
        <v>4911.1900000000005</v>
      </c>
      <c r="N301">
        <f t="shared" si="134"/>
        <v>1.7174741800468721E-6</v>
      </c>
      <c r="O301" s="2">
        <v>54156</v>
      </c>
      <c r="P301" s="2">
        <v>1</v>
      </c>
      <c r="V301" s="2">
        <f t="shared" si="137"/>
        <v>44071.539708450873</v>
      </c>
      <c r="Y301">
        <f t="shared" si="135"/>
        <v>68332.00427259499</v>
      </c>
      <c r="Z301">
        <f t="shared" si="136"/>
        <v>169807.54502040197</v>
      </c>
    </row>
    <row r="302" spans="1:26" x14ac:dyDescent="0.2">
      <c r="A302" s="2">
        <v>289</v>
      </c>
      <c r="B302" s="2">
        <f t="shared" si="122"/>
        <v>9.8193277502400136</v>
      </c>
      <c r="C302" s="2">
        <f t="shared" si="123"/>
        <v>-1.3461263867441922E-3</v>
      </c>
      <c r="D302" s="2">
        <f t="shared" si="124"/>
        <v>4541.523665087484</v>
      </c>
      <c r="E302" s="2">
        <f t="shared" si="125"/>
        <v>0.13347637804975085</v>
      </c>
      <c r="F302" s="8">
        <f t="shared" si="126"/>
        <v>4388.2821095561385</v>
      </c>
      <c r="G302" s="2">
        <f t="shared" si="127"/>
        <v>512734.11787549953</v>
      </c>
      <c r="H302" s="2">
        <f t="shared" si="128"/>
        <v>604.38776939263425</v>
      </c>
      <c r="I302" s="2">
        <f t="shared" si="129"/>
        <v>164011.93278979461</v>
      </c>
      <c r="J302" s="2">
        <f t="shared" si="130"/>
        <v>1.5378079132168341E-10</v>
      </c>
      <c r="K302" s="2">
        <f t="shared" si="131"/>
        <v>2.615678935303374E-3</v>
      </c>
      <c r="L302" s="2">
        <f t="shared" si="132"/>
        <v>9.3210973004851052</v>
      </c>
      <c r="M302" s="2">
        <f t="shared" si="133"/>
        <v>4896.66</v>
      </c>
      <c r="N302">
        <f t="shared" si="134"/>
        <v>1.5858980270281063E-6</v>
      </c>
      <c r="O302" s="2">
        <v>54156</v>
      </c>
      <c r="P302" s="2">
        <v>1</v>
      </c>
      <c r="V302" s="2">
        <f t="shared" si="137"/>
        <v>42550.989708450878</v>
      </c>
      <c r="Y302">
        <f t="shared" si="135"/>
        <v>68234.859630155348</v>
      </c>
      <c r="Z302">
        <f t="shared" si="136"/>
        <v>170411.93278979461</v>
      </c>
    </row>
    <row r="303" spans="1:26" x14ac:dyDescent="0.2">
      <c r="A303" s="2">
        <v>290</v>
      </c>
      <c r="B303" s="2">
        <f t="shared" si="122"/>
        <v>9.8649054464932497</v>
      </c>
      <c r="C303" s="2">
        <f t="shared" si="123"/>
        <v>-1.340182298776624E-3</v>
      </c>
      <c r="D303" s="2">
        <f t="shared" si="124"/>
        <v>4551.3429928377236</v>
      </c>
      <c r="E303" s="2">
        <f t="shared" si="125"/>
        <v>0.13213025166300665</v>
      </c>
      <c r="F303" s="8">
        <f t="shared" si="126"/>
        <v>4398.1579035933873</v>
      </c>
      <c r="G303" s="2">
        <f t="shared" si="127"/>
        <v>517132.27577909292</v>
      </c>
      <c r="H303" s="2">
        <f t="shared" si="128"/>
        <v>599.62179492031453</v>
      </c>
      <c r="I303" s="2">
        <f t="shared" si="129"/>
        <v>164611.55458471493</v>
      </c>
      <c r="J303" s="2">
        <f t="shared" si="130"/>
        <v>1.414827627995018E-10</v>
      </c>
      <c r="K303" s="2">
        <f t="shared" si="131"/>
        <v>2.4169175950722287E-3</v>
      </c>
      <c r="L303" s="2">
        <f t="shared" si="132"/>
        <v>9.3193888460158334</v>
      </c>
      <c r="M303" s="2">
        <f t="shared" si="133"/>
        <v>4882.13</v>
      </c>
      <c r="N303">
        <f t="shared" si="134"/>
        <v>1.4653881230534139E-6</v>
      </c>
      <c r="O303" s="2">
        <v>54156</v>
      </c>
      <c r="P303" s="2">
        <v>1</v>
      </c>
      <c r="V303" s="2">
        <f t="shared" si="137"/>
        <v>41010.819708450872</v>
      </c>
      <c r="Y303">
        <f t="shared" si="135"/>
        <v>68130.172545082707</v>
      </c>
      <c r="Z303">
        <f t="shared" si="136"/>
        <v>171011.55458471493</v>
      </c>
    </row>
    <row r="304" spans="1:26" x14ac:dyDescent="0.2">
      <c r="A304" s="2">
        <v>291</v>
      </c>
      <c r="B304" s="2">
        <f t="shared" ref="B304:B367" si="138">((O303-K304)/M304)-(L304*SIN(E304))</f>
        <v>9.9106205728904246</v>
      </c>
      <c r="C304" s="2">
        <f t="shared" ref="C304:C367" si="139">-((L304/D304)-(D304/(6378000+(I304))))*COS(E304)</f>
        <v>-1.3342286932931443E-3</v>
      </c>
      <c r="D304" s="2">
        <f t="shared" ref="D304:D367" si="140">B303+D303</f>
        <v>4561.2078982842168</v>
      </c>
      <c r="E304" s="2">
        <f t="shared" ref="E304:E367" si="141">E303+C303</f>
        <v>0.13079006936423002</v>
      </c>
      <c r="F304" s="8">
        <f t="shared" ref="F304:F367" si="142">((6378000/(6378000+(I304)))*D304*COS(E304))</f>
        <v>4408.0711215043011</v>
      </c>
      <c r="G304" s="2">
        <f t="shared" ref="G304:G367" si="143">F304+G303</f>
        <v>521540.34690059721</v>
      </c>
      <c r="H304" s="2">
        <f t="shared" ref="H304:H367" si="144">D304*SIN(E304)</f>
        <v>594.8613527571847</v>
      </c>
      <c r="I304" s="2">
        <f t="shared" ref="I304:I367" si="145">H304+I303</f>
        <v>165206.41593747211</v>
      </c>
      <c r="J304" s="2">
        <f t="shared" ref="J304:J367" si="146">$J$13*EXP(-I304/7194)</f>
        <v>1.3025438584070146E-10</v>
      </c>
      <c r="K304" s="2">
        <f t="shared" ref="K304:K367" si="147">0.7*(PI()*(0.75))*0.5*J304*(D304)^2</f>
        <v>2.2347619656130475E-3</v>
      </c>
      <c r="L304" s="2">
        <f t="shared" ref="L304:L367" si="148">((9.80665)/(1+(I304/6378000))^2)</f>
        <v>9.317694419184491</v>
      </c>
      <c r="M304" s="2">
        <f t="shared" ref="M304:M367" si="149">6030-(14.53*A93)</f>
        <v>4867.6000000000004</v>
      </c>
      <c r="N304">
        <f t="shared" ref="N304:N367" si="150">(0.5*J304*(D304)^2)/1000</f>
        <v>1.3549463369945779E-6</v>
      </c>
      <c r="O304" s="2">
        <v>54156</v>
      </c>
      <c r="P304" s="2">
        <v>1</v>
      </c>
      <c r="V304" s="2">
        <f t="shared" si="137"/>
        <v>39451.029708450878</v>
      </c>
      <c r="Y304">
        <f t="shared" si="135"/>
        <v>68017.990671165229</v>
      </c>
      <c r="Z304">
        <f t="shared" si="136"/>
        <v>171606.41593747211</v>
      </c>
    </row>
    <row r="305" spans="1:26" x14ac:dyDescent="0.2">
      <c r="A305" s="2">
        <v>292</v>
      </c>
      <c r="B305" s="2">
        <f t="shared" si="138"/>
        <v>9.9564748435784463</v>
      </c>
      <c r="C305" s="2">
        <f t="shared" si="139"/>
        <v>-1.3282656789312787E-3</v>
      </c>
      <c r="D305" s="2">
        <f t="shared" si="140"/>
        <v>4571.1185188571071</v>
      </c>
      <c r="E305" s="2">
        <f t="shared" si="141"/>
        <v>0.12945584067093688</v>
      </c>
      <c r="F305" s="8">
        <f t="shared" si="142"/>
        <v>4418.021951676169</v>
      </c>
      <c r="G305" s="2">
        <f t="shared" si="143"/>
        <v>525958.36885227333</v>
      </c>
      <c r="H305" s="2">
        <f t="shared" si="144"/>
        <v>590.10651469448885</v>
      </c>
      <c r="I305" s="2">
        <f t="shared" si="145"/>
        <v>165796.5224521666</v>
      </c>
      <c r="J305" s="2">
        <f t="shared" si="146"/>
        <v>1.1999640188816516E-10</v>
      </c>
      <c r="K305" s="2">
        <f t="shared" si="147"/>
        <v>2.0677230435034166E-3</v>
      </c>
      <c r="L305" s="2">
        <f t="shared" si="148"/>
        <v>9.3160139927711683</v>
      </c>
      <c r="M305" s="2">
        <f t="shared" si="149"/>
        <v>4853.07</v>
      </c>
      <c r="N305">
        <f t="shared" si="150"/>
        <v>1.2536698793089024E-6</v>
      </c>
      <c r="O305" s="2">
        <v>54156</v>
      </c>
      <c r="P305" s="2">
        <v>1</v>
      </c>
      <c r="V305" s="2">
        <f>$I$224-(9.81*(A94^2))</f>
        <v>37871.619708450875</v>
      </c>
      <c r="Y305">
        <f t="shared" si="135"/>
        <v>67898.361995526284</v>
      </c>
      <c r="Z305">
        <f t="shared" si="136"/>
        <v>172196.5224521666</v>
      </c>
    </row>
    <row r="306" spans="1:26" x14ac:dyDescent="0.2">
      <c r="A306" s="2">
        <v>293</v>
      </c>
      <c r="B306" s="2">
        <f t="shared" si="138"/>
        <v>10.00246999502885</v>
      </c>
      <c r="C306" s="2">
        <f t="shared" si="139"/>
        <v>-1.3222933626729969E-3</v>
      </c>
      <c r="D306" s="2">
        <f t="shared" si="140"/>
        <v>4581.0749937006858</v>
      </c>
      <c r="E306" s="2">
        <f t="shared" si="141"/>
        <v>0.12812757499200561</v>
      </c>
      <c r="F306" s="8">
        <f t="shared" si="142"/>
        <v>4428.0105842993817</v>
      </c>
      <c r="G306" s="2">
        <f t="shared" si="143"/>
        <v>530386.37943657266</v>
      </c>
      <c r="H306" s="2">
        <f t="shared" si="144"/>
        <v>585.35735334544324</v>
      </c>
      <c r="I306" s="2">
        <f t="shared" si="145"/>
        <v>166381.87980551203</v>
      </c>
      <c r="J306" s="2">
        <f t="shared" si="146"/>
        <v>1.1061927155783548E-10</v>
      </c>
      <c r="K306" s="2">
        <f t="shared" si="147"/>
        <v>1.9144533024191795E-3</v>
      </c>
      <c r="L306" s="2">
        <f t="shared" si="148"/>
        <v>9.3143475394632436</v>
      </c>
      <c r="M306" s="2">
        <f t="shared" si="149"/>
        <v>4838.54</v>
      </c>
      <c r="N306">
        <f t="shared" si="150"/>
        <v>1.1607417386613927E-6</v>
      </c>
      <c r="O306" s="2">
        <v>54156</v>
      </c>
      <c r="P306" s="2">
        <v>1</v>
      </c>
      <c r="V306" s="2">
        <f t="shared" ref="V306:V317" si="151">$I$224-(9.81*(A95^2))</f>
        <v>36272.589708450876</v>
      </c>
      <c r="Y306">
        <f t="shared" si="135"/>
        <v>67771.334838302675</v>
      </c>
      <c r="Z306">
        <f t="shared" si="136"/>
        <v>172781.87980551203</v>
      </c>
    </row>
    <row r="307" spans="1:26" x14ac:dyDescent="0.2">
      <c r="A307" s="2">
        <v>294</v>
      </c>
      <c r="B307" s="2">
        <f t="shared" si="138"/>
        <v>10.04860778633882</v>
      </c>
      <c r="C307" s="2">
        <f t="shared" si="139"/>
        <v>-1.3163118498391642E-3</v>
      </c>
      <c r="D307" s="2">
        <f t="shared" si="140"/>
        <v>4591.0774636957149</v>
      </c>
      <c r="E307" s="2">
        <f t="shared" si="141"/>
        <v>0.12680528162933261</v>
      </c>
      <c r="F307" s="8">
        <f t="shared" si="142"/>
        <v>4438.0372113870108</v>
      </c>
      <c r="G307" s="2">
        <f t="shared" si="143"/>
        <v>534824.41664795973</v>
      </c>
      <c r="H307" s="2">
        <f t="shared" si="144"/>
        <v>580.61394215171401</v>
      </c>
      <c r="I307" s="2">
        <f t="shared" si="145"/>
        <v>166962.49374766374</v>
      </c>
      <c r="J307" s="2">
        <f t="shared" si="146"/>
        <v>1.0204217798049328E-10</v>
      </c>
      <c r="K307" s="2">
        <f t="shared" si="147"/>
        <v>1.7737325712036747E-3</v>
      </c>
      <c r="L307" s="2">
        <f t="shared" si="148"/>
        <v>9.3126950318527726</v>
      </c>
      <c r="M307" s="2">
        <f t="shared" si="149"/>
        <v>4824.01</v>
      </c>
      <c r="N307">
        <f t="shared" si="150"/>
        <v>1.0754221197339509E-6</v>
      </c>
      <c r="O307" s="2">
        <v>54156</v>
      </c>
      <c r="P307" s="2">
        <v>1</v>
      </c>
      <c r="V307" s="2">
        <f t="shared" si="151"/>
        <v>34653.939708450882</v>
      </c>
      <c r="Y307">
        <f t="shared" si="135"/>
        <v>67636.957852372158</v>
      </c>
      <c r="Z307">
        <f t="shared" si="136"/>
        <v>173362.49374766374</v>
      </c>
    </row>
    <row r="308" spans="1:26" x14ac:dyDescent="0.2">
      <c r="A308" s="2">
        <v>295</v>
      </c>
      <c r="B308" s="2">
        <f t="shared" si="138"/>
        <v>10.094889999537621</v>
      </c>
      <c r="C308" s="2">
        <f t="shared" si="139"/>
        <v>-1.3103212440841478E-3</v>
      </c>
      <c r="D308" s="2">
        <f t="shared" si="140"/>
        <v>4601.1260714820537</v>
      </c>
      <c r="E308" s="2">
        <f t="shared" si="141"/>
        <v>0.12548896977949345</v>
      </c>
      <c r="F308" s="8">
        <f t="shared" si="142"/>
        <v>4448.1020267946597</v>
      </c>
      <c r="G308" s="2">
        <f t="shared" si="143"/>
        <v>539272.51867475442</v>
      </c>
      <c r="H308" s="2">
        <f t="shared" si="144"/>
        <v>575.8763553900028</v>
      </c>
      <c r="I308" s="2">
        <f t="shared" si="145"/>
        <v>167538.37010305375</v>
      </c>
      <c r="J308" s="2">
        <f t="shared" si="146"/>
        <v>9.4192136583783731E-11</v>
      </c>
      <c r="K308" s="2">
        <f t="shared" si="147"/>
        <v>1.6444553836463584E-3</v>
      </c>
      <c r="L308" s="2">
        <f t="shared" si="148"/>
        <v>9.3110564424338502</v>
      </c>
      <c r="M308" s="2">
        <f t="shared" si="149"/>
        <v>4809.4799999999996</v>
      </c>
      <c r="N308">
        <f t="shared" si="150"/>
        <v>9.9704077333865556E-7</v>
      </c>
      <c r="O308" s="2">
        <v>54156</v>
      </c>
      <c r="P308" s="2">
        <v>1</v>
      </c>
      <c r="V308" s="2">
        <f t="shared" si="151"/>
        <v>33015.669708450878</v>
      </c>
      <c r="Y308">
        <f t="shared" si="135"/>
        <v>67495.280023129904</v>
      </c>
      <c r="Z308">
        <f t="shared" si="136"/>
        <v>173938.37010305375</v>
      </c>
    </row>
    <row r="309" spans="1:26" x14ac:dyDescent="0.2">
      <c r="A309" s="2">
        <v>296</v>
      </c>
      <c r="B309" s="2">
        <f t="shared" si="138"/>
        <v>10.14131843989867</v>
      </c>
      <c r="C309" s="2">
        <f t="shared" si="139"/>
        <v>-1.3043216473906034E-3</v>
      </c>
      <c r="D309" s="2">
        <f t="shared" si="140"/>
        <v>4611.2209614815911</v>
      </c>
      <c r="E309" s="2">
        <f t="shared" si="141"/>
        <v>0.1241786485354093</v>
      </c>
      <c r="F309" s="8">
        <f t="shared" si="142"/>
        <v>4458.2052262406005</v>
      </c>
      <c r="G309" s="2">
        <f t="shared" si="143"/>
        <v>543730.72390099498</v>
      </c>
      <c r="H309" s="2">
        <f t="shared" si="144"/>
        <v>571.14466817874154</v>
      </c>
      <c r="I309" s="2">
        <f t="shared" si="145"/>
        <v>168109.5147712325</v>
      </c>
      <c r="J309" s="2">
        <f t="shared" si="146"/>
        <v>8.7003199526383441E-11</v>
      </c>
      <c r="K309" s="2">
        <f t="shared" si="147"/>
        <v>1.525619640599496E-3</v>
      </c>
      <c r="L309" s="2">
        <f t="shared" si="148"/>
        <v>9.3094317435999656</v>
      </c>
      <c r="M309" s="2">
        <f t="shared" si="149"/>
        <v>4794.95</v>
      </c>
      <c r="N309">
        <f t="shared" si="150"/>
        <v>9.249901222075832E-7</v>
      </c>
      <c r="O309" s="2">
        <v>54156</v>
      </c>
      <c r="P309" s="2">
        <v>1</v>
      </c>
      <c r="V309" s="2">
        <f t="shared" si="151"/>
        <v>31357.779708450878</v>
      </c>
      <c r="Y309">
        <f t="shared" si="135"/>
        <v>67346.350668314335</v>
      </c>
      <c r="Z309">
        <f t="shared" si="136"/>
        <v>174509.5147712325</v>
      </c>
    </row>
    <row r="310" spans="1:26" x14ac:dyDescent="0.2">
      <c r="A310" s="2">
        <v>297</v>
      </c>
      <c r="B310" s="2">
        <f t="shared" si="138"/>
        <v>10.187894936257397</v>
      </c>
      <c r="C310" s="2">
        <f t="shared" si="139"/>
        <v>-1.2983131600644078E-3</v>
      </c>
      <c r="D310" s="2">
        <f t="shared" si="140"/>
        <v>4621.36227992149</v>
      </c>
      <c r="E310" s="2">
        <f t="shared" si="141"/>
        <v>0.12287432688801871</v>
      </c>
      <c r="F310" s="8">
        <f t="shared" si="142"/>
        <v>4468.3470073262088</v>
      </c>
      <c r="G310" s="2">
        <f t="shared" si="143"/>
        <v>548199.07090832118</v>
      </c>
      <c r="H310" s="2">
        <f t="shared" si="144"/>
        <v>566.41895648489844</v>
      </c>
      <c r="I310" s="2">
        <f t="shared" si="145"/>
        <v>168675.93372771741</v>
      </c>
      <c r="J310" s="2">
        <f t="shared" si="146"/>
        <v>8.0415744345405063E-11</v>
      </c>
      <c r="K310" s="2">
        <f t="shared" si="147"/>
        <v>1.4163164429279534E-3</v>
      </c>
      <c r="L310" s="2">
        <f t="shared" si="148"/>
        <v>9.307820907641327</v>
      </c>
      <c r="M310" s="2">
        <f t="shared" si="149"/>
        <v>4780.42</v>
      </c>
      <c r="N310">
        <f t="shared" si="150"/>
        <v>8.5871909666405345E-7</v>
      </c>
      <c r="O310" s="2">
        <v>54156</v>
      </c>
      <c r="P310" s="2">
        <v>1</v>
      </c>
      <c r="V310" s="2">
        <f t="shared" si="151"/>
        <v>29680.269708450869</v>
      </c>
      <c r="Y310">
        <f t="shared" si="135"/>
        <v>67190.219437883497</v>
      </c>
      <c r="Z310">
        <f t="shared" si="136"/>
        <v>175075.93372771741</v>
      </c>
    </row>
    <row r="311" spans="1:26" x14ac:dyDescent="0.2">
      <c r="A311" s="2">
        <v>298</v>
      </c>
      <c r="B311" s="2">
        <f t="shared" si="138"/>
        <v>10.234621341334975</v>
      </c>
      <c r="C311" s="2">
        <f t="shared" si="139"/>
        <v>-1.2922958807297608E-3</v>
      </c>
      <c r="D311" s="2">
        <f t="shared" si="140"/>
        <v>4631.5501748577472</v>
      </c>
      <c r="E311" s="2">
        <f t="shared" si="141"/>
        <v>0.1215760137279543</v>
      </c>
      <c r="F311" s="8">
        <f t="shared" si="142"/>
        <v>4478.5275695566816</v>
      </c>
      <c r="G311" s="2">
        <f t="shared" si="143"/>
        <v>552677.59847787791</v>
      </c>
      <c r="H311" s="2">
        <f t="shared" si="144"/>
        <v>561.69929713089687</v>
      </c>
      <c r="I311" s="2">
        <f t="shared" si="145"/>
        <v>169237.6330248483</v>
      </c>
      <c r="J311" s="2">
        <f t="shared" si="146"/>
        <v>7.4375837568154238E-11</v>
      </c>
      <c r="K311" s="2">
        <f t="shared" si="147"/>
        <v>1.3157209695855462E-3</v>
      </c>
      <c r="L311" s="2">
        <f t="shared" si="148"/>
        <v>9.3062239067421739</v>
      </c>
      <c r="M311" s="2">
        <f t="shared" si="149"/>
        <v>4765.8900000000003</v>
      </c>
      <c r="N311">
        <f t="shared" si="150"/>
        <v>7.9772760395886096E-7</v>
      </c>
      <c r="O311" s="2">
        <v>54156</v>
      </c>
      <c r="P311" s="2">
        <v>1</v>
      </c>
      <c r="V311" s="2">
        <f t="shared" si="151"/>
        <v>27983.139708450879</v>
      </c>
      <c r="Y311">
        <f t="shared" si="135"/>
        <v>67026.936313941755</v>
      </c>
      <c r="Z311">
        <f t="shared" si="136"/>
        <v>175637.6330248483</v>
      </c>
    </row>
    <row r="312" spans="1:26" x14ac:dyDescent="0.2">
      <c r="A312" s="2">
        <v>299</v>
      </c>
      <c r="B312" s="2">
        <f t="shared" si="138"/>
        <v>10.281499532068178</v>
      </c>
      <c r="C312" s="2">
        <f t="shared" si="139"/>
        <v>-1.2862699063244298E-3</v>
      </c>
      <c r="D312" s="2">
        <f t="shared" si="140"/>
        <v>4641.7847961990819</v>
      </c>
      <c r="E312" s="2">
        <f t="shared" si="141"/>
        <v>0.12028371784722454</v>
      </c>
      <c r="F312" s="8">
        <f t="shared" si="142"/>
        <v>4488.7471143620669</v>
      </c>
      <c r="G312" s="2">
        <f t="shared" si="143"/>
        <v>557166.34559223999</v>
      </c>
      <c r="H312" s="2">
        <f t="shared" si="144"/>
        <v>556.98576780164979</v>
      </c>
      <c r="I312" s="2">
        <f t="shared" si="145"/>
        <v>169794.61879264994</v>
      </c>
      <c r="J312" s="2">
        <f t="shared" si="146"/>
        <v>6.8834665089585697E-11</v>
      </c>
      <c r="K312" s="2">
        <f t="shared" si="147"/>
        <v>1.2230842890899273E-3</v>
      </c>
      <c r="L312" s="2">
        <f t="shared" si="148"/>
        <v>9.3046407129780704</v>
      </c>
      <c r="M312" s="2">
        <f t="shared" si="149"/>
        <v>4751.3600000000006</v>
      </c>
      <c r="N312">
        <f t="shared" si="150"/>
        <v>7.4156156353028067E-7</v>
      </c>
      <c r="O312" s="2">
        <v>54156</v>
      </c>
      <c r="P312" s="2">
        <v>1</v>
      </c>
      <c r="V312" s="2">
        <f t="shared" si="151"/>
        <v>26266.389708450879</v>
      </c>
      <c r="Y312">
        <f t="shared" si="135"/>
        <v>66856.55161071867</v>
      </c>
      <c r="Z312">
        <f t="shared" si="136"/>
        <v>176194.61879264994</v>
      </c>
    </row>
    <row r="313" spans="1:26" x14ac:dyDescent="0.2">
      <c r="A313" s="2">
        <v>300</v>
      </c>
      <c r="B313" s="2">
        <f t="shared" si="138"/>
        <v>10.328531409945443</v>
      </c>
      <c r="C313" s="2">
        <f t="shared" si="139"/>
        <v>-1.2802353320951433E-3</v>
      </c>
      <c r="D313" s="2">
        <f t="shared" si="140"/>
        <v>4652.0662957311497</v>
      </c>
      <c r="E313" s="2">
        <f t="shared" si="141"/>
        <v>0.11899744794090011</v>
      </c>
      <c r="F313" s="8">
        <f t="shared" si="142"/>
        <v>4499.0058451185951</v>
      </c>
      <c r="G313" s="2">
        <f t="shared" si="143"/>
        <v>561665.35143735853</v>
      </c>
      <c r="H313" s="2">
        <f t="shared" si="144"/>
        <v>552.27844705171094</v>
      </c>
      <c r="I313" s="2">
        <f t="shared" si="145"/>
        <v>170346.89723970165</v>
      </c>
      <c r="J313" s="2">
        <f t="shared" si="146"/>
        <v>6.3748022044063131E-11</v>
      </c>
      <c r="K313" s="2">
        <f t="shared" si="147"/>
        <v>1.1377260050410936E-3</v>
      </c>
      <c r="L313" s="2">
        <f t="shared" si="148"/>
        <v>9.30307129831316</v>
      </c>
      <c r="M313" s="2">
        <f t="shared" si="149"/>
        <v>4736.83</v>
      </c>
      <c r="N313">
        <f t="shared" si="150"/>
        <v>6.8980844794851309E-7</v>
      </c>
      <c r="O313" s="2">
        <v>54156</v>
      </c>
      <c r="P313" s="2">
        <v>1</v>
      </c>
      <c r="V313" s="2">
        <f t="shared" si="151"/>
        <v>24530.019708450869</v>
      </c>
      <c r="Y313">
        <f t="shared" si="135"/>
        <v>66679.115974598491</v>
      </c>
      <c r="Z313">
        <f t="shared" si="136"/>
        <v>176746.89723970165</v>
      </c>
    </row>
    <row r="314" spans="1:26" x14ac:dyDescent="0.2">
      <c r="A314" s="2">
        <v>301</v>
      </c>
      <c r="B314" s="2">
        <f t="shared" si="138"/>
        <v>10.375718901349321</v>
      </c>
      <c r="C314" s="2">
        <f t="shared" si="139"/>
        <v>-1.2741922515931276E-3</v>
      </c>
      <c r="D314" s="2">
        <f t="shared" si="140"/>
        <v>4662.3948271410954</v>
      </c>
      <c r="E314" s="2">
        <f t="shared" si="141"/>
        <v>0.11771721260880497</v>
      </c>
      <c r="F314" s="8">
        <f t="shared" si="142"/>
        <v>4509.3039671703273</v>
      </c>
      <c r="G314" s="2">
        <f t="shared" si="143"/>
        <v>566174.65540452884</v>
      </c>
      <c r="H314" s="2">
        <f t="shared" si="144"/>
        <v>547.57741431254465</v>
      </c>
      <c r="I314" s="2">
        <f t="shared" si="145"/>
        <v>170894.47465401419</v>
      </c>
      <c r="J314" s="2">
        <f t="shared" si="146"/>
        <v>5.9075855719159429E-11</v>
      </c>
      <c r="K314" s="2">
        <f t="shared" si="147"/>
        <v>1.0590276472869377E-3</v>
      </c>
      <c r="L314" s="2">
        <f t="shared" si="148"/>
        <v>9.3015156345974184</v>
      </c>
      <c r="M314" s="2">
        <f t="shared" si="149"/>
        <v>4722.3</v>
      </c>
      <c r="N314">
        <f t="shared" si="150"/>
        <v>6.4209327594931961E-7</v>
      </c>
      <c r="O314" s="2">
        <v>54156</v>
      </c>
      <c r="P314" s="2">
        <v>1</v>
      </c>
      <c r="V314" s="2">
        <f t="shared" si="151"/>
        <v>22774.029708450878</v>
      </c>
      <c r="Y314">
        <f t="shared" si="135"/>
        <v>66494.680384202962</v>
      </c>
      <c r="Z314">
        <f t="shared" si="136"/>
        <v>177294.47465401419</v>
      </c>
    </row>
    <row r="315" spans="1:26" x14ac:dyDescent="0.2">
      <c r="A315" s="2">
        <v>302</v>
      </c>
      <c r="B315" s="2">
        <f t="shared" si="138"/>
        <v>10.423063957905493</v>
      </c>
      <c r="C315" s="2">
        <f t="shared" si="139"/>
        <v>-1.2681407566697868E-3</v>
      </c>
      <c r="D315" s="2">
        <f t="shared" si="140"/>
        <v>4672.7705460424449</v>
      </c>
      <c r="E315" s="2">
        <f t="shared" si="141"/>
        <v>0.11644302035721184</v>
      </c>
      <c r="F315" s="8">
        <f t="shared" si="142"/>
        <v>4519.64168785111</v>
      </c>
      <c r="G315" s="2">
        <f t="shared" si="143"/>
        <v>570694.29709238</v>
      </c>
      <c r="H315" s="2">
        <f t="shared" si="144"/>
        <v>542.88274989991646</v>
      </c>
      <c r="I315" s="2">
        <f t="shared" si="145"/>
        <v>171437.35740391412</v>
      </c>
      <c r="J315" s="2">
        <f t="shared" si="146"/>
        <v>5.478185578319871E-11</v>
      </c>
      <c r="K315" s="2">
        <f t="shared" si="147"/>
        <v>9.8642673004919242E-4</v>
      </c>
      <c r="L315" s="2">
        <f t="shared" si="148"/>
        <v>9.2999736935638833</v>
      </c>
      <c r="M315" s="2">
        <f t="shared" si="149"/>
        <v>4707.7700000000004</v>
      </c>
      <c r="N315">
        <f t="shared" si="150"/>
        <v>5.9807500984877574E-7</v>
      </c>
      <c r="O315" s="2">
        <v>54156</v>
      </c>
      <c r="P315" s="2">
        <v>1</v>
      </c>
      <c r="V315" s="2">
        <f t="shared" si="151"/>
        <v>20998.419708450878</v>
      </c>
      <c r="Y315">
        <f t="shared" si="135"/>
        <v>66303.296150526803</v>
      </c>
      <c r="Z315">
        <f t="shared" si="136"/>
        <v>177837.35740391412</v>
      </c>
    </row>
    <row r="316" spans="1:26" x14ac:dyDescent="0.2">
      <c r="A316" s="2">
        <v>303</v>
      </c>
      <c r="B316" s="2">
        <f t="shared" si="138"/>
        <v>10.470568556838472</v>
      </c>
      <c r="C316" s="2">
        <f t="shared" si="139"/>
        <v>-1.2620809374725051E-3</v>
      </c>
      <c r="D316" s="2">
        <f t="shared" si="140"/>
        <v>4683.1936100003504</v>
      </c>
      <c r="E316" s="2">
        <f t="shared" si="141"/>
        <v>0.11517487960054205</v>
      </c>
      <c r="F316" s="8">
        <f t="shared" si="142"/>
        <v>4530.0192165068684</v>
      </c>
      <c r="G316" s="2">
        <f t="shared" si="143"/>
        <v>575224.31630888686</v>
      </c>
      <c r="H316" s="2">
        <f t="shared" si="144"/>
        <v>538.19453502140743</v>
      </c>
      <c r="I316" s="2">
        <f t="shared" si="145"/>
        <v>171975.55193893553</v>
      </c>
      <c r="J316" s="2">
        <f t="shared" si="146"/>
        <v>5.0833086738418082E-11</v>
      </c>
      <c r="K316" s="2">
        <f t="shared" si="147"/>
        <v>9.1941140693125711E-4</v>
      </c>
      <c r="L316" s="2">
        <f t="shared" si="148"/>
        <v>9.2984454468258395</v>
      </c>
      <c r="M316" s="2">
        <f t="shared" si="149"/>
        <v>4693.24</v>
      </c>
      <c r="N316">
        <f t="shared" si="150"/>
        <v>5.5744331485022345E-7</v>
      </c>
      <c r="O316" s="2">
        <v>54156</v>
      </c>
      <c r="P316" s="2">
        <v>1</v>
      </c>
      <c r="V316" s="2">
        <f t="shared" si="151"/>
        <v>19203.189708450867</v>
      </c>
      <c r="Y316">
        <f t="shared" si="135"/>
        <v>66105.014917127337</v>
      </c>
      <c r="Z316">
        <f t="shared" si="136"/>
        <v>178375.55193893553</v>
      </c>
    </row>
    <row r="317" spans="1:26" x14ac:dyDescent="0.2">
      <c r="A317" s="2">
        <v>304</v>
      </c>
      <c r="B317" s="2">
        <f t="shared" si="138"/>
        <v>10.51823470133419</v>
      </c>
      <c r="C317" s="2">
        <f t="shared" si="139"/>
        <v>-1.2560128824405919E-3</v>
      </c>
      <c r="D317" s="2">
        <f t="shared" si="140"/>
        <v>4693.6641785571892</v>
      </c>
      <c r="E317" s="2">
        <f t="shared" si="141"/>
        <v>0.11391279866306955</v>
      </c>
      <c r="F317" s="8">
        <f t="shared" si="142"/>
        <v>4540.4367645182238</v>
      </c>
      <c r="G317" s="2">
        <f t="shared" si="143"/>
        <v>579764.75307340513</v>
      </c>
      <c r="H317" s="2">
        <f t="shared" si="144"/>
        <v>533.51285178405328</v>
      </c>
      <c r="I317" s="2">
        <f t="shared" si="145"/>
        <v>172509.0647907196</v>
      </c>
      <c r="J317" s="2">
        <f t="shared" si="146"/>
        <v>4.7199658077977436E-11</v>
      </c>
      <c r="K317" s="2">
        <f t="shared" si="147"/>
        <v>8.5751566036425275E-4</v>
      </c>
      <c r="L317" s="2">
        <f t="shared" si="148"/>
        <v>9.2969308658740069</v>
      </c>
      <c r="M317" s="2">
        <f t="shared" si="149"/>
        <v>4678.71</v>
      </c>
      <c r="N317">
        <f t="shared" si="150"/>
        <v>5.1991564238354942E-7</v>
      </c>
      <c r="O317" s="2">
        <v>54156</v>
      </c>
      <c r="P317" s="2">
        <v>1</v>
      </c>
      <c r="V317" s="2">
        <f t="shared" si="151"/>
        <v>17388.339708450876</v>
      </c>
      <c r="Y317">
        <f t="shared" si="135"/>
        <v>65899.888660366603</v>
      </c>
      <c r="Z317">
        <f t="shared" si="136"/>
        <v>178909.0647907196</v>
      </c>
    </row>
    <row r="318" spans="1:26" x14ac:dyDescent="0.2">
      <c r="A318" s="2">
        <v>305</v>
      </c>
      <c r="B318" s="2">
        <f t="shared" si="138"/>
        <v>10.566064420909608</v>
      </c>
      <c r="C318" s="2">
        <f t="shared" si="139"/>
        <v>-1.2499366783013403E-3</v>
      </c>
      <c r="D318" s="2">
        <f t="shared" si="140"/>
        <v>4704.1824132585234</v>
      </c>
      <c r="E318" s="2">
        <f t="shared" si="141"/>
        <v>0.11265678578062896</v>
      </c>
      <c r="F318" s="8">
        <f t="shared" si="142"/>
        <v>4550.8945453234455</v>
      </c>
      <c r="G318" s="2">
        <f t="shared" si="143"/>
        <v>584315.64761872857</v>
      </c>
      <c r="H318" s="2">
        <f t="shared" si="144"/>
        <v>528.83778320211024</v>
      </c>
      <c r="I318" s="2">
        <f t="shared" si="145"/>
        <v>173037.90257392172</v>
      </c>
      <c r="J318" s="2">
        <f t="shared" si="146"/>
        <v>4.3854428126364814E-11</v>
      </c>
      <c r="K318" s="2">
        <f t="shared" si="147"/>
        <v>8.0031496982321023E-4</v>
      </c>
      <c r="L318" s="2">
        <f t="shared" si="148"/>
        <v>9.2954299220736978</v>
      </c>
      <c r="M318" s="2">
        <f t="shared" si="149"/>
        <v>4664.18</v>
      </c>
      <c r="N318">
        <f t="shared" si="150"/>
        <v>4.8523460372497135E-7</v>
      </c>
      <c r="O318" s="2">
        <v>54156</v>
      </c>
      <c r="P318" s="2">
        <v>1</v>
      </c>
      <c r="V318" s="2">
        <f>$I$224-(9.81*(A107^2))</f>
        <v>15553.869708450875</v>
      </c>
      <c r="Y318">
        <f t="shared" si="135"/>
        <v>65687.969689710211</v>
      </c>
      <c r="Z318">
        <f t="shared" si="136"/>
        <v>179437.90257392172</v>
      </c>
    </row>
    <row r="319" spans="1:26" x14ac:dyDescent="0.2">
      <c r="A319" s="2">
        <v>306</v>
      </c>
      <c r="B319" s="2">
        <f t="shared" si="138"/>
        <v>10.614059771789547</v>
      </c>
      <c r="C319" s="2">
        <f t="shared" si="139"/>
        <v>-1.243852410066211E-3</v>
      </c>
      <c r="D319" s="2">
        <f t="shared" si="140"/>
        <v>4714.7484776794327</v>
      </c>
      <c r="E319" s="2">
        <f t="shared" si="141"/>
        <v>0.11140684910232762</v>
      </c>
      <c r="F319" s="8">
        <f t="shared" si="142"/>
        <v>4561.392774441746</v>
      </c>
      <c r="G319" s="2">
        <f t="shared" si="143"/>
        <v>588877.04039317032</v>
      </c>
      <c r="H319" s="2">
        <f t="shared" si="144"/>
        <v>524.1694132049505</v>
      </c>
      <c r="I319" s="2">
        <f t="shared" si="145"/>
        <v>173562.07198712666</v>
      </c>
      <c r="J319" s="2">
        <f t="shared" si="146"/>
        <v>4.0772737986673845E-11</v>
      </c>
      <c r="K319" s="2">
        <f t="shared" si="147"/>
        <v>7.4742240916046059E-4</v>
      </c>
      <c r="L319" s="2">
        <f t="shared" si="148"/>
        <v>9.2939425866619345</v>
      </c>
      <c r="M319" s="2">
        <f t="shared" si="149"/>
        <v>4649.6499999999996</v>
      </c>
      <c r="N319">
        <f t="shared" si="150"/>
        <v>4.5316560379253497E-7</v>
      </c>
      <c r="O319" s="2">
        <v>54156</v>
      </c>
      <c r="P319" s="2">
        <v>1</v>
      </c>
      <c r="V319" s="2">
        <f t="shared" ref="V319:V326" si="152">$I$224-(9.81*(A108^2))</f>
        <v>13699.779708450878</v>
      </c>
      <c r="Y319">
        <f t="shared" si="135"/>
        <v>65469.310648079845</v>
      </c>
      <c r="Z319">
        <f t="shared" si="136"/>
        <v>179962.07198712666</v>
      </c>
    </row>
    <row r="320" spans="1:26" x14ac:dyDescent="0.2">
      <c r="A320" s="2">
        <v>307</v>
      </c>
      <c r="B320" s="2">
        <f t="shared" si="138"/>
        <v>10.662222837290866</v>
      </c>
      <c r="C320" s="2">
        <f t="shared" si="139"/>
        <v>-1.2377601610271338E-3</v>
      </c>
      <c r="D320" s="2">
        <f t="shared" si="140"/>
        <v>4725.3625374512221</v>
      </c>
      <c r="E320" s="2">
        <f t="shared" si="141"/>
        <v>0.11016299669226141</v>
      </c>
      <c r="F320" s="8">
        <f t="shared" si="142"/>
        <v>4571.9316694969348</v>
      </c>
      <c r="G320" s="2">
        <f t="shared" si="143"/>
        <v>593448.97206266725</v>
      </c>
      <c r="H320" s="2">
        <f t="shared" si="144"/>
        <v>519.50782664509029</v>
      </c>
      <c r="I320" s="2">
        <f t="shared" si="145"/>
        <v>174081.57981377176</v>
      </c>
      <c r="J320" s="2">
        <f t="shared" si="146"/>
        <v>3.7932172411581316E-11</v>
      </c>
      <c r="K320" s="2">
        <f t="shared" si="147"/>
        <v>6.9848512874687004E-4</v>
      </c>
      <c r="L320" s="2">
        <f t="shared" si="148"/>
        <v>9.2924688307445766</v>
      </c>
      <c r="M320" s="2">
        <f t="shared" si="149"/>
        <v>4635.12</v>
      </c>
      <c r="N320">
        <f t="shared" si="150"/>
        <v>4.2349470825235544E-7</v>
      </c>
      <c r="O320" s="2">
        <v>54156</v>
      </c>
      <c r="P320" s="2">
        <v>1</v>
      </c>
      <c r="V320" s="2">
        <f t="shared" si="152"/>
        <v>11826.069708450872</v>
      </c>
      <c r="Y320">
        <f t="shared" si="135"/>
        <v>65243.964512261933</v>
      </c>
      <c r="Z320">
        <f t="shared" si="136"/>
        <v>180481.57981377176</v>
      </c>
    </row>
    <row r="321" spans="1:26" x14ac:dyDescent="0.2">
      <c r="A321" s="2">
        <v>308</v>
      </c>
      <c r="B321" s="2">
        <f t="shared" si="138"/>
        <v>10.710555728214217</v>
      </c>
      <c r="C321" s="2">
        <f t="shared" si="139"/>
        <v>-1.231660012752911E-3</v>
      </c>
      <c r="D321" s="2">
        <f t="shared" si="140"/>
        <v>4736.0247602885129</v>
      </c>
      <c r="E321" s="2">
        <f t="shared" si="141"/>
        <v>0.10892523653123427</v>
      </c>
      <c r="F321" s="8">
        <f t="shared" si="142"/>
        <v>4582.5114502414081</v>
      </c>
      <c r="G321" s="2">
        <f t="shared" si="143"/>
        <v>598031.48351290869</v>
      </c>
      <c r="H321" s="2">
        <f t="shared" si="144"/>
        <v>514.85310930635012</v>
      </c>
      <c r="I321" s="2">
        <f t="shared" si="145"/>
        <v>174596.4329230781</v>
      </c>
      <c r="J321" s="2">
        <f t="shared" si="146"/>
        <v>3.5312344763516303E-11</v>
      </c>
      <c r="K321" s="2">
        <f t="shared" si="147"/>
        <v>6.5318118286010571E-4</v>
      </c>
      <c r="L321" s="2">
        <f t="shared" si="148"/>
        <v>9.2910086252933777</v>
      </c>
      <c r="M321" s="2">
        <f t="shared" si="149"/>
        <v>4620.59</v>
      </c>
      <c r="N321">
        <f t="shared" si="150"/>
        <v>3.9602671994970291E-7</v>
      </c>
      <c r="O321" s="2">
        <v>54156</v>
      </c>
      <c r="P321" s="2">
        <v>1</v>
      </c>
      <c r="V321" s="2">
        <f t="shared" si="152"/>
        <v>9932.7397084508702</v>
      </c>
      <c r="Y321">
        <f t="shared" si="135"/>
        <v>65011.984593373156</v>
      </c>
      <c r="Z321">
        <f t="shared" si="136"/>
        <v>180996.4329230781</v>
      </c>
    </row>
    <row r="322" spans="1:26" x14ac:dyDescent="0.2">
      <c r="A322" s="2">
        <v>309</v>
      </c>
      <c r="B322" s="2">
        <f t="shared" si="138"/>
        <v>10.759060583243508</v>
      </c>
      <c r="C322" s="2">
        <f t="shared" si="139"/>
        <v>-1.22555204508574E-3</v>
      </c>
      <c r="D322" s="2">
        <f t="shared" si="140"/>
        <v>4746.7353160167268</v>
      </c>
      <c r="E322" s="2">
        <f t="shared" si="141"/>
        <v>0.10769357651848137</v>
      </c>
      <c r="F322" s="8">
        <f t="shared" si="142"/>
        <v>4593.1323385805317</v>
      </c>
      <c r="G322" s="2">
        <f t="shared" si="143"/>
        <v>602624.61585148924</v>
      </c>
      <c r="H322" s="2">
        <f t="shared" si="144"/>
        <v>510.20534791215277</v>
      </c>
      <c r="I322" s="2">
        <f t="shared" si="145"/>
        <v>175106.63827099025</v>
      </c>
      <c r="J322" s="2">
        <f t="shared" si="146"/>
        <v>3.2894703538746193E-11</v>
      </c>
      <c r="K322" s="2">
        <f t="shared" si="147"/>
        <v>6.1121666698148158E-4</v>
      </c>
      <c r="L322" s="2">
        <f t="shared" si="148"/>
        <v>9.2895619411430648</v>
      </c>
      <c r="M322" s="2">
        <f t="shared" si="149"/>
        <v>4606.0600000000004</v>
      </c>
      <c r="N322">
        <f t="shared" si="150"/>
        <v>3.7058344323906909E-7</v>
      </c>
      <c r="O322" s="2">
        <v>54156</v>
      </c>
      <c r="P322" s="2">
        <v>1</v>
      </c>
      <c r="V322" s="2">
        <f t="shared" si="152"/>
        <v>8019.7897084508731</v>
      </c>
      <c r="Y322">
        <f t="shared" si="135"/>
        <v>64773.424537382278</v>
      </c>
      <c r="Z322">
        <f t="shared" si="136"/>
        <v>181506.63827099025</v>
      </c>
    </row>
    <row r="323" spans="1:26" x14ac:dyDescent="0.2">
      <c r="A323" s="2">
        <v>310</v>
      </c>
      <c r="B323" s="2">
        <f t="shared" si="138"/>
        <v>10.807739569353274</v>
      </c>
      <c r="C323" s="2">
        <f t="shared" si="139"/>
        <v>-1.219436336137825E-3</v>
      </c>
      <c r="D323" s="2">
        <f t="shared" si="140"/>
        <v>4757.4943765999706</v>
      </c>
      <c r="E323" s="2">
        <f t="shared" si="141"/>
        <v>0.10646802447339562</v>
      </c>
      <c r="F323" s="8">
        <f t="shared" si="142"/>
        <v>4603.7945585973612</v>
      </c>
      <c r="G323" s="2">
        <f t="shared" si="143"/>
        <v>607228.41041008662</v>
      </c>
      <c r="H323" s="2">
        <f t="shared" si="144"/>
        <v>505.56463013395893</v>
      </c>
      <c r="I323" s="2">
        <f t="shared" si="145"/>
        <v>175612.20290112423</v>
      </c>
      <c r="J323" s="2">
        <f t="shared" si="146"/>
        <v>3.0662358204491835E-11</v>
      </c>
      <c r="K323" s="2">
        <f t="shared" si="147"/>
        <v>5.7232313341907051E-4</v>
      </c>
      <c r="L323" s="2">
        <f t="shared" si="148"/>
        <v>9.288128748988365</v>
      </c>
      <c r="M323" s="2">
        <f t="shared" si="149"/>
        <v>4591.53</v>
      </c>
      <c r="N323">
        <f t="shared" si="150"/>
        <v>3.4700211706471387E-7</v>
      </c>
      <c r="O323" s="2">
        <v>54156</v>
      </c>
      <c r="P323" s="2">
        <v>1</v>
      </c>
      <c r="V323" s="2">
        <f t="shared" si="152"/>
        <v>6087.2197084508807</v>
      </c>
      <c r="Y323">
        <f t="shared" si="135"/>
        <v>64528.338325689299</v>
      </c>
      <c r="Z323">
        <f t="shared" si="136"/>
        <v>182012.20290112423</v>
      </c>
    </row>
    <row r="324" spans="1:26" x14ac:dyDescent="0.2">
      <c r="A324" s="2">
        <v>311</v>
      </c>
      <c r="B324" s="2">
        <f t="shared" si="138"/>
        <v>10.856594882224131</v>
      </c>
      <c r="C324" s="2">
        <f t="shared" si="139"/>
        <v>-1.2133129622880908E-3</v>
      </c>
      <c r="D324" s="2">
        <f t="shared" si="140"/>
        <v>4768.3021161693241</v>
      </c>
      <c r="E324" s="2">
        <f t="shared" si="141"/>
        <v>0.10524858813725779</v>
      </c>
      <c r="F324" s="8">
        <f t="shared" si="142"/>
        <v>4614.4983365777625</v>
      </c>
      <c r="G324" s="2">
        <f t="shared" si="143"/>
        <v>611842.90874666441</v>
      </c>
      <c r="H324" s="2">
        <f t="shared" si="144"/>
        <v>500.93104459984386</v>
      </c>
      <c r="I324" s="2">
        <f t="shared" si="145"/>
        <v>176113.13394572408</v>
      </c>
      <c r="J324" s="2">
        <f t="shared" si="146"/>
        <v>2.8599922341759868E-11</v>
      </c>
      <c r="K324" s="2">
        <f t="shared" si="147"/>
        <v>5.3625525701761858E-4</v>
      </c>
      <c r="L324" s="2">
        <f t="shared" si="148"/>
        <v>9.2867090193809947</v>
      </c>
      <c r="M324" s="2">
        <f t="shared" si="149"/>
        <v>4577</v>
      </c>
      <c r="N324">
        <f t="shared" si="150"/>
        <v>3.2513399966997633E-7</v>
      </c>
      <c r="O324" s="2">
        <v>54156</v>
      </c>
      <c r="P324" s="2">
        <v>1</v>
      </c>
      <c r="V324" s="2">
        <f t="shared" si="152"/>
        <v>4135.0297084508784</v>
      </c>
      <c r="Y324">
        <f t="shared" si="135"/>
        <v>64276.7802757635</v>
      </c>
      <c r="Z324">
        <f t="shared" si="136"/>
        <v>182513.13394572408</v>
      </c>
    </row>
    <row r="325" spans="1:26" x14ac:dyDescent="0.2">
      <c r="A325" s="2">
        <v>312</v>
      </c>
      <c r="B325" s="2">
        <f t="shared" si="138"/>
        <v>10.905628746666531</v>
      </c>
      <c r="C325" s="2">
        <f t="shared" si="139"/>
        <v>-1.2071819981789925E-3</v>
      </c>
      <c r="D325" s="2">
        <f t="shared" si="140"/>
        <v>4779.1587110515484</v>
      </c>
      <c r="E325" s="2">
        <f t="shared" si="141"/>
        <v>0.1040352751749697</v>
      </c>
      <c r="F325" s="8">
        <f t="shared" si="142"/>
        <v>4625.2439010359112</v>
      </c>
      <c r="G325" s="2">
        <f t="shared" si="143"/>
        <v>616468.15264770028</v>
      </c>
      <c r="H325" s="2">
        <f t="shared" si="144"/>
        <v>496.30468090321824</v>
      </c>
      <c r="I325" s="2">
        <f t="shared" si="145"/>
        <v>176609.43862662729</v>
      </c>
      <c r="J325" s="2">
        <f t="shared" si="146"/>
        <v>2.6693372302931482E-11</v>
      </c>
      <c r="K325" s="2">
        <f t="shared" si="147"/>
        <v>5.0278872569266362E-4</v>
      </c>
      <c r="L325" s="2">
        <f t="shared" si="148"/>
        <v>9.2853027227266658</v>
      </c>
      <c r="M325" s="2">
        <f t="shared" si="149"/>
        <v>4562.47</v>
      </c>
      <c r="N325">
        <f t="shared" si="150"/>
        <v>3.0484308961852363E-7</v>
      </c>
      <c r="O325" s="2">
        <v>54156</v>
      </c>
      <c r="P325" s="2">
        <v>1</v>
      </c>
      <c r="V325" s="2">
        <f t="shared" si="152"/>
        <v>2163.2197084508662</v>
      </c>
      <c r="Y325">
        <f t="shared" si="135"/>
        <v>64018.805041838619</v>
      </c>
      <c r="Z325">
        <f t="shared" si="136"/>
        <v>183009.43862662729</v>
      </c>
    </row>
    <row r="326" spans="1:26" x14ac:dyDescent="0.2">
      <c r="A326" s="2">
        <v>313</v>
      </c>
      <c r="B326" s="2">
        <f t="shared" si="138"/>
        <v>10.954843417052967</v>
      </c>
      <c r="C326" s="2">
        <f t="shared" si="139"/>
        <v>-1.201043516713402E-3</v>
      </c>
      <c r="D326" s="2">
        <f t="shared" si="140"/>
        <v>4790.0643397982149</v>
      </c>
      <c r="E326" s="2">
        <f t="shared" si="141"/>
        <v>0.1028280931767907</v>
      </c>
      <c r="F326" s="8">
        <f t="shared" si="142"/>
        <v>4636.0314827401799</v>
      </c>
      <c r="G326" s="2">
        <f t="shared" si="143"/>
        <v>621104.18413044047</v>
      </c>
      <c r="H326" s="2">
        <f t="shared" si="144"/>
        <v>491.68562961169363</v>
      </c>
      <c r="I326" s="2">
        <f t="shared" si="145"/>
        <v>177101.12425623898</v>
      </c>
      <c r="J326" s="2">
        <f t="shared" si="146"/>
        <v>2.4929919785386818E-11</v>
      </c>
      <c r="K326" s="2">
        <f t="shared" si="147"/>
        <v>4.7171833317809545E-4</v>
      </c>
      <c r="L326" s="2">
        <f t="shared" si="148"/>
        <v>9.2839098292820079</v>
      </c>
      <c r="M326" s="2">
        <f t="shared" si="149"/>
        <v>4547.9400000000005</v>
      </c>
      <c r="N326">
        <f t="shared" si="150"/>
        <v>2.8600496941852763E-7</v>
      </c>
      <c r="O326" s="2">
        <v>54156</v>
      </c>
      <c r="P326" s="2">
        <v>1</v>
      </c>
      <c r="V326" s="2">
        <f t="shared" si="152"/>
        <v>171.78970845087315</v>
      </c>
      <c r="Y326">
        <f t="shared" si="135"/>
        <v>63754.467615668313</v>
      </c>
      <c r="Z326">
        <f t="shared" si="136"/>
        <v>183501.12425623898</v>
      </c>
    </row>
    <row r="327" spans="1:26" x14ac:dyDescent="0.2">
      <c r="A327" s="2">
        <v>314</v>
      </c>
      <c r="B327" s="2">
        <f t="shared" si="138"/>
        <v>11.004241177758859</v>
      </c>
      <c r="C327" s="2">
        <f t="shared" si="139"/>
        <v>-1.1948975890515886E-3</v>
      </c>
      <c r="D327" s="2">
        <f t="shared" si="140"/>
        <v>4801.0191832152677</v>
      </c>
      <c r="E327" s="2">
        <f t="shared" si="141"/>
        <v>0.1016270496600773</v>
      </c>
      <c r="F327" s="8">
        <f t="shared" si="142"/>
        <v>4646.8613147394317</v>
      </c>
      <c r="G327" s="2">
        <f t="shared" si="143"/>
        <v>625751.04544517992</v>
      </c>
      <c r="H327" s="2">
        <f t="shared" si="144"/>
        <v>487.07398227609758</v>
      </c>
      <c r="I327" s="2">
        <f t="shared" si="145"/>
        <v>177588.19823851509</v>
      </c>
      <c r="J327" s="2">
        <f t="shared" si="146"/>
        <v>2.3297896893359514E-11</v>
      </c>
      <c r="K327" s="2">
        <f t="shared" si="147"/>
        <v>4.4285625374011371E-4</v>
      </c>
      <c r="L327" s="2">
        <f t="shared" si="148"/>
        <v>9.282530309151527</v>
      </c>
      <c r="M327" s="2">
        <f t="shared" si="149"/>
        <v>4533.41</v>
      </c>
      <c r="N327">
        <f t="shared" si="150"/>
        <v>2.6850575947389618E-7</v>
      </c>
      <c r="O327" s="2">
        <v>54156</v>
      </c>
      <c r="P327" s="2">
        <v>1</v>
      </c>
      <c r="V327" s="2"/>
      <c r="Y327">
        <f t="shared" si="135"/>
        <v>63483.823327341473</v>
      </c>
      <c r="Z327">
        <f t="shared" si="136"/>
        <v>183988.19823851509</v>
      </c>
    </row>
    <row r="328" spans="1:26" x14ac:dyDescent="0.2">
      <c r="A328" s="2">
        <v>315</v>
      </c>
      <c r="B328" s="2">
        <f t="shared" si="138"/>
        <v>11.053824343612291</v>
      </c>
      <c r="C328" s="2">
        <f t="shared" si="139"/>
        <v>-1.188744284608268E-3</v>
      </c>
      <c r="D328" s="2">
        <f t="shared" si="140"/>
        <v>4812.0234243930263</v>
      </c>
      <c r="E328" s="2">
        <f t="shared" si="141"/>
        <v>0.10043215207102571</v>
      </c>
      <c r="F328" s="8">
        <f t="shared" si="142"/>
        <v>4657.7336323897143</v>
      </c>
      <c r="G328" s="2">
        <f t="shared" si="143"/>
        <v>630408.7790775696</v>
      </c>
      <c r="H328" s="2">
        <f t="shared" si="144"/>
        <v>482.46983143963939</v>
      </c>
      <c r="I328" s="2">
        <f t="shared" si="145"/>
        <v>178070.66806995473</v>
      </c>
      <c r="J328" s="2">
        <f t="shared" si="146"/>
        <v>2.1786652412233035E-11</v>
      </c>
      <c r="K328" s="2">
        <f t="shared" si="147"/>
        <v>4.1603048071827287E-4</v>
      </c>
      <c r="L328" s="2">
        <f t="shared" si="148"/>
        <v>9.28116413228447</v>
      </c>
      <c r="M328" s="2">
        <f t="shared" si="149"/>
        <v>4518.88</v>
      </c>
      <c r="N328">
        <f t="shared" si="150"/>
        <v>2.5224117136461174E-7</v>
      </c>
      <c r="O328" s="2">
        <v>54156</v>
      </c>
      <c r="P328" s="2">
        <v>1</v>
      </c>
      <c r="V328" s="2"/>
      <c r="Y328">
        <f t="shared" si="135"/>
        <v>63206.927846156264</v>
      </c>
      <c r="Z328">
        <f t="shared" si="136"/>
        <v>184470.66806995473</v>
      </c>
    </row>
    <row r="329" spans="1:26" x14ac:dyDescent="0.2">
      <c r="A329" s="2">
        <v>316</v>
      </c>
      <c r="B329" s="2">
        <f t="shared" si="138"/>
        <v>11.103595260352858</v>
      </c>
      <c r="C329" s="2">
        <f t="shared" si="139"/>
        <v>-1.1825836710497315E-3</v>
      </c>
      <c r="D329" s="2">
        <f t="shared" si="140"/>
        <v>4823.0772487366385</v>
      </c>
      <c r="E329" s="2">
        <f t="shared" si="141"/>
        <v>9.9243407786417437E-2</v>
      </c>
      <c r="F329" s="8">
        <f t="shared" si="142"/>
        <v>4668.6486733813754</v>
      </c>
      <c r="G329" s="2">
        <f t="shared" si="143"/>
        <v>635077.42775095103</v>
      </c>
      <c r="H329" s="2">
        <f t="shared" si="144"/>
        <v>477.87327064722876</v>
      </c>
      <c r="I329" s="2">
        <f t="shared" si="145"/>
        <v>178548.54134060195</v>
      </c>
      <c r="J329" s="2">
        <f t="shared" si="146"/>
        <v>2.0386458154773109E-11</v>
      </c>
      <c r="K329" s="2">
        <f t="shared" si="147"/>
        <v>3.9108341263480417E-4</v>
      </c>
      <c r="L329" s="2">
        <f t="shared" si="148"/>
        <v>9.2798112684717236</v>
      </c>
      <c r="M329" s="2">
        <f t="shared" si="149"/>
        <v>4504.3500000000004</v>
      </c>
      <c r="N329">
        <f t="shared" si="150"/>
        <v>2.3711565059838655E-7</v>
      </c>
      <c r="O329" s="2">
        <v>54156</v>
      </c>
      <c r="P329" s="2">
        <v>1</v>
      </c>
      <c r="V329" s="2"/>
      <c r="Y329">
        <f t="shared" si="135"/>
        <v>62923.837181557064</v>
      </c>
      <c r="Z329">
        <f t="shared" si="136"/>
        <v>184948.54134060195</v>
      </c>
    </row>
    <row r="330" spans="1:26" x14ac:dyDescent="0.2">
      <c r="A330" s="2">
        <v>317</v>
      </c>
      <c r="B330" s="2">
        <f t="shared" si="138"/>
        <v>11.153556305099769</v>
      </c>
      <c r="C330" s="2">
        <f t="shared" si="139"/>
        <v>-1.1764158142910349E-3</v>
      </c>
      <c r="D330" s="2">
        <f t="shared" si="140"/>
        <v>4834.1808439969909</v>
      </c>
      <c r="E330" s="2">
        <f t="shared" si="141"/>
        <v>9.8060824115367706E-2</v>
      </c>
      <c r="F330" s="8">
        <f t="shared" si="142"/>
        <v>4679.6066777666019</v>
      </c>
      <c r="G330" s="2">
        <f t="shared" si="143"/>
        <v>639757.03442871768</v>
      </c>
      <c r="H330" s="2">
        <f t="shared" si="144"/>
        <v>473.28439445495229</v>
      </c>
      <c r="I330" s="2">
        <f t="shared" si="145"/>
        <v>179021.82573505689</v>
      </c>
      <c r="J330" s="2">
        <f t="shared" si="146"/>
        <v>1.908842435923453E-11</v>
      </c>
      <c r="K330" s="2">
        <f t="shared" si="147"/>
        <v>3.678705722919242E-4</v>
      </c>
      <c r="L330" s="2">
        <f t="shared" si="148"/>
        <v>9.2784716873426252</v>
      </c>
      <c r="M330" s="2">
        <f t="shared" si="149"/>
        <v>4489.82</v>
      </c>
      <c r="N330">
        <f t="shared" si="150"/>
        <v>2.2304159999353968E-7</v>
      </c>
      <c r="O330" s="2">
        <v>54156</v>
      </c>
      <c r="P330" s="2">
        <v>1</v>
      </c>
      <c r="V330" s="2"/>
      <c r="Y330">
        <f t="shared" si="135"/>
        <v>62634.607684130853</v>
      </c>
      <c r="Z330">
        <f t="shared" si="136"/>
        <v>185421.82573505689</v>
      </c>
    </row>
    <row r="331" spans="1:26" x14ac:dyDescent="0.2">
      <c r="A331" s="2">
        <v>318</v>
      </c>
      <c r="B331" s="2">
        <f t="shared" si="138"/>
        <v>11.203709886829456</v>
      </c>
      <c r="C331" s="2">
        <f t="shared" si="139"/>
        <v>-1.1702407784932585E-3</v>
      </c>
      <c r="D331" s="2">
        <f t="shared" si="140"/>
        <v>4845.3344003020911</v>
      </c>
      <c r="E331" s="2">
        <f t="shared" si="141"/>
        <v>9.6884408301076669E-2</v>
      </c>
      <c r="F331" s="8">
        <f t="shared" si="142"/>
        <v>4690.6078879873912</v>
      </c>
      <c r="G331" s="2">
        <f t="shared" si="143"/>
        <v>644447.64231670508</v>
      </c>
      <c r="H331" s="2">
        <f t="shared" si="144"/>
        <v>468.70329843970808</v>
      </c>
      <c r="I331" s="2">
        <f t="shared" si="145"/>
        <v>179490.5290334966</v>
      </c>
      <c r="J331" s="2">
        <f t="shared" si="146"/>
        <v>1.7884423226559753E-11</v>
      </c>
      <c r="K331" s="2">
        <f t="shared" si="147"/>
        <v>3.4625944577569269E-4</v>
      </c>
      <c r="L331" s="2">
        <f t="shared" si="148"/>
        <v>9.2771453583617909</v>
      </c>
      <c r="M331" s="2">
        <f t="shared" si="149"/>
        <v>4475.29</v>
      </c>
      <c r="N331">
        <f t="shared" si="150"/>
        <v>2.0993867576175843E-7</v>
      </c>
      <c r="O331" s="2">
        <v>54156</v>
      </c>
      <c r="P331" s="2">
        <v>1</v>
      </c>
      <c r="V331" s="2"/>
      <c r="Y331">
        <f t="shared" si="135"/>
        <v>62339.296046667288</v>
      </c>
      <c r="Z331">
        <f t="shared" si="136"/>
        <v>185890.5290334966</v>
      </c>
    </row>
    <row r="332" spans="1:26" x14ac:dyDescent="0.2">
      <c r="A332" s="2">
        <v>319</v>
      </c>
      <c r="B332" s="2">
        <f t="shared" si="138"/>
        <v>11.254058446862921</v>
      </c>
      <c r="C332" s="2">
        <f t="shared" si="139"/>
        <v>-1.1640586260608246E-3</v>
      </c>
      <c r="D332" s="2">
        <f t="shared" si="140"/>
        <v>4856.5381101889207</v>
      </c>
      <c r="E332" s="2">
        <f t="shared" si="141"/>
        <v>9.571416752258341E-2</v>
      </c>
      <c r="F332" s="8">
        <f t="shared" si="142"/>
        <v>4701.6525489039623</v>
      </c>
      <c r="G332" s="2">
        <f t="shared" si="143"/>
        <v>649149.29486560903</v>
      </c>
      <c r="H332" s="2">
        <f t="shared" si="144"/>
        <v>464.1300792090023</v>
      </c>
      <c r="I332" s="2">
        <f t="shared" si="145"/>
        <v>179954.65911270559</v>
      </c>
      <c r="J332" s="2">
        <f t="shared" si="146"/>
        <v>1.6767019779500128E-11</v>
      </c>
      <c r="K332" s="2">
        <f t="shared" si="147"/>
        <v>3.261284296242894E-4</v>
      </c>
      <c r="L332" s="2">
        <f t="shared" si="148"/>
        <v>9.2758322508259088</v>
      </c>
      <c r="M332" s="2">
        <f t="shared" si="149"/>
        <v>4460.76</v>
      </c>
      <c r="N332">
        <f t="shared" si="150"/>
        <v>1.9773314917143992E-7</v>
      </c>
      <c r="O332" s="2">
        <v>54156</v>
      </c>
      <c r="P332" s="2">
        <v>1</v>
      </c>
      <c r="V332" s="2"/>
      <c r="Y332">
        <f t="shared" si="135"/>
        <v>62037.959305280347</v>
      </c>
      <c r="Z332">
        <f t="shared" si="136"/>
        <v>186354.65911270559</v>
      </c>
    </row>
    <row r="333" spans="1:26" x14ac:dyDescent="0.2">
      <c r="A333" s="2">
        <v>320</v>
      </c>
      <c r="B333" s="2">
        <f t="shared" si="138"/>
        <v>11.304604459363032</v>
      </c>
      <c r="C333" s="2">
        <f t="shared" si="139"/>
        <v>-1.1578694176388586E-3</v>
      </c>
      <c r="D333" s="2">
        <f t="shared" si="140"/>
        <v>4867.7921686357831</v>
      </c>
      <c r="E333" s="2">
        <f t="shared" si="141"/>
        <v>9.4550108896522586E-2</v>
      </c>
      <c r="F333" s="8">
        <f t="shared" si="142"/>
        <v>4712.7409078236142</v>
      </c>
      <c r="G333" s="2">
        <f t="shared" si="143"/>
        <v>653862.0357734327</v>
      </c>
      <c r="H333" s="2">
        <f t="shared" si="144"/>
        <v>459.56483441091115</v>
      </c>
      <c r="I333" s="2">
        <f t="shared" si="145"/>
        <v>180414.22394711649</v>
      </c>
      <c r="J333" s="2">
        <f t="shared" si="146"/>
        <v>1.572940931172603E-11</v>
      </c>
      <c r="K333" s="2">
        <f t="shared" si="147"/>
        <v>3.0736587561552294E-4</v>
      </c>
      <c r="L333" s="2">
        <f t="shared" si="148"/>
        <v>9.2745323338604475</v>
      </c>
      <c r="M333" s="2">
        <f t="shared" si="149"/>
        <v>4446.2299999999996</v>
      </c>
      <c r="N333">
        <f t="shared" si="150"/>
        <v>1.8635732739801573E-7</v>
      </c>
      <c r="O333" s="2">
        <v>54156</v>
      </c>
      <c r="P333" s="2">
        <v>1</v>
      </c>
      <c r="V333" s="2"/>
      <c r="Y333">
        <f t="shared" si="135"/>
        <v>61730.654840593394</v>
      </c>
      <c r="Z333">
        <f t="shared" si="136"/>
        <v>186814.22394711649</v>
      </c>
    </row>
    <row r="334" spans="1:26" x14ac:dyDescent="0.2">
      <c r="A334" s="2">
        <v>321</v>
      </c>
      <c r="B334" s="2">
        <f t="shared" si="138"/>
        <v>11.355350431841982</v>
      </c>
      <c r="C334" s="2">
        <f t="shared" si="139"/>
        <v>-1.1516732121106136E-3</v>
      </c>
      <c r="D334" s="2">
        <f t="shared" si="140"/>
        <v>4879.0967730951461</v>
      </c>
      <c r="E334" s="2">
        <f t="shared" si="141"/>
        <v>9.3392239478883726E-2</v>
      </c>
      <c r="F334" s="8">
        <f t="shared" si="142"/>
        <v>4723.8732145300519</v>
      </c>
      <c r="G334" s="2">
        <f t="shared" si="143"/>
        <v>658585.90898796276</v>
      </c>
      <c r="H334" s="2">
        <f t="shared" si="144"/>
        <v>455.00766274421022</v>
      </c>
      <c r="I334" s="2">
        <f t="shared" si="145"/>
        <v>180869.2316098607</v>
      </c>
      <c r="J334" s="2">
        <f t="shared" si="146"/>
        <v>1.4765360771034747E-11</v>
      </c>
      <c r="K334" s="2">
        <f t="shared" si="147"/>
        <v>2.8986922369900122E-4</v>
      </c>
      <c r="L334" s="2">
        <f t="shared" si="148"/>
        <v>9.273245576416425</v>
      </c>
      <c r="M334" s="2">
        <f t="shared" si="149"/>
        <v>4431.7</v>
      </c>
      <c r="N334">
        <f t="shared" si="150"/>
        <v>1.7574902781678634E-7</v>
      </c>
      <c r="O334" s="2">
        <v>54156</v>
      </c>
      <c r="P334" s="2">
        <v>1</v>
      </c>
      <c r="Y334">
        <f t="shared" ref="Y334:Y397" si="153">(G334*COS((PI()/2) - E334))</f>
        <v>61417.440378988096</v>
      </c>
      <c r="Z334">
        <f t="shared" ref="Z334:Z397" si="154">6400+(I334)</f>
        <v>187269.2316098607</v>
      </c>
    </row>
    <row r="335" spans="1:26" x14ac:dyDescent="0.2">
      <c r="A335" s="2">
        <v>322</v>
      </c>
      <c r="B335" s="2">
        <f t="shared" si="138"/>
        <v>11.406298905679195</v>
      </c>
      <c r="C335" s="2">
        <f t="shared" si="139"/>
        <v>-1.1454700665949268E-3</v>
      </c>
      <c r="D335" s="2">
        <f t="shared" si="140"/>
        <v>4890.4521235269876</v>
      </c>
      <c r="E335" s="2">
        <f t="shared" si="141"/>
        <v>9.2240566266773114E-2</v>
      </c>
      <c r="F335" s="8">
        <f t="shared" si="142"/>
        <v>4735.0497213131739</v>
      </c>
      <c r="G335" s="2">
        <f t="shared" si="143"/>
        <v>663320.95870927593</v>
      </c>
      <c r="H335" s="2">
        <f t="shared" si="144"/>
        <v>450.45866396867439</v>
      </c>
      <c r="I335" s="2">
        <f t="shared" si="145"/>
        <v>181319.69027382936</v>
      </c>
      <c r="J335" s="2">
        <f t="shared" si="146"/>
        <v>1.3869165488618658E-11</v>
      </c>
      <c r="K335" s="2">
        <f t="shared" si="147"/>
        <v>2.7354421455611557E-4</v>
      </c>
      <c r="L335" s="2">
        <f t="shared" si="148"/>
        <v>9.2719719472670619</v>
      </c>
      <c r="M335" s="2">
        <f t="shared" si="149"/>
        <v>4417.17</v>
      </c>
      <c r="N335">
        <f t="shared" si="150"/>
        <v>1.6585110057446014E-7</v>
      </c>
      <c r="O335" s="2">
        <v>54156</v>
      </c>
      <c r="P335" s="2">
        <v>1</v>
      </c>
      <c r="Y335">
        <f t="shared" si="153"/>
        <v>61098.373993917703</v>
      </c>
      <c r="Z335">
        <f t="shared" si="154"/>
        <v>187719.69027382936</v>
      </c>
    </row>
    <row r="336" spans="1:26" x14ac:dyDescent="0.2">
      <c r="A336" s="2">
        <v>323</v>
      </c>
      <c r="B336" s="2">
        <f t="shared" si="138"/>
        <v>11.457452456649875</v>
      </c>
      <c r="C336" s="2">
        <f t="shared" si="139"/>
        <v>-1.1392600364437189E-3</v>
      </c>
      <c r="D336" s="2">
        <f t="shared" si="140"/>
        <v>4901.8584224326669</v>
      </c>
      <c r="E336" s="2">
        <f t="shared" si="141"/>
        <v>9.109509620017818E-2</v>
      </c>
      <c r="F336" s="8">
        <f t="shared" si="142"/>
        <v>4746.2706829993385</v>
      </c>
      <c r="G336" s="2">
        <f t="shared" si="143"/>
        <v>668067.22939227521</v>
      </c>
      <c r="H336" s="2">
        <f t="shared" si="144"/>
        <v>445.9179389155521</v>
      </c>
      <c r="I336" s="2">
        <f t="shared" si="145"/>
        <v>181765.6082127449</v>
      </c>
      <c r="J336" s="2">
        <f t="shared" si="146"/>
        <v>1.3035590726945409E-11</v>
      </c>
      <c r="K336" s="2">
        <f t="shared" si="147"/>
        <v>2.5830417412838673E-4</v>
      </c>
      <c r="L336" s="2">
        <f t="shared" si="148"/>
        <v>9.2707114150044543</v>
      </c>
      <c r="M336" s="2">
        <f t="shared" si="149"/>
        <v>4402.6400000000003</v>
      </c>
      <c r="N336">
        <f t="shared" si="150"/>
        <v>1.5661099479543779E-7</v>
      </c>
      <c r="O336" s="2">
        <v>54156</v>
      </c>
      <c r="P336" s="2">
        <v>1</v>
      </c>
      <c r="Y336">
        <f t="shared" si="153"/>
        <v>60773.514107285293</v>
      </c>
      <c r="Z336">
        <f t="shared" si="154"/>
        <v>188165.6082127449</v>
      </c>
    </row>
    <row r="337" spans="1:26" x14ac:dyDescent="0.2">
      <c r="A337" s="2">
        <v>324</v>
      </c>
      <c r="B337" s="2">
        <f t="shared" si="138"/>
        <v>11.508813695464481</v>
      </c>
      <c r="C337" s="2">
        <f t="shared" si="139"/>
        <v>-1.1330431752395286E-3</v>
      </c>
      <c r="D337" s="2">
        <f t="shared" si="140"/>
        <v>4913.3158748893165</v>
      </c>
      <c r="E337" s="2">
        <f t="shared" si="141"/>
        <v>8.9955836163734468E-2</v>
      </c>
      <c r="F337" s="8">
        <f t="shared" si="142"/>
        <v>4757.5363569821147</v>
      </c>
      <c r="G337" s="2">
        <f t="shared" si="143"/>
        <v>672824.76574925729</v>
      </c>
      <c r="H337" s="2">
        <f t="shared" si="144"/>
        <v>441.38558949821567</v>
      </c>
      <c r="I337" s="2">
        <f t="shared" si="145"/>
        <v>182206.99380224312</v>
      </c>
      <c r="J337" s="2">
        <f t="shared" si="146"/>
        <v>1.2259837572920299E-11</v>
      </c>
      <c r="K337" s="2">
        <f t="shared" si="147"/>
        <v>2.4406936322247499E-4</v>
      </c>
      <c r="L337" s="2">
        <f t="shared" si="148"/>
        <v>9.2694639480361918</v>
      </c>
      <c r="M337" s="2">
        <f t="shared" si="149"/>
        <v>4388.1100000000006</v>
      </c>
      <c r="N337">
        <f t="shared" si="150"/>
        <v>1.4798036424437388E-7</v>
      </c>
      <c r="O337" s="2">
        <v>54156</v>
      </c>
      <c r="P337" s="2">
        <v>1</v>
      </c>
      <c r="Y337">
        <f t="shared" si="153"/>
        <v>60442.919490887616</v>
      </c>
      <c r="Z337">
        <f t="shared" si="154"/>
        <v>188606.99380224312</v>
      </c>
    </row>
    <row r="338" spans="1:26" x14ac:dyDescent="0.2">
      <c r="A338" s="2">
        <v>325</v>
      </c>
      <c r="B338" s="2">
        <f t="shared" si="138"/>
        <v>11.560385268319376</v>
      </c>
      <c r="C338" s="2">
        <f t="shared" si="139"/>
        <v>-1.126819534793074E-3</v>
      </c>
      <c r="D338" s="2">
        <f t="shared" si="140"/>
        <v>4924.8246885847811</v>
      </c>
      <c r="E338" s="2">
        <f t="shared" si="141"/>
        <v>8.8822792988494936E-2</v>
      </c>
      <c r="F338" s="8">
        <f t="shared" si="142"/>
        <v>4768.8470032535415</v>
      </c>
      <c r="G338" s="2">
        <f t="shared" si="143"/>
        <v>677593.61275251082</v>
      </c>
      <c r="H338" s="2">
        <f t="shared" si="144"/>
        <v>436.86171872299241</v>
      </c>
      <c r="I338" s="2">
        <f t="shared" si="145"/>
        <v>182643.85552096611</v>
      </c>
      <c r="J338" s="2">
        <f t="shared" si="146"/>
        <v>1.1537502751369211E-11</v>
      </c>
      <c r="K338" s="2">
        <f t="shared" si="147"/>
        <v>2.3076638598810685E-4</v>
      </c>
      <c r="L338" s="2">
        <f t="shared" si="148"/>
        <v>9.2682295145819502</v>
      </c>
      <c r="M338" s="2">
        <f t="shared" si="149"/>
        <v>4373.58</v>
      </c>
      <c r="N338">
        <f t="shared" si="150"/>
        <v>1.3991470868365524E-7</v>
      </c>
      <c r="O338" s="2">
        <v>54156</v>
      </c>
      <c r="P338" s="2">
        <v>1</v>
      </c>
      <c r="Y338">
        <f t="shared" si="153"/>
        <v>60106.649267925008</v>
      </c>
      <c r="Z338">
        <f t="shared" si="154"/>
        <v>189043.85552096611</v>
      </c>
    </row>
    <row r="339" spans="1:26" x14ac:dyDescent="0.2">
      <c r="A339" s="2">
        <v>326</v>
      </c>
      <c r="B339" s="2">
        <f t="shared" si="138"/>
        <v>11.612169857458888</v>
      </c>
      <c r="C339" s="2">
        <f t="shared" si="139"/>
        <v>-1.1205891651408359E-3</v>
      </c>
      <c r="D339" s="2">
        <f t="shared" si="140"/>
        <v>4936.3850738531009</v>
      </c>
      <c r="E339" s="2">
        <f t="shared" si="141"/>
        <v>8.7695973453701864E-2</v>
      </c>
      <c r="F339" s="8">
        <f t="shared" si="142"/>
        <v>4780.2028844358774</v>
      </c>
      <c r="G339" s="2">
        <f t="shared" si="143"/>
        <v>682373.8156369467</v>
      </c>
      <c r="H339" s="2">
        <f t="shared" si="144"/>
        <v>432.34643070017876</v>
      </c>
      <c r="I339" s="2">
        <f t="shared" si="145"/>
        <v>183076.2019516663</v>
      </c>
      <c r="J339" s="2">
        <f t="shared" si="146"/>
        <v>1.086454397712342E-11</v>
      </c>
      <c r="K339" s="2">
        <f t="shared" si="147"/>
        <v>2.1832765168176065E-4</v>
      </c>
      <c r="L339" s="2">
        <f t="shared" si="148"/>
        <v>9.2670080826700438</v>
      </c>
      <c r="M339" s="2">
        <f t="shared" si="149"/>
        <v>4359.05</v>
      </c>
      <c r="N339">
        <f t="shared" si="150"/>
        <v>1.3237304753827718E-7</v>
      </c>
      <c r="O339" s="2">
        <v>54156</v>
      </c>
      <c r="P339" s="2">
        <v>1</v>
      </c>
      <c r="Y339">
        <f t="shared" si="153"/>
        <v>59764.762914578816</v>
      </c>
      <c r="Z339">
        <f t="shared" si="154"/>
        <v>189476.2019516663</v>
      </c>
    </row>
    <row r="340" spans="1:26" x14ac:dyDescent="0.2">
      <c r="A340" s="2">
        <v>327</v>
      </c>
      <c r="B340" s="2">
        <f t="shared" si="138"/>
        <v>11.66417018174911</v>
      </c>
      <c r="C340" s="2">
        <f t="shared" si="139"/>
        <v>-1.1143521145426643E-3</v>
      </c>
      <c r="D340" s="2">
        <f t="shared" si="140"/>
        <v>4947.9972437105598</v>
      </c>
      <c r="E340" s="2">
        <f t="shared" si="141"/>
        <v>8.6575384288561028E-2</v>
      </c>
      <c r="F340" s="8">
        <f t="shared" si="142"/>
        <v>4791.604265813884</v>
      </c>
      <c r="G340" s="2">
        <f t="shared" si="143"/>
        <v>687165.41990276054</v>
      </c>
      <c r="H340" s="2">
        <f t="shared" si="144"/>
        <v>427.83983065524069</v>
      </c>
      <c r="I340" s="2">
        <f t="shared" si="145"/>
        <v>183504.04178232152</v>
      </c>
      <c r="J340" s="2">
        <f t="shared" si="146"/>
        <v>1.0237248502672509E-11</v>
      </c>
      <c r="K340" s="2">
        <f t="shared" si="147"/>
        <v>2.0669088468197973E-4</v>
      </c>
      <c r="L340" s="2">
        <f t="shared" si="148"/>
        <v>9.2657996201339543</v>
      </c>
      <c r="M340" s="2">
        <f t="shared" si="149"/>
        <v>4344.5200000000004</v>
      </c>
      <c r="N340">
        <f t="shared" si="150"/>
        <v>1.253176228159009E-7</v>
      </c>
      <c r="O340" s="2">
        <v>54156</v>
      </c>
      <c r="P340" s="2">
        <v>1</v>
      </c>
      <c r="Y340">
        <f t="shared" si="153"/>
        <v>59417.320261654626</v>
      </c>
      <c r="Z340">
        <f t="shared" si="154"/>
        <v>189904.04178232152</v>
      </c>
    </row>
    <row r="341" spans="1:26" x14ac:dyDescent="0.2">
      <c r="A341" s="2">
        <v>328</v>
      </c>
      <c r="B341" s="2">
        <f t="shared" si="138"/>
        <v>11.716388997263667</v>
      </c>
      <c r="C341" s="2">
        <f t="shared" si="139"/>
        <v>-1.1081084294793939E-3</v>
      </c>
      <c r="D341" s="2">
        <f t="shared" si="140"/>
        <v>4959.6614138923087</v>
      </c>
      <c r="E341" s="2">
        <f t="shared" si="141"/>
        <v>8.5461032174018361E-2</v>
      </c>
      <c r="F341" s="8">
        <f t="shared" si="142"/>
        <v>4803.051415367624</v>
      </c>
      <c r="G341" s="2">
        <f t="shared" si="143"/>
        <v>691968.47131812817</v>
      </c>
      <c r="H341" s="2">
        <f t="shared" si="144"/>
        <v>423.34202494020474</v>
      </c>
      <c r="I341" s="2">
        <f t="shared" si="145"/>
        <v>183927.38380726174</v>
      </c>
      <c r="J341" s="2">
        <f t="shared" si="146"/>
        <v>9.6522045529690176E-12</v>
      </c>
      <c r="K341" s="2">
        <f t="shared" si="147"/>
        <v>1.9579867821829707E-4</v>
      </c>
      <c r="L341" s="2">
        <f t="shared" si="148"/>
        <v>9.2646040946088082</v>
      </c>
      <c r="M341" s="2">
        <f t="shared" si="149"/>
        <v>4329.99</v>
      </c>
      <c r="N341">
        <f t="shared" si="150"/>
        <v>1.1871362853067198E-7</v>
      </c>
      <c r="O341" s="2">
        <v>54156</v>
      </c>
      <c r="P341" s="2">
        <v>1</v>
      </c>
      <c r="Y341">
        <f t="shared" si="153"/>
        <v>59064.381496296075</v>
      </c>
      <c r="Z341">
        <f t="shared" si="154"/>
        <v>190327.38380726174</v>
      </c>
    </row>
    <row r="342" spans="1:26" x14ac:dyDescent="0.2">
      <c r="A342" s="2">
        <v>329</v>
      </c>
      <c r="B342" s="2">
        <f t="shared" si="138"/>
        <v>11.768829097881712</v>
      </c>
      <c r="C342" s="2">
        <f t="shared" si="139"/>
        <v>-1.1018581546504719E-3</v>
      </c>
      <c r="D342" s="2">
        <f t="shared" si="140"/>
        <v>4971.3778028895722</v>
      </c>
      <c r="E342" s="2">
        <f t="shared" si="141"/>
        <v>8.4352923744538968E-2</v>
      </c>
      <c r="F342" s="8">
        <f t="shared" si="142"/>
        <v>4814.5446038058144</v>
      </c>
      <c r="G342" s="2">
        <f t="shared" si="143"/>
        <v>696783.01592193404</v>
      </c>
      <c r="H342" s="2">
        <f t="shared" si="144"/>
        <v>418.85312104524189</v>
      </c>
      <c r="I342" s="2">
        <f t="shared" si="145"/>
        <v>184346.23692830699</v>
      </c>
      <c r="J342" s="2">
        <f t="shared" si="146"/>
        <v>9.1062753699656003E-12</v>
      </c>
      <c r="K342" s="2">
        <f t="shared" si="147"/>
        <v>1.8559808772112928E-4</v>
      </c>
      <c r="L342" s="2">
        <f t="shared" si="148"/>
        <v>9.2634214735278437</v>
      </c>
      <c r="M342" s="2">
        <f t="shared" si="149"/>
        <v>4315.46</v>
      </c>
      <c r="N342">
        <f t="shared" si="150"/>
        <v>1.1252896414941305E-7</v>
      </c>
      <c r="O342" s="2">
        <v>54156</v>
      </c>
      <c r="P342" s="2">
        <v>1</v>
      </c>
      <c r="Y342">
        <f t="shared" si="153"/>
        <v>58706.007163765309</v>
      </c>
      <c r="Z342">
        <f t="shared" si="154"/>
        <v>190746.23692830699</v>
      </c>
    </row>
    <row r="343" spans="1:26" x14ac:dyDescent="0.2">
      <c r="A343" s="2">
        <v>330</v>
      </c>
      <c r="B343" s="2">
        <f t="shared" si="138"/>
        <v>11.82149331589855</v>
      </c>
      <c r="C343" s="2">
        <f t="shared" si="139"/>
        <v>-1.095601332971587E-3</v>
      </c>
      <c r="D343" s="2">
        <f t="shared" si="140"/>
        <v>4983.1466319874535</v>
      </c>
      <c r="E343" s="2">
        <f t="shared" si="141"/>
        <v>8.3251065589888498E-2</v>
      </c>
      <c r="F343" s="8">
        <f t="shared" si="142"/>
        <v>4826.0841045997076</v>
      </c>
      <c r="G343" s="2">
        <f t="shared" si="143"/>
        <v>701609.10002653371</v>
      </c>
      <c r="H343" s="2">
        <f t="shared" si="144"/>
        <v>414.37322761044885</v>
      </c>
      <c r="I343" s="2">
        <f t="shared" si="145"/>
        <v>184760.61015591744</v>
      </c>
      <c r="J343" s="2">
        <f t="shared" si="146"/>
        <v>8.5965756172292371E-12</v>
      </c>
      <c r="K343" s="2">
        <f t="shared" si="147"/>
        <v>1.7604026009991613E-4</v>
      </c>
      <c r="L343" s="2">
        <f t="shared" si="148"/>
        <v>9.2622517241188156</v>
      </c>
      <c r="M343" s="2">
        <f t="shared" si="149"/>
        <v>4300.93</v>
      </c>
      <c r="N343">
        <f t="shared" si="150"/>
        <v>1.0673400982127468E-7</v>
      </c>
      <c r="O343" s="2">
        <v>54156</v>
      </c>
      <c r="P343" s="2">
        <v>1</v>
      </c>
      <c r="Y343">
        <f t="shared" si="153"/>
        <v>58342.258169293527</v>
      </c>
      <c r="Z343">
        <f t="shared" si="154"/>
        <v>191160.61015591744</v>
      </c>
    </row>
    <row r="344" spans="1:26" x14ac:dyDescent="0.2">
      <c r="A344" s="2">
        <v>331</v>
      </c>
      <c r="B344" s="2">
        <f t="shared" si="138"/>
        <v>11.874384522649063</v>
      </c>
      <c r="C344" s="2">
        <f t="shared" si="139"/>
        <v>-1.0893380055722963E-3</v>
      </c>
      <c r="D344" s="2">
        <f t="shared" si="140"/>
        <v>4994.9681253033523</v>
      </c>
      <c r="E344" s="2">
        <f t="shared" si="141"/>
        <v>8.2155464256916916E-2</v>
      </c>
      <c r="F344" s="8">
        <f t="shared" si="142"/>
        <v>4837.6701940175617</v>
      </c>
      <c r="G344" s="2">
        <f t="shared" si="143"/>
        <v>706446.77022055129</v>
      </c>
      <c r="H344" s="2">
        <f t="shared" si="144"/>
        <v>409.90245443782931</v>
      </c>
      <c r="I344" s="2">
        <f t="shared" si="145"/>
        <v>185170.51261035528</v>
      </c>
      <c r="J344" s="2">
        <f t="shared" si="146"/>
        <v>8.1204499198598453E-12</v>
      </c>
      <c r="K344" s="2">
        <f t="shared" si="147"/>
        <v>1.6708009561611638E-4</v>
      </c>
      <c r="L344" s="2">
        <f t="shared" si="148"/>
        <v>9.2610948134003728</v>
      </c>
      <c r="M344" s="2">
        <f t="shared" si="149"/>
        <v>4286.3999999999996</v>
      </c>
      <c r="N344">
        <f t="shared" si="150"/>
        <v>1.0130142136979594E-7</v>
      </c>
      <c r="O344" s="2">
        <v>54156</v>
      </c>
      <c r="P344" s="2">
        <v>1</v>
      </c>
      <c r="Y344">
        <f t="shared" si="153"/>
        <v>57973.195780002105</v>
      </c>
      <c r="Z344">
        <f t="shared" si="154"/>
        <v>191570.51261035528</v>
      </c>
    </row>
    <row r="345" spans="1:26" x14ac:dyDescent="0.2">
      <c r="A345" s="2">
        <v>332</v>
      </c>
      <c r="B345" s="2">
        <f t="shared" si="138"/>
        <v>11.92750562914431</v>
      </c>
      <c r="C345" s="2">
        <f t="shared" si="139"/>
        <v>-1.0830682117936499E-3</v>
      </c>
      <c r="D345" s="2">
        <f t="shared" si="140"/>
        <v>5006.8425098260013</v>
      </c>
      <c r="E345" s="2">
        <f t="shared" si="141"/>
        <v>8.1066126251344614E-2</v>
      </c>
      <c r="F345" s="8">
        <f t="shared" si="142"/>
        <v>4849.3031511596555</v>
      </c>
      <c r="G345" s="2">
        <f t="shared" si="143"/>
        <v>711296.07337171095</v>
      </c>
      <c r="H345" s="2">
        <f t="shared" si="144"/>
        <v>405.44091250347992</v>
      </c>
      <c r="I345" s="2">
        <f t="shared" si="145"/>
        <v>185575.95352285876</v>
      </c>
      <c r="J345" s="2">
        <f t="shared" si="146"/>
        <v>7.6754533372489174E-12</v>
      </c>
      <c r="K345" s="2">
        <f t="shared" si="147"/>
        <v>1.5867593934063844E-4</v>
      </c>
      <c r="L345" s="2">
        <f t="shared" si="148"/>
        <v>9.2599507081784118</v>
      </c>
      <c r="M345" s="2">
        <f t="shared" si="149"/>
        <v>4271.87</v>
      </c>
      <c r="N345">
        <f t="shared" si="150"/>
        <v>9.6205943222142278E-8</v>
      </c>
      <c r="O345" s="2">
        <v>54156</v>
      </c>
      <c r="P345" s="2">
        <v>1</v>
      </c>
      <c r="Y345">
        <f t="shared" si="153"/>
        <v>57598.881626894014</v>
      </c>
      <c r="Z345">
        <f t="shared" si="154"/>
        <v>191975.95352285876</v>
      </c>
    </row>
    <row r="346" spans="1:26" x14ac:dyDescent="0.2">
      <c r="A346" s="2">
        <v>333</v>
      </c>
      <c r="B346" s="2">
        <f t="shared" si="138"/>
        <v>11.98085958672163</v>
      </c>
      <c r="C346" s="2">
        <f t="shared" si="139"/>
        <v>-1.0767919891857961E-3</v>
      </c>
      <c r="D346" s="2">
        <f t="shared" si="140"/>
        <v>5018.7700154551458</v>
      </c>
      <c r="E346" s="2">
        <f t="shared" si="141"/>
        <v>7.9983058039550969E-2</v>
      </c>
      <c r="F346" s="8">
        <f t="shared" si="142"/>
        <v>4860.983257993912</v>
      </c>
      <c r="G346" s="2">
        <f t="shared" si="143"/>
        <v>716157.05662970489</v>
      </c>
      <c r="H346" s="2">
        <f t="shared" si="144"/>
        <v>400.98871396998425</v>
      </c>
      <c r="I346" s="2">
        <f t="shared" si="145"/>
        <v>185976.94223682873</v>
      </c>
      <c r="J346" s="2">
        <f t="shared" si="146"/>
        <v>7.2593335862248231E-12</v>
      </c>
      <c r="K346" s="2">
        <f t="shared" si="147"/>
        <v>1.5078929947573105E-4</v>
      </c>
      <c r="L346" s="2">
        <f t="shared" si="148"/>
        <v>9.2588193750423713</v>
      </c>
      <c r="M346" s="2">
        <f t="shared" si="149"/>
        <v>4257.34</v>
      </c>
      <c r="N346">
        <f t="shared" si="150"/>
        <v>9.1424237626387586E-8</v>
      </c>
      <c r="O346" s="2">
        <v>54156</v>
      </c>
      <c r="P346" s="2">
        <v>1</v>
      </c>
      <c r="Y346">
        <f t="shared" si="153"/>
        <v>57219.377706916333</v>
      </c>
      <c r="Z346">
        <f t="shared" si="154"/>
        <v>192376.94223682873</v>
      </c>
    </row>
    <row r="347" spans="1:26" x14ac:dyDescent="0.2">
      <c r="A347" s="2">
        <v>334</v>
      </c>
      <c r="B347" s="2">
        <f t="shared" si="138"/>
        <v>12.034449387708523</v>
      </c>
      <c r="C347" s="2">
        <f t="shared" si="139"/>
        <v>-1.0705093735055779E-3</v>
      </c>
      <c r="D347" s="2">
        <f t="shared" si="140"/>
        <v>5030.7508750418674</v>
      </c>
      <c r="E347" s="2">
        <f t="shared" si="141"/>
        <v>7.8906266050365173E-2</v>
      </c>
      <c r="F347" s="8">
        <f t="shared" si="142"/>
        <v>4872.7107993921036</v>
      </c>
      <c r="G347" s="2">
        <f t="shared" si="143"/>
        <v>721029.76742909697</v>
      </c>
      <c r="H347" s="2">
        <f t="shared" si="144"/>
        <v>396.54597219901751</v>
      </c>
      <c r="I347" s="2">
        <f t="shared" si="145"/>
        <v>186373.48820902774</v>
      </c>
      <c r="J347" s="2">
        <f t="shared" si="146"/>
        <v>6.8700148500884535E-12</v>
      </c>
      <c r="K347" s="2">
        <f t="shared" si="147"/>
        <v>1.4338459008264486E-4</v>
      </c>
      <c r="L347" s="2">
        <f t="shared" si="148"/>
        <v>9.2577007803614997</v>
      </c>
      <c r="M347" s="2">
        <f t="shared" si="149"/>
        <v>4242.8100000000004</v>
      </c>
      <c r="N347">
        <f t="shared" si="150"/>
        <v>8.6934728666126042E-8</v>
      </c>
      <c r="O347" s="2">
        <v>54156</v>
      </c>
      <c r="P347" s="2">
        <v>1</v>
      </c>
      <c r="Y347">
        <f t="shared" si="153"/>
        <v>56834.746385095765</v>
      </c>
      <c r="Z347">
        <f t="shared" si="154"/>
        <v>192773.48820902774</v>
      </c>
    </row>
    <row r="348" spans="1:26" x14ac:dyDescent="0.2">
      <c r="A348" s="2">
        <v>335</v>
      </c>
      <c r="B348" s="2">
        <f t="shared" si="138"/>
        <v>12.088278066100685</v>
      </c>
      <c r="C348" s="2">
        <f t="shared" si="139"/>
        <v>-1.0642203987140976E-3</v>
      </c>
      <c r="D348" s="2">
        <f t="shared" si="140"/>
        <v>5042.7853244295757</v>
      </c>
      <c r="E348" s="2">
        <f t="shared" si="141"/>
        <v>7.7835756676859602E-2</v>
      </c>
      <c r="F348" s="8">
        <f t="shared" si="142"/>
        <v>4884.4860631666779</v>
      </c>
      <c r="G348" s="2">
        <f t="shared" si="143"/>
        <v>725914.25349226361</v>
      </c>
      <c r="H348" s="2">
        <f t="shared" si="144"/>
        <v>392.11280176416903</v>
      </c>
      <c r="I348" s="2">
        <f t="shared" si="145"/>
        <v>186765.6010107919</v>
      </c>
      <c r="J348" s="2">
        <f t="shared" si="146"/>
        <v>6.5055830251658658E-12</v>
      </c>
      <c r="K348" s="2">
        <f t="shared" si="147"/>
        <v>1.3642889599157883E-4</v>
      </c>
      <c r="L348" s="2">
        <f t="shared" si="148"/>
        <v>9.2565948902810771</v>
      </c>
      <c r="M348" s="2">
        <f t="shared" si="149"/>
        <v>4228.28</v>
      </c>
      <c r="N348">
        <f t="shared" si="150"/>
        <v>8.271745972430413E-8</v>
      </c>
      <c r="O348" s="2">
        <v>54156</v>
      </c>
      <c r="P348" s="2">
        <v>1</v>
      </c>
      <c r="Y348">
        <f t="shared" si="153"/>
        <v>56445.050396745763</v>
      </c>
      <c r="Z348">
        <f t="shared" si="154"/>
        <v>193165.6010107919</v>
      </c>
    </row>
    <row r="349" spans="1:26" x14ac:dyDescent="0.2">
      <c r="A349" s="2">
        <v>336</v>
      </c>
      <c r="B349" s="2">
        <f t="shared" si="138"/>
        <v>12.142348698254501</v>
      </c>
      <c r="C349" s="2">
        <f t="shared" si="139"/>
        <v>-1.0579250969742658E-3</v>
      </c>
      <c r="D349" s="2">
        <f t="shared" si="140"/>
        <v>5054.8736024956761</v>
      </c>
      <c r="E349" s="2">
        <f t="shared" si="141"/>
        <v>7.6771536278145508E-2</v>
      </c>
      <c r="F349" s="8">
        <f t="shared" si="142"/>
        <v>4896.3093401081987</v>
      </c>
      <c r="G349" s="2">
        <f t="shared" si="143"/>
        <v>730810.5628323718</v>
      </c>
      <c r="H349" s="2">
        <f t="shared" si="144"/>
        <v>387.6893184639822</v>
      </c>
      <c r="I349" s="2">
        <f t="shared" si="145"/>
        <v>187153.29032925589</v>
      </c>
      <c r="J349" s="2">
        <f t="shared" si="146"/>
        <v>6.1642722709849877E-12</v>
      </c>
      <c r="K349" s="2">
        <f t="shared" si="147"/>
        <v>1.2989175788218592E-4</v>
      </c>
      <c r="L349" s="2">
        <f t="shared" si="148"/>
        <v>9.2555016707186102</v>
      </c>
      <c r="M349" s="2">
        <f t="shared" si="149"/>
        <v>4213.75</v>
      </c>
      <c r="N349">
        <f t="shared" si="150"/>
        <v>7.8753963176554479E-8</v>
      </c>
      <c r="O349" s="2">
        <v>54156</v>
      </c>
      <c r="P349" s="2">
        <v>1</v>
      </c>
      <c r="Y349">
        <f t="shared" si="153"/>
        <v>56050.352849748495</v>
      </c>
      <c r="Z349">
        <f t="shared" si="154"/>
        <v>193553.29032925589</v>
      </c>
    </row>
    <row r="350" spans="1:26" x14ac:dyDescent="0.2">
      <c r="A350" s="2">
        <v>337</v>
      </c>
      <c r="B350" s="2">
        <f t="shared" si="138"/>
        <v>12.196664403594401</v>
      </c>
      <c r="C350" s="2">
        <f t="shared" si="139"/>
        <v>-1.0516234986483036E-3</v>
      </c>
      <c r="D350" s="2">
        <f t="shared" si="140"/>
        <v>5067.015951193931</v>
      </c>
      <c r="E350" s="2">
        <f t="shared" si="141"/>
        <v>7.5713611181171245E-2</v>
      </c>
      <c r="F350" s="8">
        <f t="shared" si="142"/>
        <v>4908.180924023427</v>
      </c>
      <c r="G350" s="2">
        <f t="shared" si="143"/>
        <v>735718.74375639518</v>
      </c>
      <c r="H350" s="2">
        <f t="shared" si="144"/>
        <v>383.27563933521958</v>
      </c>
      <c r="I350" s="2">
        <f t="shared" si="145"/>
        <v>187536.56596859111</v>
      </c>
      <c r="J350" s="2">
        <f t="shared" si="146"/>
        <v>5.8444527431974187E-12</v>
      </c>
      <c r="K350" s="2">
        <f t="shared" si="147"/>
        <v>1.2374497571372297E-4</v>
      </c>
      <c r="L350" s="2">
        <f t="shared" si="148"/>
        <v>9.2544210873599653</v>
      </c>
      <c r="M350" s="2">
        <f t="shared" si="149"/>
        <v>4199.22</v>
      </c>
      <c r="N350">
        <f t="shared" si="150"/>
        <v>7.5027141210002082E-8</v>
      </c>
      <c r="O350" s="2">
        <v>54156</v>
      </c>
      <c r="P350" s="2">
        <v>1</v>
      </c>
      <c r="Y350">
        <f t="shared" si="153"/>
        <v>55650.717226910187</v>
      </c>
      <c r="Z350">
        <f t="shared" si="154"/>
        <v>193936.56596859111</v>
      </c>
    </row>
    <row r="351" spans="1:26" x14ac:dyDescent="0.2">
      <c r="A351" s="2">
        <v>338</v>
      </c>
      <c r="B351" s="2">
        <f t="shared" si="138"/>
        <v>12.251228345335381</v>
      </c>
      <c r="C351" s="2">
        <f t="shared" si="139"/>
        <v>-1.045315632295222E-3</v>
      </c>
      <c r="D351" s="2">
        <f t="shared" si="140"/>
        <v>5079.2126155975257</v>
      </c>
      <c r="E351" s="2">
        <f t="shared" si="141"/>
        <v>7.466198768252294E-2</v>
      </c>
      <c r="F351" s="8">
        <f t="shared" si="142"/>
        <v>4920.1011117740409</v>
      </c>
      <c r="G351" s="2">
        <f t="shared" si="143"/>
        <v>740638.84486816917</v>
      </c>
      <c r="H351" s="2">
        <f t="shared" si="144"/>
        <v>378.87188266635559</v>
      </c>
      <c r="I351" s="2">
        <f t="shared" si="145"/>
        <v>187915.43785125748</v>
      </c>
      <c r="J351" s="2">
        <f t="shared" si="146"/>
        <v>5.54461940006382E-12</v>
      </c>
      <c r="K351" s="2">
        <f t="shared" si="147"/>
        <v>1.1796242885585043E-4</v>
      </c>
      <c r="L351" s="2">
        <f t="shared" si="148"/>
        <v>9.2533531056554903</v>
      </c>
      <c r="M351" s="2">
        <f t="shared" si="149"/>
        <v>4184.6900000000005</v>
      </c>
      <c r="N351">
        <f t="shared" si="150"/>
        <v>7.1521156767750974E-8</v>
      </c>
      <c r="O351" s="2">
        <v>54156</v>
      </c>
      <c r="P351" s="2">
        <v>1</v>
      </c>
      <c r="Y351">
        <f t="shared" si="153"/>
        <v>55246.207388392111</v>
      </c>
      <c r="Z351">
        <f t="shared" si="154"/>
        <v>194315.43785125748</v>
      </c>
    </row>
    <row r="352" spans="1:26" x14ac:dyDescent="0.2">
      <c r="A352" s="2">
        <v>339</v>
      </c>
      <c r="B352" s="2">
        <f t="shared" si="138"/>
        <v>12.306043731221099</v>
      </c>
      <c r="C352" s="2">
        <f t="shared" si="139"/>
        <v>-1.0390015246682441E-3</v>
      </c>
      <c r="D352" s="2">
        <f t="shared" si="140"/>
        <v>5091.4638439428609</v>
      </c>
      <c r="E352" s="2">
        <f t="shared" si="141"/>
        <v>7.3616672050227719E-2</v>
      </c>
      <c r="F352" s="8">
        <f t="shared" si="142"/>
        <v>4932.0702033160442</v>
      </c>
      <c r="G352" s="2">
        <f t="shared" si="143"/>
        <v>745570.91507148521</v>
      </c>
      <c r="H352" s="2">
        <f t="shared" si="144"/>
        <v>374.47816801130159</v>
      </c>
      <c r="I352" s="2">
        <f t="shared" si="145"/>
        <v>188289.91601926877</v>
      </c>
      <c r="J352" s="2">
        <f t="shared" si="146"/>
        <v>5.2633817838456299E-12</v>
      </c>
      <c r="K352" s="2">
        <f t="shared" si="147"/>
        <v>1.1251991142618021E-4</v>
      </c>
      <c r="L352" s="2">
        <f t="shared" si="148"/>
        <v>9.2522976908160572</v>
      </c>
      <c r="M352" s="2">
        <f t="shared" si="149"/>
        <v>4170.16</v>
      </c>
      <c r="N352">
        <f t="shared" si="150"/>
        <v>6.8221333713290723E-8</v>
      </c>
      <c r="O352" s="2">
        <v>54156</v>
      </c>
      <c r="P352" s="2">
        <v>1</v>
      </c>
      <c r="Y352">
        <f t="shared" si="153"/>
        <v>54836.887574215958</v>
      </c>
      <c r="Z352">
        <f t="shared" si="154"/>
        <v>194689.91601926877</v>
      </c>
    </row>
    <row r="353" spans="1:26" x14ac:dyDescent="0.2">
      <c r="A353" s="2">
        <v>340</v>
      </c>
      <c r="B353" s="2">
        <f t="shared" si="138"/>
        <v>12.361113814277907</v>
      </c>
      <c r="C353" s="2">
        <f t="shared" si="139"/>
        <v>-1.0326812007121849E-3</v>
      </c>
      <c r="D353" s="2">
        <f t="shared" si="140"/>
        <v>5103.7698876740824</v>
      </c>
      <c r="E353" s="2">
        <f t="shared" si="141"/>
        <v>7.2577670525559468E-2</v>
      </c>
      <c r="F353" s="8">
        <f t="shared" si="142"/>
        <v>4944.0885017398177</v>
      </c>
      <c r="G353" s="2">
        <f t="shared" si="143"/>
        <v>750515.003573225</v>
      </c>
      <c r="H353" s="2">
        <f t="shared" si="144"/>
        <v>370.09461620336725</v>
      </c>
      <c r="I353" s="2">
        <f t="shared" si="145"/>
        <v>188660.01063547214</v>
      </c>
      <c r="J353" s="2">
        <f t="shared" si="146"/>
        <v>4.999454687911551E-12</v>
      </c>
      <c r="K353" s="2">
        <f t="shared" si="147"/>
        <v>1.0739498148048195E-4</v>
      </c>
      <c r="L353" s="2">
        <f t="shared" si="148"/>
        <v>9.2512548078090884</v>
      </c>
      <c r="M353" s="2">
        <f t="shared" si="149"/>
        <v>4155.63</v>
      </c>
      <c r="N353">
        <f t="shared" si="150"/>
        <v>6.5114065393833376E-8</v>
      </c>
      <c r="O353" s="2">
        <v>54156</v>
      </c>
      <c r="P353" s="2">
        <v>1</v>
      </c>
      <c r="Y353">
        <f t="shared" si="153"/>
        <v>54422.822406847285</v>
      </c>
      <c r="Z353">
        <f t="shared" si="154"/>
        <v>195060.01063547214</v>
      </c>
    </row>
    <row r="354" spans="1:26" x14ac:dyDescent="0.2">
      <c r="A354" s="2">
        <v>341</v>
      </c>
      <c r="B354" s="2">
        <f t="shared" si="138"/>
        <v>12.41644189358523</v>
      </c>
      <c r="C354" s="2">
        <f t="shared" si="139"/>
        <v>-1.0263546835607778E-3</v>
      </c>
      <c r="D354" s="2">
        <f t="shared" si="140"/>
        <v>5116.1310014883602</v>
      </c>
      <c r="E354" s="2">
        <f t="shared" si="141"/>
        <v>7.1544989324847277E-2</v>
      </c>
      <c r="F354" s="8">
        <f t="shared" si="142"/>
        <v>4956.1563133108821</v>
      </c>
      <c r="G354" s="2">
        <f t="shared" si="143"/>
        <v>755471.15988653584</v>
      </c>
      <c r="H354" s="2">
        <f t="shared" si="144"/>
        <v>365.72134936946344</v>
      </c>
      <c r="I354" s="2">
        <f t="shared" si="145"/>
        <v>189025.73198484161</v>
      </c>
      <c r="J354" s="2">
        <f t="shared" si="146"/>
        <v>4.7516496288927714E-12</v>
      </c>
      <c r="K354" s="2">
        <f t="shared" si="147"/>
        <v>1.0256682282773144E-4</v>
      </c>
      <c r="L354" s="2">
        <f t="shared" si="148"/>
        <v>9.250224421354531</v>
      </c>
      <c r="M354" s="2">
        <f t="shared" si="149"/>
        <v>4141.1000000000004</v>
      </c>
      <c r="N354">
        <f t="shared" si="150"/>
        <v>6.218673085814897E-8</v>
      </c>
      <c r="O354" s="2">
        <v>54156</v>
      </c>
      <c r="P354" s="2">
        <v>1</v>
      </c>
      <c r="Y354">
        <f t="shared" si="153"/>
        <v>54004.076893855919</v>
      </c>
      <c r="Z354">
        <f t="shared" si="154"/>
        <v>195425.73198484161</v>
      </c>
    </row>
    <row r="355" spans="1:26" x14ac:dyDescent="0.2">
      <c r="A355" s="2">
        <v>342</v>
      </c>
      <c r="B355" s="2">
        <f t="shared" si="138"/>
        <v>12.472031315062678</v>
      </c>
      <c r="C355" s="2">
        <f t="shared" si="139"/>
        <v>-1.0200219945339418E-3</v>
      </c>
      <c r="D355" s="2">
        <f t="shared" si="140"/>
        <v>5128.5474433819454</v>
      </c>
      <c r="E355" s="2">
        <f t="shared" si="141"/>
        <v>7.0518634641286493E-2</v>
      </c>
      <c r="F355" s="8">
        <f t="shared" si="142"/>
        <v>4968.273947511374</v>
      </c>
      <c r="G355" s="2">
        <f t="shared" si="143"/>
        <v>760439.43383404717</v>
      </c>
      <c r="H355" s="2">
        <f t="shared" si="144"/>
        <v>361.35849094455023</v>
      </c>
      <c r="I355" s="2">
        <f t="shared" si="145"/>
        <v>189387.09047578616</v>
      </c>
      <c r="J355" s="2">
        <f t="shared" si="146"/>
        <v>4.5188670508957231E-12</v>
      </c>
      <c r="K355" s="2">
        <f t="shared" si="147"/>
        <v>9.8016118356118612E-5</v>
      </c>
      <c r="L355" s="2">
        <f t="shared" si="148"/>
        <v>9.249206495920804</v>
      </c>
      <c r="M355" s="2">
        <f t="shared" si="149"/>
        <v>4126.57</v>
      </c>
      <c r="N355">
        <f t="shared" si="150"/>
        <v>5.9427618053548707E-8</v>
      </c>
      <c r="O355" s="2">
        <v>54156</v>
      </c>
      <c r="P355" s="2">
        <v>1</v>
      </c>
      <c r="Y355">
        <f t="shared" si="153"/>
        <v>53580.716430653243</v>
      </c>
      <c r="Z355">
        <f t="shared" si="154"/>
        <v>195787.09047578616</v>
      </c>
    </row>
    <row r="356" spans="1:26" x14ac:dyDescent="0.2">
      <c r="A356" s="2">
        <v>343</v>
      </c>
      <c r="B356" s="2">
        <f t="shared" si="138"/>
        <v>12.527885472274301</v>
      </c>
      <c r="C356" s="2">
        <f t="shared" si="139"/>
        <v>-1.0136831531349761E-3</v>
      </c>
      <c r="D356" s="2">
        <f t="shared" si="140"/>
        <v>5141.0194746970083</v>
      </c>
      <c r="E356" s="2">
        <f t="shared" si="141"/>
        <v>6.9498612646752556E-2</v>
      </c>
      <c r="F356" s="8">
        <f t="shared" si="142"/>
        <v>4980.4417170822189</v>
      </c>
      <c r="G356" s="2">
        <f t="shared" si="143"/>
        <v>765419.87555112934</v>
      </c>
      <c r="H356" s="2">
        <f t="shared" si="144"/>
        <v>357.00616568633592</v>
      </c>
      <c r="I356" s="2">
        <f t="shared" si="145"/>
        <v>189744.09664147248</v>
      </c>
      <c r="J356" s="2">
        <f t="shared" si="146"/>
        <v>4.30008919569799E-12</v>
      </c>
      <c r="K356" s="2">
        <f t="shared" si="147"/>
        <v>9.3724933859082971E-5</v>
      </c>
      <c r="L356" s="2">
        <f t="shared" si="148"/>
        <v>9.2482009957206515</v>
      </c>
      <c r="M356" s="2">
        <f t="shared" si="149"/>
        <v>4112.04</v>
      </c>
      <c r="N356">
        <f t="shared" si="150"/>
        <v>5.6825853389081922E-8</v>
      </c>
      <c r="O356" s="2">
        <v>54156</v>
      </c>
      <c r="P356" s="2">
        <v>1</v>
      </c>
      <c r="Y356">
        <f t="shared" si="153"/>
        <v>53152.806803309373</v>
      </c>
      <c r="Z356">
        <f t="shared" si="154"/>
        <v>196144.09664147248</v>
      </c>
    </row>
    <row r="357" spans="1:26" x14ac:dyDescent="0.2">
      <c r="A357" s="2">
        <v>344</v>
      </c>
      <c r="B357" s="2">
        <f t="shared" si="138"/>
        <v>12.584007807250446</v>
      </c>
      <c r="C357" s="2">
        <f t="shared" si="139"/>
        <v>-1.0073381770476922E-3</v>
      </c>
      <c r="D357" s="2">
        <f t="shared" si="140"/>
        <v>5153.5473601692829</v>
      </c>
      <c r="E357" s="2">
        <f t="shared" si="141"/>
        <v>6.8484929493617577E-2</v>
      </c>
      <c r="F357" s="8">
        <f t="shared" si="142"/>
        <v>4992.6599380660582</v>
      </c>
      <c r="G357" s="2">
        <f t="shared" si="143"/>
        <v>770412.53548919538</v>
      </c>
      <c r="H357" s="2">
        <f t="shared" si="144"/>
        <v>352.66449969023017</v>
      </c>
      <c r="I357" s="2">
        <f t="shared" si="145"/>
        <v>190096.76114116271</v>
      </c>
      <c r="J357" s="2">
        <f t="shared" si="146"/>
        <v>4.0943735790880155E-12</v>
      </c>
      <c r="K357" s="2">
        <f t="shared" si="147"/>
        <v>8.9676611443479344E-5</v>
      </c>
      <c r="L357" s="2">
        <f t="shared" si="148"/>
        <v>9.2472078847070041</v>
      </c>
      <c r="M357" s="2">
        <f t="shared" si="149"/>
        <v>4097.51</v>
      </c>
      <c r="N357">
        <f t="shared" si="150"/>
        <v>5.4371337108422721E-8</v>
      </c>
      <c r="O357" s="2">
        <v>54156</v>
      </c>
      <c r="P357" s="2">
        <v>1</v>
      </c>
      <c r="Y357">
        <f t="shared" si="153"/>
        <v>52720.41419145016</v>
      </c>
      <c r="Z357">
        <f t="shared" si="154"/>
        <v>196496.76114116271</v>
      </c>
    </row>
    <row r="358" spans="1:26" x14ac:dyDescent="0.2">
      <c r="A358" s="2">
        <v>345</v>
      </c>
      <c r="B358" s="2">
        <f t="shared" si="138"/>
        <v>12.640401811327614</v>
      </c>
      <c r="C358" s="2">
        <f t="shared" si="139"/>
        <v>-1.0009870821334713E-3</v>
      </c>
      <c r="D358" s="2">
        <f t="shared" si="140"/>
        <v>5166.1313679765335</v>
      </c>
      <c r="E358" s="2">
        <f t="shared" si="141"/>
        <v>6.7477591316569885E-2</v>
      </c>
      <c r="F358" s="8">
        <f t="shared" si="142"/>
        <v>5004.928929850932</v>
      </c>
      <c r="G358" s="2">
        <f t="shared" si="143"/>
        <v>775417.4644190463</v>
      </c>
      <c r="H358" s="2">
        <f t="shared" si="144"/>
        <v>348.33362040455802</v>
      </c>
      <c r="I358" s="2">
        <f t="shared" si="145"/>
        <v>190445.09476156728</v>
      </c>
      <c r="J358" s="2">
        <f t="shared" si="146"/>
        <v>3.9008470191308977E-12</v>
      </c>
      <c r="K358" s="2">
        <f t="shared" si="147"/>
        <v>8.5855671686061721E-5</v>
      </c>
      <c r="L358" s="2">
        <f t="shared" si="148"/>
        <v>9.2462271265687761</v>
      </c>
      <c r="M358" s="2">
        <f t="shared" si="149"/>
        <v>4082.98</v>
      </c>
      <c r="N358">
        <f t="shared" si="150"/>
        <v>5.2054683966901351E-8</v>
      </c>
      <c r="O358" s="2">
        <v>54156</v>
      </c>
      <c r="P358" s="2">
        <v>1</v>
      </c>
      <c r="Y358">
        <f t="shared" si="153"/>
        <v>52283.605171233496</v>
      </c>
      <c r="Z358">
        <f t="shared" si="154"/>
        <v>196845.09476156728</v>
      </c>
    </row>
    <row r="359" spans="1:26" x14ac:dyDescent="0.2">
      <c r="A359" s="2">
        <v>346</v>
      </c>
      <c r="B359" s="2">
        <f t="shared" si="138"/>
        <v>12.69707102600678</v>
      </c>
      <c r="C359" s="2">
        <f t="shared" si="139"/>
        <v>-9.9462988242822979E-4</v>
      </c>
      <c r="D359" s="2">
        <f t="shared" si="140"/>
        <v>5178.7717697878616</v>
      </c>
      <c r="E359" s="2">
        <f t="shared" si="141"/>
        <v>6.6476604234436409E-2</v>
      </c>
      <c r="F359" s="8">
        <f t="shared" si="142"/>
        <v>5017.2490152147138</v>
      </c>
      <c r="G359" s="2">
        <f t="shared" si="143"/>
        <v>780434.71343426104</v>
      </c>
      <c r="H359" s="2">
        <f t="shared" si="144"/>
        <v>344.01365664603856</v>
      </c>
      <c r="I359" s="2">
        <f t="shared" si="145"/>
        <v>190789.10841821332</v>
      </c>
      <c r="J359" s="2">
        <f t="shared" si="146"/>
        <v>3.7187001672155959E-12</v>
      </c>
      <c r="K359" s="2">
        <f t="shared" si="147"/>
        <v>8.2247723780549424E-5</v>
      </c>
      <c r="L359" s="2">
        <f t="shared" si="148"/>
        <v>9.2452586847266076</v>
      </c>
      <c r="M359" s="2">
        <f t="shared" si="149"/>
        <v>4068.45</v>
      </c>
      <c r="N359">
        <f t="shared" si="150"/>
        <v>4.9867168753261993E-8</v>
      </c>
      <c r="O359" s="2">
        <v>54156</v>
      </c>
      <c r="P359" s="2">
        <v>1</v>
      </c>
      <c r="Y359">
        <f t="shared" si="153"/>
        <v>51842.446718408224</v>
      </c>
      <c r="Z359">
        <f t="shared" si="154"/>
        <v>197189.10841821332</v>
      </c>
    </row>
    <row r="360" spans="1:26" x14ac:dyDescent="0.2">
      <c r="A360" s="2">
        <v>347</v>
      </c>
      <c r="B360" s="2">
        <f t="shared" si="138"/>
        <v>12.754019043830654</v>
      </c>
      <c r="C360" s="2">
        <f t="shared" si="139"/>
        <v>-9.8826659013930267E-4</v>
      </c>
      <c r="D360" s="2">
        <f t="shared" si="140"/>
        <v>5191.4688408138682</v>
      </c>
      <c r="E360" s="2">
        <f t="shared" si="141"/>
        <v>6.5481974352008185E-2</v>
      </c>
      <c r="F360" s="8">
        <f t="shared" si="142"/>
        <v>5029.6205203703439</v>
      </c>
      <c r="G360" s="2">
        <f t="shared" si="143"/>
        <v>785464.33395463135</v>
      </c>
      <c r="H360" s="2">
        <f t="shared" si="144"/>
        <v>339.70473861553336</v>
      </c>
      <c r="I360" s="2">
        <f t="shared" si="145"/>
        <v>191128.81315682887</v>
      </c>
      <c r="J360" s="2">
        <f t="shared" si="146"/>
        <v>3.5471824973168107E-12</v>
      </c>
      <c r="K360" s="2">
        <f t="shared" si="147"/>
        <v>7.8839382986355231E-5</v>
      </c>
      <c r="L360" s="2">
        <f t="shared" si="148"/>
        <v>9.2443025223285353</v>
      </c>
      <c r="M360" s="2">
        <f t="shared" si="149"/>
        <v>4053.92</v>
      </c>
      <c r="N360">
        <f t="shared" si="150"/>
        <v>4.7800676238451456E-8</v>
      </c>
      <c r="O360" s="2">
        <v>54156</v>
      </c>
      <c r="P360" s="2">
        <v>1</v>
      </c>
      <c r="Y360">
        <f t="shared" si="153"/>
        <v>51397.006211454325</v>
      </c>
      <c r="Z360">
        <f t="shared" si="154"/>
        <v>197528.81315682887</v>
      </c>
    </row>
    <row r="361" spans="1:26" x14ac:dyDescent="0.2">
      <c r="A361" s="2">
        <v>348</v>
      </c>
      <c r="B361" s="2">
        <f t="shared" si="138"/>
        <v>12.811249509280346</v>
      </c>
      <c r="C361" s="2">
        <f t="shared" si="139"/>
        <v>-9.8189721564224258E-4</v>
      </c>
      <c r="D361" s="2">
        <f t="shared" si="140"/>
        <v>5204.2228598576985</v>
      </c>
      <c r="E361" s="2">
        <f t="shared" si="141"/>
        <v>6.4493707761868885E-2</v>
      </c>
      <c r="F361" s="8">
        <f t="shared" si="142"/>
        <v>5042.0437750118699</v>
      </c>
      <c r="G361" s="2">
        <f t="shared" si="143"/>
        <v>790506.37772964325</v>
      </c>
      <c r="H361" s="2">
        <f t="shared" si="144"/>
        <v>335.40699791407047</v>
      </c>
      <c r="I361" s="2">
        <f t="shared" si="145"/>
        <v>191464.22015474294</v>
      </c>
      <c r="J361" s="2">
        <f t="shared" si="146"/>
        <v>3.3855977130396424E-12</v>
      </c>
      <c r="K361" s="2">
        <f t="shared" si="147"/>
        <v>7.5618194752373808E-5</v>
      </c>
      <c r="L361" s="2">
        <f t="shared" si="148"/>
        <v>9.2433586022456957</v>
      </c>
      <c r="M361" s="2">
        <f t="shared" si="149"/>
        <v>4039.3900000000003</v>
      </c>
      <c r="N361">
        <f t="shared" si="150"/>
        <v>4.5847655171527283E-8</v>
      </c>
      <c r="O361" s="2">
        <v>54156</v>
      </c>
      <c r="P361" s="2">
        <v>1</v>
      </c>
      <c r="Y361">
        <f t="shared" si="153"/>
        <v>50947.351434806857</v>
      </c>
      <c r="Z361">
        <f t="shared" si="154"/>
        <v>197864.22015474294</v>
      </c>
    </row>
    <row r="362" spans="1:26" x14ac:dyDescent="0.2">
      <c r="A362" s="2">
        <v>349</v>
      </c>
      <c r="B362" s="2">
        <f t="shared" si="138"/>
        <v>12.868766119691935</v>
      </c>
      <c r="C362" s="2">
        <f t="shared" si="139"/>
        <v>-9.7552176747750193E-4</v>
      </c>
      <c r="D362" s="2">
        <f t="shared" si="140"/>
        <v>5217.0341093669786</v>
      </c>
      <c r="E362" s="2">
        <f t="shared" si="141"/>
        <v>6.3511810546226649E-2</v>
      </c>
      <c r="F362" s="8">
        <f t="shared" si="142"/>
        <v>5054.5191123612849</v>
      </c>
      <c r="G362" s="2">
        <f t="shared" si="143"/>
        <v>795560.8968420045</v>
      </c>
      <c r="H362" s="2">
        <f t="shared" si="144"/>
        <v>331.12056755914915</v>
      </c>
      <c r="I362" s="2">
        <f t="shared" si="145"/>
        <v>191795.34072230209</v>
      </c>
      <c r="J362" s="2">
        <f t="shared" si="146"/>
        <v>3.233299535749133E-12</v>
      </c>
      <c r="K362" s="2">
        <f t="shared" si="147"/>
        <v>7.2572564945635096E-5</v>
      </c>
      <c r="L362" s="2">
        <f t="shared" si="148"/>
        <v>9.2424268870678752</v>
      </c>
      <c r="M362" s="2">
        <f t="shared" si="149"/>
        <v>4024.86</v>
      </c>
      <c r="N362">
        <f t="shared" si="150"/>
        <v>4.4001075976973081E-8</v>
      </c>
      <c r="O362" s="2">
        <v>54156</v>
      </c>
      <c r="P362" s="2">
        <v>1</v>
      </c>
      <c r="Y362">
        <f t="shared" si="153"/>
        <v>50493.550582162876</v>
      </c>
      <c r="Z362">
        <f t="shared" si="154"/>
        <v>198195.34072230209</v>
      </c>
    </row>
    <row r="363" spans="1:26" x14ac:dyDescent="0.2">
      <c r="A363" s="2">
        <v>350</v>
      </c>
      <c r="B363" s="2">
        <f t="shared" si="138"/>
        <v>12.92657262619341</v>
      </c>
      <c r="C363" s="2">
        <f t="shared" si="139"/>
        <v>-9.6914025234702496E-4</v>
      </c>
      <c r="D363" s="2">
        <f t="shared" si="140"/>
        <v>5229.9028754866704</v>
      </c>
      <c r="E363" s="2">
        <f t="shared" si="141"/>
        <v>6.2536288778749144E-2</v>
      </c>
      <c r="F363" s="8">
        <f t="shared" si="142"/>
        <v>5067.0468692162331</v>
      </c>
      <c r="G363" s="2">
        <f t="shared" si="143"/>
        <v>800627.94371122075</v>
      </c>
      <c r="H363" s="2">
        <f t="shared" si="144"/>
        <v>326.84558200133034</v>
      </c>
      <c r="I363" s="2">
        <f t="shared" si="145"/>
        <v>192122.18630430341</v>
      </c>
      <c r="J363" s="2">
        <f t="shared" si="146"/>
        <v>3.0896878404627678E-12</v>
      </c>
      <c r="K363" s="2">
        <f t="shared" si="147"/>
        <v>6.9691695665761386E-5</v>
      </c>
      <c r="L363" s="2">
        <f t="shared" si="148"/>
        <v>9.2415073390990763</v>
      </c>
      <c r="M363" s="2">
        <f t="shared" si="149"/>
        <v>4010.33</v>
      </c>
      <c r="N363">
        <f t="shared" si="150"/>
        <v>4.2254391838712163E-8</v>
      </c>
      <c r="O363" s="2">
        <v>54156</v>
      </c>
      <c r="P363" s="2">
        <v>1</v>
      </c>
      <c r="Y363">
        <f t="shared" si="153"/>
        <v>50035.672259873725</v>
      </c>
      <c r="Z363">
        <f t="shared" si="154"/>
        <v>198522.18630430341</v>
      </c>
    </row>
    <row r="364" spans="1:26" x14ac:dyDescent="0.2">
      <c r="A364" s="2">
        <v>351</v>
      </c>
      <c r="B364" s="2">
        <f t="shared" si="138"/>
        <v>12.984672834662561</v>
      </c>
      <c r="C364" s="2">
        <f t="shared" si="139"/>
        <v>-9.6275267511072371E-4</v>
      </c>
      <c r="D364" s="2">
        <f t="shared" si="140"/>
        <v>5242.8294481128642</v>
      </c>
      <c r="E364" s="2">
        <f t="shared" si="141"/>
        <v>6.1567148526402118E-2</v>
      </c>
      <c r="F364" s="8">
        <f t="shared" si="142"/>
        <v>5079.6273859985467</v>
      </c>
      <c r="G364" s="2">
        <f t="shared" si="143"/>
        <v>805707.57109721925</v>
      </c>
      <c r="H364" s="2">
        <f t="shared" si="144"/>
        <v>322.58217714111947</v>
      </c>
      <c r="I364" s="2">
        <f t="shared" si="145"/>
        <v>192444.76848144454</v>
      </c>
      <c r="J364" s="2">
        <f t="shared" si="146"/>
        <v>2.9542051092354027E-12</v>
      </c>
      <c r="K364" s="2">
        <f t="shared" si="147"/>
        <v>6.6965526172493007E-5</v>
      </c>
      <c r="L364" s="2">
        <f t="shared" si="148"/>
        <v>9.2405999203530147</v>
      </c>
      <c r="M364" s="2">
        <f t="shared" si="149"/>
        <v>3995.8</v>
      </c>
      <c r="N364">
        <f t="shared" si="150"/>
        <v>4.0601502884197923E-8</v>
      </c>
      <c r="O364" s="2">
        <v>54156</v>
      </c>
      <c r="P364" s="2">
        <v>1</v>
      </c>
      <c r="Y364">
        <f t="shared" si="153"/>
        <v>49573.785490423965</v>
      </c>
      <c r="Z364">
        <f t="shared" si="154"/>
        <v>198844.76848144454</v>
      </c>
    </row>
    <row r="365" spans="1:26" x14ac:dyDescent="0.2">
      <c r="A365" s="2">
        <v>352</v>
      </c>
      <c r="B365" s="2">
        <f t="shared" si="138"/>
        <v>13.043070606706316</v>
      </c>
      <c r="C365" s="2">
        <f t="shared" si="139"/>
        <v>-9.5635903878283919E-4</v>
      </c>
      <c r="D365" s="2">
        <f t="shared" si="140"/>
        <v>5255.814120947527</v>
      </c>
      <c r="E365" s="2">
        <f t="shared" si="141"/>
        <v>6.0604395851291397E-2</v>
      </c>
      <c r="F365" s="8">
        <f t="shared" si="142"/>
        <v>5092.2610068036747</v>
      </c>
      <c r="G365" s="2">
        <f t="shared" si="143"/>
        <v>810799.83210402296</v>
      </c>
      <c r="H365" s="2">
        <f t="shared" si="144"/>
        <v>318.33049034614584</v>
      </c>
      <c r="I365" s="2">
        <f t="shared" si="145"/>
        <v>192763.09897179069</v>
      </c>
      <c r="J365" s="2">
        <f t="shared" si="146"/>
        <v>2.8263331745268534E-12</v>
      </c>
      <c r="K365" s="2">
        <f t="shared" si="147"/>
        <v>6.4384678495568864E-5</v>
      </c>
      <c r="L365" s="2">
        <f t="shared" si="148"/>
        <v>9.2397045925485646</v>
      </c>
      <c r="M365" s="2">
        <f t="shared" si="149"/>
        <v>3981.27</v>
      </c>
      <c r="N365">
        <f t="shared" si="150"/>
        <v>3.9036723207437107E-8</v>
      </c>
      <c r="O365" s="2">
        <v>54156</v>
      </c>
      <c r="P365" s="2">
        <v>1</v>
      </c>
      <c r="Y365">
        <f t="shared" si="153"/>
        <v>49107.959715994584</v>
      </c>
      <c r="Z365">
        <f t="shared" si="154"/>
        <v>199163.09897179069</v>
      </c>
    </row>
    <row r="366" spans="1:26" x14ac:dyDescent="0.2">
      <c r="A366" s="2">
        <v>353</v>
      </c>
      <c r="B366" s="2">
        <f t="shared" si="138"/>
        <v>13.101769860662067</v>
      </c>
      <c r="C366" s="2">
        <f t="shared" si="139"/>
        <v>-9.4995934452817758E-4</v>
      </c>
      <c r="D366" s="2">
        <f t="shared" si="140"/>
        <v>5268.8571915542334</v>
      </c>
      <c r="E366" s="2">
        <f t="shared" si="141"/>
        <v>5.9648036812508555E-2</v>
      </c>
      <c r="F366" s="8">
        <f t="shared" si="142"/>
        <v>5104.9480794510009</v>
      </c>
      <c r="G366" s="2">
        <f t="shared" si="143"/>
        <v>815904.78018347395</v>
      </c>
      <c r="H366" s="2">
        <f t="shared" si="144"/>
        <v>314.09066046864598</v>
      </c>
      <c r="I366" s="2">
        <f t="shared" si="145"/>
        <v>193077.18963225934</v>
      </c>
      <c r="J366" s="2">
        <f t="shared" si="146"/>
        <v>2.7055902275401801E-12</v>
      </c>
      <c r="K366" s="2">
        <f t="shared" si="147"/>
        <v>6.1940407334357955E-5</v>
      </c>
      <c r="L366" s="2">
        <f t="shared" si="148"/>
        <v>9.2388213171051436</v>
      </c>
      <c r="M366" s="2">
        <f t="shared" si="149"/>
        <v>3966.7400000000002</v>
      </c>
      <c r="N366">
        <f t="shared" si="150"/>
        <v>3.7554750492908788E-8</v>
      </c>
      <c r="O366" s="2">
        <v>54156</v>
      </c>
      <c r="P366" s="2">
        <v>1</v>
      </c>
      <c r="Y366">
        <f t="shared" si="153"/>
        <v>48638.264802116923</v>
      </c>
      <c r="Z366">
        <f t="shared" si="154"/>
        <v>199477.18963225934</v>
      </c>
    </row>
    <row r="367" spans="1:26" x14ac:dyDescent="0.2">
      <c r="A367" s="2">
        <v>354</v>
      </c>
      <c r="B367" s="2">
        <f t="shared" si="138"/>
        <v>13.160774572621589</v>
      </c>
      <c r="C367" s="2">
        <f t="shared" si="139"/>
        <v>-9.435535916582187E-4</v>
      </c>
      <c r="D367" s="2">
        <f t="shared" si="140"/>
        <v>5281.9589614148954</v>
      </c>
      <c r="E367" s="2">
        <f t="shared" si="141"/>
        <v>5.8698077467980378E-2</v>
      </c>
      <c r="F367" s="8">
        <f t="shared" si="142"/>
        <v>5117.6889555350763</v>
      </c>
      <c r="G367" s="2">
        <f t="shared" si="143"/>
        <v>821022.46913900902</v>
      </c>
      <c r="H367" s="2">
        <f t="shared" si="144"/>
        <v>309.86282786325637</v>
      </c>
      <c r="I367" s="2">
        <f t="shared" si="145"/>
        <v>193387.05246012259</v>
      </c>
      <c r="J367" s="2">
        <f t="shared" si="146"/>
        <v>2.5915280687802121E-12</v>
      </c>
      <c r="K367" s="2">
        <f t="shared" si="147"/>
        <v>5.9624553889229096E-5</v>
      </c>
      <c r="L367" s="2">
        <f t="shared" si="148"/>
        <v>9.2379500551380502</v>
      </c>
      <c r="M367" s="2">
        <f t="shared" si="149"/>
        <v>3952.21</v>
      </c>
      <c r="N367">
        <f t="shared" si="150"/>
        <v>3.6150638023313921E-8</v>
      </c>
      <c r="O367" s="2">
        <v>54156</v>
      </c>
      <c r="P367" s="2">
        <v>1</v>
      </c>
      <c r="Y367">
        <f t="shared" si="153"/>
        <v>48164.771041412765</v>
      </c>
      <c r="Z367">
        <f t="shared" si="154"/>
        <v>199787.05246012259</v>
      </c>
    </row>
    <row r="368" spans="1:26" x14ac:dyDescent="0.2">
      <c r="A368" s="2">
        <v>355</v>
      </c>
      <c r="B368" s="2">
        <f t="shared" ref="B368:B431" si="155">((O367-K368)/M368)-(L368*SIN(E368))</f>
        <v>13.220088777478074</v>
      </c>
      <c r="C368" s="2">
        <f t="shared" ref="C368:C431" si="156">-((L368/D368)-(D368/(6378000+(I368))))*COS(E368)</f>
        <v>-9.3714177762709288E-4</v>
      </c>
      <c r="D368" s="2">
        <f t="shared" ref="D368:D431" si="157">B367+D367</f>
        <v>5295.1197359875168</v>
      </c>
      <c r="E368" s="2">
        <f t="shared" ref="E368:E431" si="158">E367+C367</f>
        <v>5.7754523876322156E-2</v>
      </c>
      <c r="F368" s="8">
        <f t="shared" ref="F368:F431" si="159">((6378000/(6378000+(I368)))*D368*COS(E368))</f>
        <v>5130.4839904777828</v>
      </c>
      <c r="G368" s="2">
        <f t="shared" ref="G368:G431" si="160">F368+G367</f>
        <v>826152.95312948676</v>
      </c>
      <c r="H368" s="2">
        <f t="shared" ref="H368:H431" si="161">D368*SIN(E368)</f>
        <v>305.64713440512077</v>
      </c>
      <c r="I368" s="2">
        <f t="shared" ref="I368:I431" si="162">H368+I367</f>
        <v>193692.69959452772</v>
      </c>
      <c r="J368" s="2">
        <f t="shared" ref="J368:J431" si="163">$J$13*EXP(-I368/7194)</f>
        <v>2.4837295801303649E-12</v>
      </c>
      <c r="K368" s="2">
        <f t="shared" ref="K368:K431" si="164">0.7*(PI()*(0.75))*0.5*J368*(D368)^2</f>
        <v>5.7429503298058864E-5</v>
      </c>
      <c r="L368" s="2">
        <f t="shared" ref="L368:L431" si="165">((9.80665)/(1+(I368/6378000))^2)</f>
        <v>9.2370907674537452</v>
      </c>
      <c r="M368" s="2">
        <f t="shared" ref="M368:M431" si="166">6030-(14.53*A157)</f>
        <v>3937.6800000000003</v>
      </c>
      <c r="N368">
        <f t="shared" ref="N368:N431" si="167">(0.5*J368*(D368)^2)/1000</f>
        <v>3.4819768873136659E-8</v>
      </c>
      <c r="O368" s="2">
        <v>54156</v>
      </c>
      <c r="P368" s="2">
        <v>1</v>
      </c>
      <c r="Y368">
        <f t="shared" si="153"/>
        <v>47687.549157425005</v>
      </c>
      <c r="Z368">
        <f t="shared" si="154"/>
        <v>200092.69959452772</v>
      </c>
    </row>
    <row r="369" spans="1:26" x14ac:dyDescent="0.2">
      <c r="A369" s="2">
        <v>356</v>
      </c>
      <c r="B369" s="2">
        <f t="shared" si="155"/>
        <v>13.279716569996959</v>
      </c>
      <c r="C369" s="2">
        <f t="shared" si="156"/>
        <v>-9.3072389802741366E-4</v>
      </c>
      <c r="D369" s="2">
        <f t="shared" si="157"/>
        <v>5308.3398247649948</v>
      </c>
      <c r="E369" s="2">
        <f t="shared" si="158"/>
        <v>5.6817382098695066E-2</v>
      </c>
      <c r="F369" s="8">
        <f t="shared" si="159"/>
        <v>5143.3335435814652</v>
      </c>
      <c r="G369" s="2">
        <f t="shared" si="160"/>
        <v>831296.28667306819</v>
      </c>
      <c r="H369" s="2">
        <f t="shared" si="161"/>
        <v>301.44372350832049</v>
      </c>
      <c r="I369" s="2">
        <f t="shared" si="162"/>
        <v>193994.14331803605</v>
      </c>
      <c r="J369" s="2">
        <f t="shared" si="163"/>
        <v>2.3818063996011259E-12</v>
      </c>
      <c r="K369" s="2">
        <f t="shared" si="164"/>
        <v>5.5348145379792032E-5</v>
      </c>
      <c r="L369" s="2">
        <f t="shared" si="165"/>
        <v>9.2362434145450756</v>
      </c>
      <c r="M369" s="2">
        <f t="shared" si="166"/>
        <v>3923.15</v>
      </c>
      <c r="N369">
        <f t="shared" si="167"/>
        <v>3.355783210728667E-8</v>
      </c>
      <c r="O369" s="2">
        <v>54156</v>
      </c>
      <c r="P369" s="2">
        <v>1</v>
      </c>
      <c r="Y369">
        <f t="shared" si="153"/>
        <v>47206.670308539222</v>
      </c>
      <c r="Z369">
        <f t="shared" si="154"/>
        <v>200394.14331803605</v>
      </c>
    </row>
    <row r="370" spans="1:26" x14ac:dyDescent="0.2">
      <c r="A370" s="2">
        <v>357</v>
      </c>
      <c r="B370" s="2">
        <f t="shared" si="155"/>
        <v>13.339662105911076</v>
      </c>
      <c r="C370" s="2">
        <f t="shared" si="156"/>
        <v>-9.2429994658596397E-4</v>
      </c>
      <c r="D370" s="2">
        <f t="shared" si="157"/>
        <v>5321.6195413349915</v>
      </c>
      <c r="E370" s="2">
        <f t="shared" si="158"/>
        <v>5.5886658200667655E-2</v>
      </c>
      <c r="F370" s="8">
        <f t="shared" si="159"/>
        <v>5156.2379780830279</v>
      </c>
      <c r="G370" s="2">
        <f t="shared" si="160"/>
        <v>836452.52465115127</v>
      </c>
      <c r="H370" s="2">
        <f t="shared" si="161"/>
        <v>297.25274014463201</v>
      </c>
      <c r="I370" s="2">
        <f t="shared" si="162"/>
        <v>194291.39605818069</v>
      </c>
      <c r="J370" s="2">
        <f t="shared" si="163"/>
        <v>2.285396781586107E-12</v>
      </c>
      <c r="K370" s="2">
        <f t="shared" si="164"/>
        <v>5.337383841289663E-5</v>
      </c>
      <c r="L370" s="2">
        <f t="shared" si="165"/>
        <v>9.2354079565864353</v>
      </c>
      <c r="M370" s="2">
        <f t="shared" si="166"/>
        <v>3908.62</v>
      </c>
      <c r="N370">
        <f t="shared" si="167"/>
        <v>3.236080081981174E-8</v>
      </c>
      <c r="O370" s="2">
        <v>54156</v>
      </c>
      <c r="P370" s="2">
        <v>1</v>
      </c>
      <c r="Y370">
        <f t="shared" si="153"/>
        <v>46722.206091996661</v>
      </c>
      <c r="Z370">
        <f t="shared" si="154"/>
        <v>200691.39605818069</v>
      </c>
    </row>
    <row r="371" spans="1:26" x14ac:dyDescent="0.2">
      <c r="A371" s="2">
        <v>358</v>
      </c>
      <c r="B371" s="2">
        <f t="shared" si="155"/>
        <v>13.399929603040837</v>
      </c>
      <c r="C371" s="2">
        <f t="shared" si="156"/>
        <v>-9.1786991515923136E-4</v>
      </c>
      <c r="D371" s="2">
        <f t="shared" si="157"/>
        <v>5334.9592034409025</v>
      </c>
      <c r="E371" s="2">
        <f t="shared" si="158"/>
        <v>5.4962358254081689E-2</v>
      </c>
      <c r="F371" s="8">
        <f t="shared" si="159"/>
        <v>5169.1976612090384</v>
      </c>
      <c r="G371" s="2">
        <f t="shared" si="160"/>
        <v>841621.7223123603</v>
      </c>
      <c r="H371" s="2">
        <f t="shared" si="161"/>
        <v>293.07433086261955</v>
      </c>
      <c r="I371" s="2">
        <f t="shared" si="162"/>
        <v>194584.4703890433</v>
      </c>
      <c r="J371" s="2">
        <f t="shared" si="163"/>
        <v>2.1941636269871513E-12</v>
      </c>
      <c r="K371" s="2">
        <f t="shared" si="164"/>
        <v>5.1500375700121741E-5</v>
      </c>
      <c r="L371" s="2">
        <f t="shared" si="165"/>
        <v>9.2345843534288843</v>
      </c>
      <c r="M371" s="2">
        <f t="shared" si="166"/>
        <v>3894.09</v>
      </c>
      <c r="N371">
        <f t="shared" si="167"/>
        <v>3.12249118619585E-8</v>
      </c>
      <c r="O371" s="2">
        <v>54156</v>
      </c>
      <c r="P371" s="2">
        <v>1</v>
      </c>
      <c r="Y371">
        <f t="shared" si="153"/>
        <v>46234.228547999621</v>
      </c>
      <c r="Z371">
        <f t="shared" si="154"/>
        <v>200984.4703890433</v>
      </c>
    </row>
    <row r="372" spans="1:26" x14ac:dyDescent="0.2">
      <c r="A372" s="2">
        <v>359</v>
      </c>
      <c r="B372" s="2">
        <f t="shared" si="155"/>
        <v>13.460523342440075</v>
      </c>
      <c r="C372" s="2">
        <f t="shared" si="156"/>
        <v>-9.1143379372878182E-4</v>
      </c>
      <c r="D372" s="2">
        <f t="shared" si="157"/>
        <v>5348.3591330439431</v>
      </c>
      <c r="E372" s="2">
        <f t="shared" si="158"/>
        <v>5.4044488338922461E-2</v>
      </c>
      <c r="F372" s="8">
        <f t="shared" si="159"/>
        <v>5182.2129642318478</v>
      </c>
      <c r="G372" s="2">
        <f t="shared" si="160"/>
        <v>846803.93527659215</v>
      </c>
      <c r="H372" s="2">
        <f t="shared" si="161"/>
        <v>288.90864380706967</v>
      </c>
      <c r="I372" s="2">
        <f t="shared" si="162"/>
        <v>194873.37903285038</v>
      </c>
      <c r="J372" s="2">
        <f t="shared" si="163"/>
        <v>2.1077926689535131E-12</v>
      </c>
      <c r="K372" s="2">
        <f t="shared" si="164"/>
        <v>4.9721954692385606E-5</v>
      </c>
      <c r="L372" s="2">
        <f t="shared" si="165"/>
        <v>9.233772564595192</v>
      </c>
      <c r="M372" s="2">
        <f t="shared" si="166"/>
        <v>3879.56</v>
      </c>
      <c r="N372">
        <f t="shared" si="167"/>
        <v>3.0146647121845446E-8</v>
      </c>
      <c r="O372" s="2">
        <v>54156</v>
      </c>
      <c r="P372" s="2">
        <v>1</v>
      </c>
      <c r="Y372">
        <f t="shared" si="153"/>
        <v>45742.810163911199</v>
      </c>
      <c r="Z372">
        <f t="shared" si="154"/>
        <v>201273.37903285038</v>
      </c>
    </row>
    <row r="373" spans="1:26" x14ac:dyDescent="0.2">
      <c r="A373" s="2">
        <v>360</v>
      </c>
      <c r="B373" s="2">
        <f t="shared" si="155"/>
        <v>13.521447669568177</v>
      </c>
      <c r="C373" s="2">
        <f t="shared" si="156"/>
        <v>-9.0499157039646808E-4</v>
      </c>
      <c r="D373" s="2">
        <f t="shared" si="157"/>
        <v>5361.819656386383</v>
      </c>
      <c r="E373" s="2">
        <f t="shared" si="158"/>
        <v>5.3133054545193681E-2</v>
      </c>
      <c r="F373" s="8">
        <f t="shared" si="159"/>
        <v>5195.2842625267667</v>
      </c>
      <c r="G373" s="2">
        <f t="shared" si="160"/>
        <v>851999.21953911893</v>
      </c>
      <c r="H373" s="2">
        <f t="shared" si="161"/>
        <v>284.75582873877352</v>
      </c>
      <c r="I373" s="2">
        <f t="shared" si="162"/>
        <v>195158.13486158915</v>
      </c>
      <c r="J373" s="2">
        <f t="shared" si="163"/>
        <v>2.0259908012366209E-12</v>
      </c>
      <c r="K373" s="2">
        <f t="shared" si="164"/>
        <v>4.8033148464129071E-5</v>
      </c>
      <c r="L373" s="2">
        <f t="shared" si="165"/>
        <v>9.2329725492748302</v>
      </c>
      <c r="M373" s="2">
        <f t="shared" si="166"/>
        <v>3865.03</v>
      </c>
      <c r="N373">
        <f t="shared" si="167"/>
        <v>2.9122716229840085E-8</v>
      </c>
      <c r="O373" s="2">
        <v>54156</v>
      </c>
      <c r="P373" s="2">
        <v>1</v>
      </c>
      <c r="Y373">
        <f t="shared" si="153"/>
        <v>45248.023878550004</v>
      </c>
      <c r="Z373">
        <f t="shared" si="154"/>
        <v>201558.13486158915</v>
      </c>
    </row>
    <row r="374" spans="1:26" x14ac:dyDescent="0.2">
      <c r="A374" s="2">
        <v>361</v>
      </c>
      <c r="B374" s="2">
        <f t="shared" si="155"/>
        <v>13.582706995489318</v>
      </c>
      <c r="C374" s="2">
        <f t="shared" si="156"/>
        <v>-8.9854323137946357E-4</v>
      </c>
      <c r="D374" s="2">
        <f t="shared" si="157"/>
        <v>5375.3411040559513</v>
      </c>
      <c r="E374" s="2">
        <f t="shared" si="158"/>
        <v>5.2228062974797214E-2</v>
      </c>
      <c r="F374" s="8">
        <f t="shared" si="159"/>
        <v>5208.4119356302981</v>
      </c>
      <c r="G374" s="2">
        <f t="shared" si="160"/>
        <v>857207.63147474919</v>
      </c>
      <c r="H374" s="2">
        <f t="shared" si="161"/>
        <v>280.61603705466564</v>
      </c>
      <c r="I374" s="2">
        <f t="shared" si="162"/>
        <v>195438.7508986438</v>
      </c>
      <c r="J374" s="2">
        <f t="shared" si="163"/>
        <v>1.9484845373020276E-12</v>
      </c>
      <c r="K374" s="2">
        <f t="shared" si="164"/>
        <v>4.6428879350206166E-5</v>
      </c>
      <c r="L374" s="2">
        <f t="shared" si="165"/>
        <v>9.2321842663188942</v>
      </c>
      <c r="M374" s="2">
        <f t="shared" si="166"/>
        <v>3850.5</v>
      </c>
      <c r="N374">
        <f t="shared" si="167"/>
        <v>2.8150040574485856E-8</v>
      </c>
      <c r="O374" s="2">
        <v>54156</v>
      </c>
      <c r="P374" s="2">
        <v>1</v>
      </c>
      <c r="Y374">
        <f t="shared" si="153"/>
        <v>44749.943086580606</v>
      </c>
      <c r="Z374">
        <f t="shared" si="154"/>
        <v>201838.7508986438</v>
      </c>
    </row>
    <row r="375" spans="1:26" x14ac:dyDescent="0.2">
      <c r="A375" s="2">
        <v>362</v>
      </c>
      <c r="B375" s="2">
        <f t="shared" si="155"/>
        <v>13.644305798099346</v>
      </c>
      <c r="C375" s="2">
        <f t="shared" si="156"/>
        <v>-8.920887610051174E-4</v>
      </c>
      <c r="D375" s="2">
        <f t="shared" si="157"/>
        <v>5388.9238110514407</v>
      </c>
      <c r="E375" s="2">
        <f t="shared" si="158"/>
        <v>5.1329519743417748E-2</v>
      </c>
      <c r="F375" s="8">
        <f t="shared" si="159"/>
        <v>5221.5963672994667</v>
      </c>
      <c r="G375" s="2">
        <f t="shared" si="160"/>
        <v>862429.22784204863</v>
      </c>
      <c r="H375" s="2">
        <f t="shared" si="161"/>
        <v>276.48942180832495</v>
      </c>
      <c r="I375" s="2">
        <f t="shared" si="162"/>
        <v>195715.24032045214</v>
      </c>
      <c r="J375" s="2">
        <f t="shared" si="163"/>
        <v>1.8750185893763096E-12</v>
      </c>
      <c r="K375" s="2">
        <f t="shared" si="164"/>
        <v>4.4904394570547461E-5</v>
      </c>
      <c r="L375" s="2">
        <f t="shared" si="165"/>
        <v>9.231407674234962</v>
      </c>
      <c r="M375" s="2">
        <f t="shared" si="166"/>
        <v>3835.9700000000003</v>
      </c>
      <c r="N375">
        <f t="shared" si="167"/>
        <v>2.7225738523624748E-8</v>
      </c>
      <c r="O375" s="2">
        <v>54156</v>
      </c>
      <c r="P375" s="2">
        <v>1</v>
      </c>
      <c r="Y375">
        <f t="shared" si="153"/>
        <v>44248.641643000694</v>
      </c>
      <c r="Z375">
        <f t="shared" si="154"/>
        <v>202115.24032045214</v>
      </c>
    </row>
    <row r="376" spans="1:26" x14ac:dyDescent="0.2">
      <c r="A376" s="2">
        <v>363</v>
      </c>
      <c r="B376" s="2">
        <f t="shared" si="155"/>
        <v>13.706248623381217</v>
      </c>
      <c r="C376" s="2">
        <f t="shared" si="156"/>
        <v>-8.8562814170563004E-4</v>
      </c>
      <c r="D376" s="2">
        <f t="shared" si="157"/>
        <v>5402.5681168495403</v>
      </c>
      <c r="E376" s="2">
        <f t="shared" si="158"/>
        <v>5.0437430982412629E-2</v>
      </c>
      <c r="F376" s="8">
        <f t="shared" si="159"/>
        <v>5234.8379455722825</v>
      </c>
      <c r="G376" s="2">
        <f t="shared" si="160"/>
        <v>867664.06578762096</v>
      </c>
      <c r="H376" s="2">
        <f t="shared" si="161"/>
        <v>272.37613773084615</v>
      </c>
      <c r="I376" s="2">
        <f t="shared" si="162"/>
        <v>195987.61645818298</v>
      </c>
      <c r="J376" s="2">
        <f t="shared" si="163"/>
        <v>1.8053545575478476E-12</v>
      </c>
      <c r="K376" s="2">
        <f t="shared" si="164"/>
        <v>4.3455243683546869E-5</v>
      </c>
      <c r="L376" s="2">
        <f t="shared" si="165"/>
        <v>9.2306427311819252</v>
      </c>
      <c r="M376" s="2">
        <f t="shared" si="166"/>
        <v>3821.44</v>
      </c>
      <c r="N376">
        <f t="shared" si="167"/>
        <v>2.6347111754283227E-8</v>
      </c>
      <c r="O376" s="2">
        <v>54156</v>
      </c>
      <c r="P376" s="2">
        <v>1</v>
      </c>
      <c r="Y376">
        <f t="shared" si="153"/>
        <v>43744.193867728594</v>
      </c>
      <c r="Z376">
        <f t="shared" si="154"/>
        <v>202387.61645818298</v>
      </c>
    </row>
    <row r="377" spans="1:26" x14ac:dyDescent="0.2">
      <c r="A377" s="2">
        <v>364</v>
      </c>
      <c r="B377" s="2">
        <f t="shared" si="155"/>
        <v>13.768540086689633</v>
      </c>
      <c r="C377" s="2">
        <f t="shared" si="156"/>
        <v>-8.7916135401252323E-4</v>
      </c>
      <c r="D377" s="2">
        <f t="shared" si="157"/>
        <v>5416.2743654729211</v>
      </c>
      <c r="E377" s="2">
        <f t="shared" si="158"/>
        <v>4.9551802840706996E-2</v>
      </c>
      <c r="F377" s="8">
        <f t="shared" si="159"/>
        <v>5248.1370628293198</v>
      </c>
      <c r="G377" s="2">
        <f t="shared" si="160"/>
        <v>872912.2028504503</v>
      </c>
      <c r="H377" s="2">
        <f t="shared" si="161"/>
        <v>268.27634125208937</v>
      </c>
      <c r="I377" s="2">
        <f t="shared" si="162"/>
        <v>196255.89279943507</v>
      </c>
      <c r="J377" s="2">
        <f t="shared" si="163"/>
        <v>1.7392697198961789E-12</v>
      </c>
      <c r="K377" s="2">
        <f t="shared" si="164"/>
        <v>4.2077257722535096E-5</v>
      </c>
      <c r="L377" s="2">
        <f t="shared" si="165"/>
        <v>9.229889394964685</v>
      </c>
      <c r="M377" s="2">
        <f t="shared" si="166"/>
        <v>3806.9100000000003</v>
      </c>
      <c r="N377">
        <f t="shared" si="167"/>
        <v>2.5511632603021283E-8</v>
      </c>
      <c r="O377" s="2">
        <v>54156</v>
      </c>
      <c r="P377" s="2">
        <v>1</v>
      </c>
      <c r="Y377">
        <f t="shared" si="153"/>
        <v>43236.674550288008</v>
      </c>
      <c r="Z377">
        <f t="shared" si="154"/>
        <v>202655.89279943507</v>
      </c>
    </row>
    <row r="378" spans="1:26" x14ac:dyDescent="0.2">
      <c r="A378" s="2">
        <v>365</v>
      </c>
      <c r="B378" s="2">
        <f t="shared" si="155"/>
        <v>13.831184874065723</v>
      </c>
      <c r="C378" s="2">
        <f t="shared" si="156"/>
        <v>-8.7268837655092211E-4</v>
      </c>
      <c r="D378" s="2">
        <f t="shared" si="157"/>
        <v>5430.0429055596105</v>
      </c>
      <c r="E378" s="2">
        <f t="shared" si="158"/>
        <v>4.8672641486694472E-2</v>
      </c>
      <c r="F378" s="8">
        <f t="shared" si="159"/>
        <v>5261.4941158564989</v>
      </c>
      <c r="G378" s="2">
        <f t="shared" si="160"/>
        <v>878173.69696630677</v>
      </c>
      <c r="H378" s="2">
        <f t="shared" si="161"/>
        <v>264.19019052231511</v>
      </c>
      <c r="I378" s="2">
        <f t="shared" si="162"/>
        <v>196520.08298995739</v>
      </c>
      <c r="J378" s="2">
        <f t="shared" si="163"/>
        <v>1.6765559154030129E-12</v>
      </c>
      <c r="K378" s="2">
        <f t="shared" si="164"/>
        <v>4.0766529881934238E-5</v>
      </c>
      <c r="L378" s="2">
        <f t="shared" si="165"/>
        <v>9.2291476230288563</v>
      </c>
      <c r="M378" s="2">
        <f t="shared" si="166"/>
        <v>3792.38</v>
      </c>
      <c r="N378">
        <f t="shared" si="167"/>
        <v>2.4716932355860164E-8</v>
      </c>
      <c r="O378" s="2">
        <v>54156</v>
      </c>
      <c r="P378" s="2">
        <v>1</v>
      </c>
      <c r="Y378">
        <f t="shared" si="153"/>
        <v>42726.158954595725</v>
      </c>
      <c r="Z378">
        <f t="shared" si="154"/>
        <v>202920.08298995739</v>
      </c>
    </row>
    <row r="379" spans="1:26" x14ac:dyDescent="0.2">
      <c r="A379" s="2">
        <v>366</v>
      </c>
      <c r="B379" s="2">
        <f t="shared" si="155"/>
        <v>13.894187743582524</v>
      </c>
      <c r="C379" s="2">
        <f t="shared" si="156"/>
        <v>-8.66209186033624E-4</v>
      </c>
      <c r="D379" s="2">
        <f t="shared" si="157"/>
        <v>5443.8740904336764</v>
      </c>
      <c r="E379" s="2">
        <f t="shared" si="158"/>
        <v>4.7799953110143553E-2</v>
      </c>
      <c r="F379" s="8">
        <f t="shared" si="159"/>
        <v>5274.9095059090378</v>
      </c>
      <c r="G379" s="2">
        <f t="shared" si="160"/>
        <v>883448.60647221585</v>
      </c>
      <c r="H379" s="2">
        <f t="shared" si="161"/>
        <v>260.11784543421362</v>
      </c>
      <c r="I379" s="2">
        <f t="shared" si="162"/>
        <v>196780.20083539159</v>
      </c>
      <c r="J379" s="2">
        <f t="shared" si="163"/>
        <v>1.6170185121060008E-12</v>
      </c>
      <c r="K379" s="2">
        <f t="shared" si="164"/>
        <v>3.951939763083814E-5</v>
      </c>
      <c r="L379" s="2">
        <f t="shared" si="165"/>
        <v>9.2284173724553522</v>
      </c>
      <c r="M379" s="2">
        <f t="shared" si="166"/>
        <v>3777.85</v>
      </c>
      <c r="N379">
        <f t="shared" si="167"/>
        <v>2.3960790403664865E-8</v>
      </c>
      <c r="O379" s="2">
        <v>54156</v>
      </c>
      <c r="P379" s="2">
        <v>1</v>
      </c>
      <c r="Y379">
        <f t="shared" si="153"/>
        <v>42212.72282384937</v>
      </c>
      <c r="Z379">
        <f t="shared" si="154"/>
        <v>203180.20083539159</v>
      </c>
    </row>
    <row r="380" spans="1:26" x14ac:dyDescent="0.2">
      <c r="A380" s="2">
        <v>367</v>
      </c>
      <c r="B380" s="2">
        <f t="shared" si="155"/>
        <v>13.957553526722149</v>
      </c>
      <c r="C380" s="2">
        <f t="shared" si="156"/>
        <v>-8.5972375725495618E-4</v>
      </c>
      <c r="D380" s="2">
        <f t="shared" si="157"/>
        <v>5457.7682781772592</v>
      </c>
      <c r="E380" s="2">
        <f t="shared" si="158"/>
        <v>4.6933743924109927E-2</v>
      </c>
      <c r="F380" s="8">
        <f t="shared" si="159"/>
        <v>5288.3836387766551</v>
      </c>
      <c r="G380" s="2">
        <f t="shared" si="160"/>
        <v>888736.99011099245</v>
      </c>
      <c r="H380" s="2">
        <f t="shared" si="161"/>
        <v>256.05946764533542</v>
      </c>
      <c r="I380" s="2">
        <f t="shared" si="162"/>
        <v>197036.26030303692</v>
      </c>
      <c r="J380" s="2">
        <f t="shared" si="163"/>
        <v>1.5604754536007261E-12</v>
      </c>
      <c r="K380" s="2">
        <f t="shared" si="164"/>
        <v>3.8332426141935349E-5</v>
      </c>
      <c r="L380" s="2">
        <f t="shared" si="165"/>
        <v>9.2276985999549321</v>
      </c>
      <c r="M380" s="2">
        <f t="shared" si="166"/>
        <v>3763.32</v>
      </c>
      <c r="N380">
        <f t="shared" si="167"/>
        <v>2.3241124195024773E-8</v>
      </c>
      <c r="O380" s="2">
        <v>54156</v>
      </c>
      <c r="P380" s="2">
        <v>1</v>
      </c>
      <c r="Y380">
        <f t="shared" si="153"/>
        <v>41696.442385520415</v>
      </c>
      <c r="Z380">
        <f t="shared" si="154"/>
        <v>203436.26030303692</v>
      </c>
    </row>
    <row r="381" spans="1:26" x14ac:dyDescent="0.2">
      <c r="A381" s="2">
        <v>368</v>
      </c>
      <c r="B381" s="2">
        <f t="shared" si="155"/>
        <v>14.021287129785465</v>
      </c>
      <c r="C381" s="2">
        <f t="shared" si="156"/>
        <v>-8.5323206308441204E-4</v>
      </c>
      <c r="D381" s="2">
        <f t="shared" si="157"/>
        <v>5471.7258317039814</v>
      </c>
      <c r="E381" s="2">
        <f t="shared" si="158"/>
        <v>4.6074020166854975E-2</v>
      </c>
      <c r="F381" s="8">
        <f t="shared" si="159"/>
        <v>5301.9169248500084</v>
      </c>
      <c r="G381" s="2">
        <f t="shared" si="160"/>
        <v>894038.90703584242</v>
      </c>
      <c r="H381" s="2">
        <f t="shared" si="161"/>
        <v>252.01522060093313</v>
      </c>
      <c r="I381" s="2">
        <f t="shared" si="162"/>
        <v>197288.27552363786</v>
      </c>
      <c r="J381" s="2">
        <f t="shared" si="163"/>
        <v>1.5067563775834291E-12</v>
      </c>
      <c r="K381" s="2">
        <f t="shared" si="164"/>
        <v>3.7202392932983508E-5</v>
      </c>
      <c r="L381" s="2">
        <f t="shared" si="165"/>
        <v>9.2269912618626666</v>
      </c>
      <c r="M381" s="2">
        <f t="shared" si="166"/>
        <v>3748.79</v>
      </c>
      <c r="N381">
        <f t="shared" si="167"/>
        <v>2.2555979924309791E-8</v>
      </c>
      <c r="O381" s="2">
        <v>54156</v>
      </c>
      <c r="P381" s="2">
        <v>1</v>
      </c>
      <c r="Y381">
        <f t="shared" si="153"/>
        <v>41177.394356451157</v>
      </c>
      <c r="Z381">
        <f t="shared" si="154"/>
        <v>203688.27552363786</v>
      </c>
    </row>
    <row r="382" spans="1:26" x14ac:dyDescent="0.2">
      <c r="A382" s="2">
        <v>369</v>
      </c>
      <c r="B382" s="2">
        <f t="shared" si="155"/>
        <v>14.085393535335157</v>
      </c>
      <c r="C382" s="2">
        <f t="shared" si="156"/>
        <v>-8.4673407446005436E-4</v>
      </c>
      <c r="D382" s="2">
        <f t="shared" si="157"/>
        <v>5485.7471188337668</v>
      </c>
      <c r="E382" s="2">
        <f t="shared" si="158"/>
        <v>4.5220788103770559E-2</v>
      </c>
      <c r="F382" s="8">
        <f t="shared" si="159"/>
        <v>5315.5097791884218</v>
      </c>
      <c r="G382" s="2">
        <f t="shared" si="160"/>
        <v>899354.41681503085</v>
      </c>
      <c r="H382" s="2">
        <f t="shared" si="161"/>
        <v>247.9852695572217</v>
      </c>
      <c r="I382" s="2">
        <f t="shared" si="162"/>
        <v>197536.26079319508</v>
      </c>
      <c r="J382" s="2">
        <f t="shared" si="163"/>
        <v>1.4557018006614559E-12</v>
      </c>
      <c r="K382" s="2">
        <f t="shared" si="164"/>
        <v>3.6126273626522224E-5</v>
      </c>
      <c r="L382" s="2">
        <f t="shared" si="165"/>
        <v>9.2262953141323152</v>
      </c>
      <c r="M382" s="2">
        <f t="shared" si="166"/>
        <v>3734.26</v>
      </c>
      <c r="N382">
        <f t="shared" si="167"/>
        <v>2.190352389771956E-8</v>
      </c>
      <c r="O382" s="2">
        <v>54156</v>
      </c>
      <c r="P382" s="2">
        <v>1</v>
      </c>
      <c r="Y382">
        <f t="shared" si="153"/>
        <v>40655.655948057509</v>
      </c>
      <c r="Z382">
        <f t="shared" si="154"/>
        <v>203936.26079319508</v>
      </c>
    </row>
    <row r="383" spans="1:26" x14ac:dyDescent="0.2">
      <c r="A383" s="2">
        <v>370</v>
      </c>
      <c r="B383" s="2">
        <f t="shared" si="155"/>
        <v>14.149877803673144</v>
      </c>
      <c r="C383" s="2">
        <f t="shared" si="156"/>
        <v>-8.4022976038169192E-4</v>
      </c>
      <c r="D383" s="2">
        <f t="shared" si="157"/>
        <v>5499.832512369102</v>
      </c>
      <c r="E383" s="2">
        <f t="shared" si="158"/>
        <v>4.4374054029310508E-2</v>
      </c>
      <c r="F383" s="8">
        <f t="shared" si="159"/>
        <v>5329.162621588941</v>
      </c>
      <c r="G383" s="2">
        <f t="shared" si="160"/>
        <v>904683.57943661977</v>
      </c>
      <c r="H383" s="2">
        <f t="shared" si="161"/>
        <v>243.96978160506697</v>
      </c>
      <c r="I383" s="2">
        <f t="shared" si="162"/>
        <v>197780.23057480014</v>
      </c>
      <c r="J383" s="2">
        <f t="shared" si="163"/>
        <v>1.407162364145513E-12</v>
      </c>
      <c r="K383" s="2">
        <f t="shared" si="164"/>
        <v>3.5101228741256556E-5</v>
      </c>
      <c r="L383" s="2">
        <f t="shared" si="165"/>
        <v>9.2256107123306812</v>
      </c>
      <c r="M383" s="2">
        <f t="shared" si="166"/>
        <v>3719.73</v>
      </c>
      <c r="N383">
        <f t="shared" si="167"/>
        <v>2.1282034524839193E-8</v>
      </c>
      <c r="O383" s="2">
        <v>54156</v>
      </c>
      <c r="P383" s="2">
        <v>1</v>
      </c>
      <c r="Y383">
        <f t="shared" si="153"/>
        <v>40131.304871640081</v>
      </c>
      <c r="Z383">
        <f t="shared" si="154"/>
        <v>204180.23057480014</v>
      </c>
    </row>
    <row r="384" spans="1:26" x14ac:dyDescent="0.2">
      <c r="A384" s="2">
        <v>371</v>
      </c>
      <c r="B384" s="2">
        <f t="shared" si="155"/>
        <v>14.21474507435321</v>
      </c>
      <c r="C384" s="2">
        <f t="shared" si="156"/>
        <v>-8.3371908790380394E-4</v>
      </c>
      <c r="D384" s="2">
        <f t="shared" si="157"/>
        <v>5513.982390172775</v>
      </c>
      <c r="E384" s="2">
        <f t="shared" si="158"/>
        <v>4.3533824268928815E-2</v>
      </c>
      <c r="F384" s="8">
        <f t="shared" si="159"/>
        <v>5342.8758766567089</v>
      </c>
      <c r="G384" s="2">
        <f t="shared" si="160"/>
        <v>910026.4553132765</v>
      </c>
      <c r="H384" s="2">
        <f t="shared" si="161"/>
        <v>239.96892569411114</v>
      </c>
      <c r="I384" s="2">
        <f t="shared" si="162"/>
        <v>198020.19950049426</v>
      </c>
      <c r="J384" s="2">
        <f t="shared" si="163"/>
        <v>1.36099813598195E-12</v>
      </c>
      <c r="K384" s="2">
        <f t="shared" si="164"/>
        <v>3.4124591435622943E-5</v>
      </c>
      <c r="L384" s="2">
        <f t="shared" si="165"/>
        <v>9.2249374116318421</v>
      </c>
      <c r="M384" s="2">
        <f t="shared" si="166"/>
        <v>3705.2000000000003</v>
      </c>
      <c r="N384">
        <f t="shared" si="167"/>
        <v>2.0689894887507614E-8</v>
      </c>
      <c r="O384" s="2">
        <v>54156</v>
      </c>
      <c r="P384" s="2">
        <v>1</v>
      </c>
      <c r="Y384">
        <f t="shared" si="153"/>
        <v>39604.419343802823</v>
      </c>
      <c r="Z384">
        <f t="shared" si="154"/>
        <v>204420.19950049426</v>
      </c>
    </row>
    <row r="385" spans="1:26" x14ac:dyDescent="0.2">
      <c r="A385" s="2">
        <v>372</v>
      </c>
      <c r="B385" s="2">
        <f t="shared" si="155"/>
        <v>14.280000567729889</v>
      </c>
      <c r="C385" s="2">
        <f t="shared" si="156"/>
        <v>-8.2720202212821481E-4</v>
      </c>
      <c r="D385" s="2">
        <f t="shared" si="157"/>
        <v>5528.1971352471282</v>
      </c>
      <c r="E385" s="2">
        <f t="shared" si="158"/>
        <v>4.270010518102501E-2</v>
      </c>
      <c r="F385" s="8">
        <f t="shared" si="159"/>
        <v>5356.6499738767479</v>
      </c>
      <c r="G385" s="2">
        <f t="shared" si="160"/>
        <v>915383.10528715327</v>
      </c>
      <c r="H385" s="2">
        <f t="shared" si="161"/>
        <v>235.98287265734444</v>
      </c>
      <c r="I385" s="2">
        <f t="shared" si="162"/>
        <v>198256.18237315159</v>
      </c>
      <c r="J385" s="2">
        <f t="shared" si="163"/>
        <v>1.3170779643884278E-12</v>
      </c>
      <c r="K385" s="2">
        <f t="shared" si="164"/>
        <v>3.3193856130523902E-5</v>
      </c>
      <c r="L385" s="2">
        <f t="shared" si="165"/>
        <v>9.2242753668113249</v>
      </c>
      <c r="M385" s="2">
        <f t="shared" si="166"/>
        <v>3690.67</v>
      </c>
      <c r="N385">
        <f t="shared" si="167"/>
        <v>2.0125585841729877E-8</v>
      </c>
      <c r="O385" s="2">
        <v>54156</v>
      </c>
      <c r="P385" s="2">
        <v>1</v>
      </c>
      <c r="Y385">
        <f t="shared" si="153"/>
        <v>39075.078091983829</v>
      </c>
      <c r="Z385">
        <f t="shared" si="154"/>
        <v>204656.18237315159</v>
      </c>
    </row>
    <row r="386" spans="1:26" x14ac:dyDescent="0.2">
      <c r="A386" s="2">
        <v>373</v>
      </c>
      <c r="B386" s="2">
        <f t="shared" si="155"/>
        <v>14.345649586544553</v>
      </c>
      <c r="C386" s="2">
        <f t="shared" si="156"/>
        <v>-8.2067852619651575E-4</v>
      </c>
      <c r="D386" s="2">
        <f t="shared" si="157"/>
        <v>5542.4771358148582</v>
      </c>
      <c r="E386" s="2">
        <f t="shared" si="158"/>
        <v>4.1872903158896795E-2</v>
      </c>
      <c r="F386" s="8">
        <f t="shared" si="159"/>
        <v>5370.4853476871212</v>
      </c>
      <c r="G386" s="2">
        <f t="shared" si="160"/>
        <v>920753.59063484042</v>
      </c>
      <c r="H386" s="2">
        <f t="shared" si="161"/>
        <v>232.01179523613291</v>
      </c>
      <c r="I386" s="2">
        <f t="shared" si="162"/>
        <v>198488.19416838774</v>
      </c>
      <c r="J386" s="2">
        <f t="shared" si="163"/>
        <v>1.2752788791256398E-12</v>
      </c>
      <c r="K386" s="2">
        <f t="shared" si="164"/>
        <v>3.2306667944130241E-5</v>
      </c>
      <c r="L386" s="2">
        <f t="shared" si="165"/>
        <v>9.2236245322402173</v>
      </c>
      <c r="M386" s="2">
        <f t="shared" si="166"/>
        <v>3676.1400000000003</v>
      </c>
      <c r="N386">
        <f t="shared" si="167"/>
        <v>1.9587679611949746E-8</v>
      </c>
      <c r="O386" s="2">
        <v>54156</v>
      </c>
      <c r="P386" s="2">
        <v>1</v>
      </c>
      <c r="Y386">
        <f t="shared" si="153"/>
        <v>38543.360360095947</v>
      </c>
      <c r="Z386">
        <f t="shared" si="154"/>
        <v>204888.19416838774</v>
      </c>
    </row>
    <row r="387" spans="1:26" x14ac:dyDescent="0.2">
      <c r="A387" s="2">
        <v>374</v>
      </c>
      <c r="B387" s="2">
        <f t="shared" si="155"/>
        <v>14.411697517549793</v>
      </c>
      <c r="C387" s="2">
        <f t="shared" si="156"/>
        <v>-8.1414856128221233E-4</v>
      </c>
      <c r="D387" s="2">
        <f t="shared" si="157"/>
        <v>5556.8227854014031</v>
      </c>
      <c r="E387" s="2">
        <f t="shared" si="158"/>
        <v>4.1052224632700279E-2</v>
      </c>
      <c r="F387" s="8">
        <f t="shared" si="159"/>
        <v>5384.3824375535696</v>
      </c>
      <c r="G387" s="2">
        <f t="shared" si="160"/>
        <v>926137.97307239403</v>
      </c>
      <c r="H387" s="2">
        <f t="shared" si="161"/>
        <v>228.05586810571185</v>
      </c>
      <c r="I387" s="2">
        <f t="shared" si="162"/>
        <v>198716.25003649344</v>
      </c>
      <c r="J387" s="2">
        <f t="shared" si="163"/>
        <v>1.2354855366752953E-12</v>
      </c>
      <c r="K387" s="2">
        <f t="shared" si="164"/>
        <v>3.1460812877071305E-5</v>
      </c>
      <c r="L387" s="2">
        <f t="shared" si="165"/>
        <v>9.2229848618791923</v>
      </c>
      <c r="M387" s="2">
        <f t="shared" si="166"/>
        <v>3661.61</v>
      </c>
      <c r="N387">
        <f t="shared" si="167"/>
        <v>1.9074833840285913E-8</v>
      </c>
      <c r="O387" s="2">
        <v>54156</v>
      </c>
      <c r="P387" s="2">
        <v>1</v>
      </c>
      <c r="Y387">
        <f t="shared" si="153"/>
        <v>38009.345914282669</v>
      </c>
      <c r="Z387">
        <f t="shared" si="154"/>
        <v>205116.25003649344</v>
      </c>
    </row>
    <row r="388" spans="1:26" x14ac:dyDescent="0.2">
      <c r="A388" s="2">
        <v>375</v>
      </c>
      <c r="B388" s="2">
        <f t="shared" si="155"/>
        <v>14.478149833173081</v>
      </c>
      <c r="C388" s="2">
        <f t="shared" si="156"/>
        <v>-8.0761208658259838E-4</v>
      </c>
      <c r="D388" s="2">
        <f t="shared" si="157"/>
        <v>5571.2344829189533</v>
      </c>
      <c r="E388" s="2">
        <f t="shared" si="158"/>
        <v>4.0238076071418064E-2</v>
      </c>
      <c r="F388" s="8">
        <f t="shared" si="159"/>
        <v>5398.3416880456016</v>
      </c>
      <c r="G388" s="2">
        <f t="shared" si="160"/>
        <v>931536.31476043968</v>
      </c>
      <c r="H388" s="2">
        <f t="shared" si="161"/>
        <v>224.11526790115471</v>
      </c>
      <c r="I388" s="2">
        <f t="shared" si="162"/>
        <v>198940.3653043946</v>
      </c>
      <c r="J388" s="2">
        <f t="shared" si="163"/>
        <v>1.1975897059022545E-12</v>
      </c>
      <c r="K388" s="2">
        <f t="shared" si="164"/>
        <v>3.0654208691281793E-5</v>
      </c>
      <c r="L388" s="2">
        <f t="shared" si="165"/>
        <v>9.2223563092724472</v>
      </c>
      <c r="M388" s="2">
        <f t="shared" si="166"/>
        <v>3647.08</v>
      </c>
      <c r="N388">
        <f t="shared" si="167"/>
        <v>1.858578605633538E-8</v>
      </c>
      <c r="O388" s="2">
        <v>54156</v>
      </c>
      <c r="P388" s="2">
        <v>1</v>
      </c>
      <c r="Y388">
        <f t="shared" si="153"/>
        <v>37473.115048786873</v>
      </c>
      <c r="Z388">
        <f t="shared" si="154"/>
        <v>205340.3653043946</v>
      </c>
    </row>
    <row r="389" spans="1:26" x14ac:dyDescent="0.2">
      <c r="A389" s="2">
        <v>376</v>
      </c>
      <c r="B389" s="2">
        <f t="shared" si="155"/>
        <v>14.545012093220883</v>
      </c>
      <c r="C389" s="2">
        <f t="shared" si="156"/>
        <v>-8.0106905931034923E-4</v>
      </c>
      <c r="D389" s="2">
        <f t="shared" si="157"/>
        <v>5585.7126327521264</v>
      </c>
      <c r="E389" s="2">
        <f t="shared" si="158"/>
        <v>3.9430463984835462E-2</v>
      </c>
      <c r="F389" s="8">
        <f t="shared" si="159"/>
        <v>5412.3635489141079</v>
      </c>
      <c r="G389" s="2">
        <f t="shared" si="160"/>
        <v>936948.67830935377</v>
      </c>
      <c r="H389" s="2">
        <f t="shared" si="161"/>
        <v>220.19017324382867</v>
      </c>
      <c r="I389" s="2">
        <f t="shared" si="162"/>
        <v>199160.55547763844</v>
      </c>
      <c r="J389" s="2">
        <f t="shared" si="163"/>
        <v>1.161489791060335E-12</v>
      </c>
      <c r="K389" s="2">
        <f t="shared" si="164"/>
        <v>2.9884896430319891E-5</v>
      </c>
      <c r="L389" s="2">
        <f t="shared" si="165"/>
        <v>9.2217388275415697</v>
      </c>
      <c r="M389" s="2">
        <f t="shared" si="166"/>
        <v>3632.55</v>
      </c>
      <c r="N389">
        <f t="shared" si="167"/>
        <v>1.8119348535903803E-8</v>
      </c>
      <c r="O389" s="2">
        <v>54156</v>
      </c>
      <c r="P389" s="2">
        <v>1</v>
      </c>
      <c r="Y389">
        <f t="shared" si="153"/>
        <v>36934.748591938289</v>
      </c>
      <c r="Z389">
        <f t="shared" si="154"/>
        <v>205560.55547763844</v>
      </c>
    </row>
    <row r="390" spans="1:26" x14ac:dyDescent="0.2">
      <c r="A390" s="2">
        <v>377</v>
      </c>
      <c r="B390" s="2">
        <f t="shared" si="155"/>
        <v>14.612289946624349</v>
      </c>
      <c r="C390" s="2">
        <f t="shared" si="156"/>
        <v>-7.9451943468481791E-4</v>
      </c>
      <c r="D390" s="2">
        <f t="shared" si="157"/>
        <v>5600.2576448453474</v>
      </c>
      <c r="E390" s="2">
        <f t="shared" si="158"/>
        <v>3.8629394925525112E-2</v>
      </c>
      <c r="F390" s="8">
        <f t="shared" si="159"/>
        <v>5426.448475170534</v>
      </c>
      <c r="G390" s="2">
        <f t="shared" si="160"/>
        <v>942375.1267845243</v>
      </c>
      <c r="H390" s="2">
        <f t="shared" si="161"/>
        <v>216.2807647683463</v>
      </c>
      <c r="I390" s="2">
        <f t="shared" si="162"/>
        <v>199376.83624240677</v>
      </c>
      <c r="J390" s="2">
        <f t="shared" si="163"/>
        <v>1.1270903892581082E-12</v>
      </c>
      <c r="K390" s="2">
        <f t="shared" si="164"/>
        <v>2.9151032533120697E-5</v>
      </c>
      <c r="L390" s="2">
        <f t="shared" si="165"/>
        <v>9.221132369379319</v>
      </c>
      <c r="M390" s="2">
        <f t="shared" si="166"/>
        <v>3618.02</v>
      </c>
      <c r="N390">
        <f t="shared" si="167"/>
        <v>1.7674403519538338E-8</v>
      </c>
      <c r="O390" s="2">
        <v>54156</v>
      </c>
      <c r="P390" s="2">
        <v>1</v>
      </c>
      <c r="Y390">
        <f t="shared" si="153"/>
        <v>36394.327912256878</v>
      </c>
      <c r="Z390">
        <f t="shared" si="154"/>
        <v>205776.83624240677</v>
      </c>
    </row>
    <row r="391" spans="1:26" x14ac:dyDescent="0.2">
      <c r="A391" s="2">
        <v>378</v>
      </c>
      <c r="B391" s="2">
        <f t="shared" si="155"/>
        <v>14.679989133227682</v>
      </c>
      <c r="C391" s="2">
        <f t="shared" si="156"/>
        <v>-7.8796316592303684E-4</v>
      </c>
      <c r="D391" s="2">
        <f t="shared" si="157"/>
        <v>5614.8699347919719</v>
      </c>
      <c r="E391" s="2">
        <f t="shared" si="158"/>
        <v>3.7834875490840296E-2</v>
      </c>
      <c r="F391" s="8">
        <f t="shared" si="159"/>
        <v>5440.5969271676249</v>
      </c>
      <c r="G391" s="2">
        <f t="shared" si="160"/>
        <v>947815.72371169191</v>
      </c>
      <c r="H391" s="2">
        <f t="shared" si="161"/>
        <v>212.38722515002522</v>
      </c>
      <c r="I391" s="2">
        <f t="shared" si="162"/>
        <v>199589.22346755679</v>
      </c>
      <c r="J391" s="2">
        <f t="shared" si="163"/>
        <v>1.0943018797360878E-12</v>
      </c>
      <c r="K391" s="2">
        <f t="shared" si="164"/>
        <v>2.8450881496959787E-5</v>
      </c>
      <c r="L391" s="2">
        <f t="shared" si="165"/>
        <v>9.2205368870433411</v>
      </c>
      <c r="M391" s="2">
        <f t="shared" si="166"/>
        <v>3603.4900000000002</v>
      </c>
      <c r="N391">
        <f t="shared" si="167"/>
        <v>1.7249898764049116E-8</v>
      </c>
      <c r="O391" s="2">
        <v>54156</v>
      </c>
      <c r="P391" s="2">
        <v>1</v>
      </c>
      <c r="Y391">
        <f t="shared" si="153"/>
        <v>35851.93492467732</v>
      </c>
      <c r="Z391">
        <f t="shared" si="154"/>
        <v>205989.22346755679</v>
      </c>
    </row>
    <row r="392" spans="1:26" x14ac:dyDescent="0.2">
      <c r="A392" s="2">
        <v>379</v>
      </c>
      <c r="B392" s="2">
        <f t="shared" si="155"/>
        <v>14.748115485620497</v>
      </c>
      <c r="C392" s="2">
        <f t="shared" si="156"/>
        <v>-7.8140020423040312E-4</v>
      </c>
      <c r="D392" s="2">
        <f t="shared" si="157"/>
        <v>5629.5499239251994</v>
      </c>
      <c r="E392" s="2">
        <f t="shared" si="158"/>
        <v>3.7046912324917261E-2</v>
      </c>
      <c r="F392" s="8">
        <f t="shared" si="159"/>
        <v>5454.8093706818154</v>
      </c>
      <c r="G392" s="2">
        <f t="shared" si="160"/>
        <v>953270.53308237367</v>
      </c>
      <c r="H392" s="2">
        <f t="shared" si="161"/>
        <v>208.50973913286603</v>
      </c>
      <c r="I392" s="2">
        <f t="shared" si="162"/>
        <v>199797.73320668965</v>
      </c>
      <c r="J392" s="2">
        <f t="shared" si="163"/>
        <v>1.0630400425217211E-12</v>
      </c>
      <c r="K392" s="2">
        <f t="shared" si="164"/>
        <v>2.7782809048895403E-5</v>
      </c>
      <c r="L392" s="2">
        <f t="shared" si="165"/>
        <v>9.2199523323497647</v>
      </c>
      <c r="M392" s="2">
        <f t="shared" si="166"/>
        <v>3588.96</v>
      </c>
      <c r="N392">
        <f t="shared" si="167"/>
        <v>1.6844843402323593E-8</v>
      </c>
      <c r="O392" s="2">
        <v>54156</v>
      </c>
      <c r="P392" s="2">
        <v>1</v>
      </c>
      <c r="Y392">
        <f t="shared" si="153"/>
        <v>35307.652096895312</v>
      </c>
      <c r="Z392">
        <f t="shared" si="154"/>
        <v>206197.73320668965</v>
      </c>
    </row>
    <row r="393" spans="1:26" x14ac:dyDescent="0.2">
      <c r="A393" s="2">
        <v>380</v>
      </c>
      <c r="B393" s="2">
        <f t="shared" si="155"/>
        <v>14.816674931015339</v>
      </c>
      <c r="C393" s="2">
        <f t="shared" si="156"/>
        <v>-7.7483049879105339E-4</v>
      </c>
      <c r="D393" s="2">
        <f t="shared" si="157"/>
        <v>5644.2980394108199</v>
      </c>
      <c r="E393" s="2">
        <f t="shared" si="158"/>
        <v>3.6265512120686856E-2</v>
      </c>
      <c r="F393" s="8">
        <f t="shared" si="159"/>
        <v>5469.0862769972646</v>
      </c>
      <c r="G393" s="2">
        <f t="shared" si="160"/>
        <v>958739.6193593709</v>
      </c>
      <c r="H393" s="2">
        <f t="shared" si="161"/>
        <v>204.64849355806089</v>
      </c>
      <c r="I393" s="2">
        <f t="shared" si="162"/>
        <v>200002.3817002477</v>
      </c>
      <c r="J393" s="2">
        <f t="shared" si="163"/>
        <v>1.0332257042249776E-12</v>
      </c>
      <c r="K393" s="2">
        <f t="shared" si="164"/>
        <v>2.7145275788153408E-5</v>
      </c>
      <c r="L393" s="2">
        <f t="shared" si="165"/>
        <v>9.219378656666759</v>
      </c>
      <c r="M393" s="2">
        <f t="shared" si="166"/>
        <v>3574.4300000000003</v>
      </c>
      <c r="N393">
        <f t="shared" si="167"/>
        <v>1.6458304088675656E-8</v>
      </c>
      <c r="O393" s="2">
        <v>54156</v>
      </c>
      <c r="P393" s="2">
        <v>1</v>
      </c>
      <c r="Y393">
        <f t="shared" si="153"/>
        <v>34761.562455834755</v>
      </c>
      <c r="Z393">
        <f t="shared" si="154"/>
        <v>206402.3817002477</v>
      </c>
    </row>
    <row r="394" spans="1:26" x14ac:dyDescent="0.2">
      <c r="A394" s="2">
        <v>381</v>
      </c>
      <c r="B394" s="2">
        <f t="shared" si="155"/>
        <v>14.8856734931717</v>
      </c>
      <c r="C394" s="2">
        <f t="shared" si="156"/>
        <v>-7.6825399675790125E-4</v>
      </c>
      <c r="D394" s="2">
        <f t="shared" si="157"/>
        <v>5659.1147143418357</v>
      </c>
      <c r="E394" s="2">
        <f t="shared" si="158"/>
        <v>3.5490681621895802E-2</v>
      </c>
      <c r="F394" s="8">
        <f t="shared" si="159"/>
        <v>5483.4281229916296</v>
      </c>
      <c r="G394" s="2">
        <f t="shared" si="160"/>
        <v>964223.04748236248</v>
      </c>
      <c r="H394" s="2">
        <f t="shared" si="161"/>
        <v>200.80367739304378</v>
      </c>
      <c r="I394" s="2">
        <f t="shared" si="162"/>
        <v>200203.18537764074</v>
      </c>
      <c r="J394" s="2">
        <f t="shared" si="163"/>
        <v>1.0047844089174321E-12</v>
      </c>
      <c r="K394" s="2">
        <f t="shared" si="164"/>
        <v>2.6536831264859991E-5</v>
      </c>
      <c r="L394" s="2">
        <f t="shared" si="165"/>
        <v>9.2188158109079534</v>
      </c>
      <c r="M394" s="2">
        <f t="shared" si="166"/>
        <v>3559.9</v>
      </c>
      <c r="N394">
        <f t="shared" si="167"/>
        <v>1.6089401408754365E-8</v>
      </c>
      <c r="O394" s="2">
        <v>54156</v>
      </c>
      <c r="P394" s="2">
        <v>1</v>
      </c>
      <c r="Y394">
        <f t="shared" si="153"/>
        <v>34213.749594242792</v>
      </c>
      <c r="Z394">
        <f t="shared" si="154"/>
        <v>206603.18537764074</v>
      </c>
    </row>
    <row r="395" spans="1:26" x14ac:dyDescent="0.2">
      <c r="A395" s="2">
        <v>382</v>
      </c>
      <c r="B395" s="2">
        <f t="shared" si="155"/>
        <v>14.955117294367824</v>
      </c>
      <c r="C395" s="2">
        <f t="shared" si="156"/>
        <v>-7.6167064324234729E-4</v>
      </c>
      <c r="D395" s="2">
        <f t="shared" si="157"/>
        <v>5674.0003878350071</v>
      </c>
      <c r="E395" s="2">
        <f t="shared" si="158"/>
        <v>3.47224276251379E-2</v>
      </c>
      <c r="F395" s="8">
        <f t="shared" si="159"/>
        <v>5497.8353912235571</v>
      </c>
      <c r="G395" s="2">
        <f t="shared" si="160"/>
        <v>969720.88287358603</v>
      </c>
      <c r="H395" s="2">
        <f t="shared" si="161"/>
        <v>196.97548176109461</v>
      </c>
      <c r="I395" s="2">
        <f t="shared" si="162"/>
        <v>200400.16085940183</v>
      </c>
      <c r="J395" s="2">
        <f t="shared" si="163"/>
        <v>9.7764611220244233E-13</v>
      </c>
      <c r="K395" s="2">
        <f t="shared" si="164"/>
        <v>2.5956108463221322E-5</v>
      </c>
      <c r="L395" s="2">
        <f t="shared" si="165"/>
        <v>9.2182637455257996</v>
      </c>
      <c r="M395" s="2">
        <f t="shared" si="166"/>
        <v>3545.37</v>
      </c>
      <c r="N395">
        <f t="shared" si="167"/>
        <v>1.5737306534670674E-8</v>
      </c>
      <c r="O395" s="2">
        <v>54156</v>
      </c>
      <c r="P395" s="2">
        <v>1</v>
      </c>
      <c r="Y395">
        <f t="shared" si="153"/>
        <v>33664.29767741025</v>
      </c>
      <c r="Z395">
        <f t="shared" si="154"/>
        <v>206800.16085940183</v>
      </c>
    </row>
    <row r="396" spans="1:26" x14ac:dyDescent="0.2">
      <c r="A396" s="2">
        <v>383</v>
      </c>
      <c r="B396" s="2">
        <f t="shared" si="155"/>
        <v>15.025012557421723</v>
      </c>
      <c r="C396" s="2">
        <f t="shared" si="156"/>
        <v>-7.5508038130363698E-4</v>
      </c>
      <c r="D396" s="2">
        <f t="shared" si="157"/>
        <v>5688.9555051293746</v>
      </c>
      <c r="E396" s="2">
        <f t="shared" si="158"/>
        <v>3.3960756981895553E-2</v>
      </c>
      <c r="F396" s="8">
        <f t="shared" si="159"/>
        <v>5512.308570021989</v>
      </c>
      <c r="G396" s="2">
        <f t="shared" si="160"/>
        <v>975233.19144360803</v>
      </c>
      <c r="H396" s="2">
        <f t="shared" si="161"/>
        <v>193.16409997151001</v>
      </c>
      <c r="I396" s="2">
        <f t="shared" si="162"/>
        <v>200593.32495937333</v>
      </c>
      <c r="J396" s="2">
        <f t="shared" si="163"/>
        <v>9.5174489673482867E-13</v>
      </c>
      <c r="K396" s="2">
        <f t="shared" si="164"/>
        <v>2.5401818659721241E-5</v>
      </c>
      <c r="L396" s="2">
        <f t="shared" si="165"/>
        <v>9.2177224105048516</v>
      </c>
      <c r="M396" s="2">
        <f t="shared" si="166"/>
        <v>3530.84</v>
      </c>
      <c r="N396">
        <f t="shared" si="167"/>
        <v>1.5401238107499347E-8</v>
      </c>
      <c r="O396" s="2">
        <v>54156</v>
      </c>
      <c r="P396" s="2">
        <v>1</v>
      </c>
      <c r="Y396">
        <f t="shared" si="153"/>
        <v>33113.291450020661</v>
      </c>
      <c r="Z396">
        <f t="shared" si="154"/>
        <v>206993.32495937333</v>
      </c>
    </row>
    <row r="397" spans="1:26" x14ac:dyDescent="0.2">
      <c r="A397" s="2">
        <v>384</v>
      </c>
      <c r="B397" s="2">
        <f t="shared" si="155"/>
        <v>15.095365607762789</v>
      </c>
      <c r="C397" s="2">
        <f t="shared" si="156"/>
        <v>-7.4848315193786191E-4</v>
      </c>
      <c r="D397" s="2">
        <f t="shared" si="157"/>
        <v>5703.9805176867967</v>
      </c>
      <c r="E397" s="2">
        <f t="shared" si="158"/>
        <v>3.3205676600591913E-2</v>
      </c>
      <c r="F397" s="8">
        <f t="shared" si="159"/>
        <v>5526.8481535773044</v>
      </c>
      <c r="G397" s="2">
        <f t="shared" si="160"/>
        <v>980760.03959718533</v>
      </c>
      <c r="H397" s="2">
        <f t="shared" si="161"/>
        <v>189.36972755035316</v>
      </c>
      <c r="I397" s="2">
        <f t="shared" si="162"/>
        <v>200782.6946869237</v>
      </c>
      <c r="J397" s="2">
        <f t="shared" si="163"/>
        <v>9.2701870758676959E-13</v>
      </c>
      <c r="K397" s="2">
        <f t="shared" si="164"/>
        <v>2.4872746629181649E-5</v>
      </c>
      <c r="L397" s="2">
        <f t="shared" si="165"/>
        <v>9.2171917553549072</v>
      </c>
      <c r="M397" s="2">
        <f t="shared" si="166"/>
        <v>3516.31</v>
      </c>
      <c r="N397">
        <f t="shared" si="167"/>
        <v>1.508045933069157E-8</v>
      </c>
      <c r="O397" s="2">
        <v>54156</v>
      </c>
      <c r="P397" s="2">
        <v>1</v>
      </c>
      <c r="Y397">
        <f t="shared" si="153"/>
        <v>32560.816243129935</v>
      </c>
      <c r="Z397">
        <f t="shared" si="154"/>
        <v>207182.6946869237</v>
      </c>
    </row>
    <row r="398" spans="1:26" x14ac:dyDescent="0.2">
      <c r="A398" s="2">
        <v>385</v>
      </c>
      <c r="B398" s="2">
        <f t="shared" si="155"/>
        <v>15.166182875555473</v>
      </c>
      <c r="C398" s="2">
        <f t="shared" si="156"/>
        <v>-7.418788940665999E-4</v>
      </c>
      <c r="D398" s="2">
        <f t="shared" si="157"/>
        <v>5719.0758832945594</v>
      </c>
      <c r="E398" s="2">
        <f t="shared" si="158"/>
        <v>3.2457193448654054E-2</v>
      </c>
      <c r="F398" s="8">
        <f t="shared" si="159"/>
        <v>5541.454642034334</v>
      </c>
      <c r="G398" s="2">
        <f t="shared" si="160"/>
        <v>986301.4942392197</v>
      </c>
      <c r="H398" s="2">
        <f t="shared" si="161"/>
        <v>185.59256227179574</v>
      </c>
      <c r="I398" s="2">
        <f t="shared" si="162"/>
        <v>200968.28724919551</v>
      </c>
      <c r="J398" s="2">
        <f t="shared" si="163"/>
        <v>9.0340910598333803E-13</v>
      </c>
      <c r="K398" s="2">
        <f t="shared" si="164"/>
        <v>2.4367746173617674E-5</v>
      </c>
      <c r="L398" s="2">
        <f t="shared" si="165"/>
        <v>9.2166717291041191</v>
      </c>
      <c r="M398" s="2">
        <f t="shared" si="166"/>
        <v>3501.78</v>
      </c>
      <c r="N398">
        <f t="shared" si="167"/>
        <v>1.477427525919951E-8</v>
      </c>
      <c r="O398" s="2">
        <v>54156</v>
      </c>
      <c r="P398" s="2">
        <v>1</v>
      </c>
      <c r="Y398">
        <f t="shared" ref="Y398:Y461" si="168">(G398*COS((PI()/2) - E398))</f>
        <v>32006.957981279385</v>
      </c>
      <c r="Z398">
        <f t="shared" ref="Z398:Z461" si="169">6400+(I398)</f>
        <v>207368.28724919551</v>
      </c>
    </row>
    <row r="399" spans="1:26" x14ac:dyDescent="0.2">
      <c r="A399" s="2">
        <v>386</v>
      </c>
      <c r="B399" s="2">
        <f t="shared" si="155"/>
        <v>15.237470897876577</v>
      </c>
      <c r="C399" s="2">
        <f t="shared" si="156"/>
        <v>-7.3526754452517252E-4</v>
      </c>
      <c r="D399" s="2">
        <f t="shared" si="157"/>
        <v>5734.2420661701144</v>
      </c>
      <c r="E399" s="2">
        <f t="shared" si="158"/>
        <v>3.1715314554587454E-2</v>
      </c>
      <c r="F399" s="8">
        <f t="shared" si="159"/>
        <v>5556.128541587319</v>
      </c>
      <c r="G399" s="2">
        <f t="shared" si="160"/>
        <v>991857.62278080697</v>
      </c>
      <c r="H399" s="2">
        <f t="shared" si="161"/>
        <v>181.83280419006562</v>
      </c>
      <c r="I399" s="2">
        <f t="shared" si="162"/>
        <v>201150.12005338556</v>
      </c>
      <c r="J399" s="2">
        <f t="shared" si="163"/>
        <v>8.8086104004724003E-13</v>
      </c>
      <c r="K399" s="2">
        <f t="shared" si="164"/>
        <v>2.38857359507366E-5</v>
      </c>
      <c r="L399" s="2">
        <f t="shared" si="165"/>
        <v>9.2161622802919521</v>
      </c>
      <c r="M399" s="2">
        <f t="shared" si="166"/>
        <v>3487.25</v>
      </c>
      <c r="N399">
        <f t="shared" si="167"/>
        <v>1.4482030270276275E-8</v>
      </c>
      <c r="O399" s="2">
        <v>54156</v>
      </c>
      <c r="P399" s="2">
        <v>1</v>
      </c>
      <c r="Y399">
        <f t="shared" si="168"/>
        <v>31451.803189742812</v>
      </c>
      <c r="Z399">
        <f t="shared" si="169"/>
        <v>207550.12005338556</v>
      </c>
    </row>
    <row r="400" spans="1:26" x14ac:dyDescent="0.2">
      <c r="A400" s="2">
        <v>387</v>
      </c>
      <c r="B400" s="2">
        <f t="shared" si="155"/>
        <v>15.309236320947695</v>
      </c>
      <c r="C400" s="2">
        <f t="shared" si="156"/>
        <v>-7.2864903805052079E-4</v>
      </c>
      <c r="D400" s="2">
        <f t="shared" si="157"/>
        <v>5749.4795370679913</v>
      </c>
      <c r="E400" s="2">
        <f t="shared" si="158"/>
        <v>3.0980047010062281E-2</v>
      </c>
      <c r="F400" s="8">
        <f t="shared" si="159"/>
        <v>5570.8703645768455</v>
      </c>
      <c r="G400" s="2">
        <f t="shared" si="160"/>
        <v>997428.49314538378</v>
      </c>
      <c r="H400" s="2">
        <f t="shared" si="161"/>
        <v>178.09065567201412</v>
      </c>
      <c r="I400" s="2">
        <f t="shared" si="162"/>
        <v>201328.21070905757</v>
      </c>
      <c r="J400" s="2">
        <f t="shared" si="163"/>
        <v>8.5932263129892111E-13</v>
      </c>
      <c r="K400" s="2">
        <f t="shared" si="164"/>
        <v>2.3425695580693843E-5</v>
      </c>
      <c r="L400" s="2">
        <f t="shared" si="165"/>
        <v>9.2156633569620912</v>
      </c>
      <c r="M400" s="2">
        <f t="shared" si="166"/>
        <v>3472.7200000000003</v>
      </c>
      <c r="N400">
        <f t="shared" si="167"/>
        <v>1.4203105702984354E-8</v>
      </c>
      <c r="O400" s="2">
        <v>54156</v>
      </c>
      <c r="P400" s="2">
        <v>1</v>
      </c>
      <c r="Y400">
        <f t="shared" si="168"/>
        <v>30895.439001909475</v>
      </c>
      <c r="Z400">
        <f t="shared" si="169"/>
        <v>207728.21070905757</v>
      </c>
    </row>
    <row r="401" spans="1:26" x14ac:dyDescent="0.2">
      <c r="A401" s="2">
        <v>388</v>
      </c>
      <c r="B401" s="2">
        <f t="shared" si="155"/>
        <v>15.381485902424435</v>
      </c>
      <c r="C401" s="2">
        <f t="shared" si="156"/>
        <v>-7.2202330726867721E-4</v>
      </c>
      <c r="D401" s="2">
        <f t="shared" si="157"/>
        <v>5764.7887733889393</v>
      </c>
      <c r="E401" s="2">
        <f t="shared" si="158"/>
        <v>3.0251397972011759E-2</v>
      </c>
      <c r="F401" s="8">
        <f t="shared" si="159"/>
        <v>5585.6806295888055</v>
      </c>
      <c r="G401" s="2">
        <f t="shared" si="160"/>
        <v>1003014.1737749726</v>
      </c>
      <c r="H401" s="2">
        <f t="shared" si="161"/>
        <v>174.3663214303165</v>
      </c>
      <c r="I401" s="2">
        <f t="shared" si="162"/>
        <v>201502.57703048788</v>
      </c>
      <c r="J401" s="2">
        <f t="shared" si="163"/>
        <v>8.3874497575600306E-13</v>
      </c>
      <c r="K401" s="2">
        <f t="shared" si="164"/>
        <v>2.2986662011341569E-5</v>
      </c>
      <c r="L401" s="2">
        <f t="shared" si="165"/>
        <v>9.2151749066551929</v>
      </c>
      <c r="M401" s="2">
        <f t="shared" si="166"/>
        <v>3458.19</v>
      </c>
      <c r="N401">
        <f t="shared" si="167"/>
        <v>1.3936917654429334E-8</v>
      </c>
      <c r="O401" s="2">
        <v>54156</v>
      </c>
      <c r="P401" s="2">
        <v>1</v>
      </c>
      <c r="Y401">
        <f t="shared" si="168"/>
        <v>30337.953166807431</v>
      </c>
      <c r="Z401">
        <f t="shared" si="169"/>
        <v>207902.57703048788</v>
      </c>
    </row>
    <row r="402" spans="1:26" x14ac:dyDescent="0.2">
      <c r="A402" s="2">
        <v>389</v>
      </c>
      <c r="B402" s="2">
        <f t="shared" si="155"/>
        <v>15.454226513744111</v>
      </c>
      <c r="C402" s="2">
        <f t="shared" si="156"/>
        <v>-7.1539028268183833E-4</v>
      </c>
      <c r="D402" s="2">
        <f t="shared" si="157"/>
        <v>5780.1702592913634</v>
      </c>
      <c r="E402" s="2">
        <f t="shared" si="158"/>
        <v>2.9529374664743081E-2</v>
      </c>
      <c r="F402" s="8">
        <f t="shared" si="159"/>
        <v>5600.5598615554427</v>
      </c>
      <c r="G402" s="2">
        <f t="shared" si="160"/>
        <v>1008614.733636528</v>
      </c>
      <c r="H402" s="2">
        <f t="shared" si="161"/>
        <v>170.66000855732128</v>
      </c>
      <c r="I402" s="2">
        <f t="shared" si="162"/>
        <v>201673.2370390452</v>
      </c>
      <c r="J402" s="2">
        <f t="shared" si="163"/>
        <v>8.1908195856573403E-13</v>
      </c>
      <c r="K402" s="2">
        <f t="shared" si="164"/>
        <v>2.2567726123696428E-5</v>
      </c>
      <c r="L402" s="2">
        <f t="shared" si="165"/>
        <v>9.2146968764016073</v>
      </c>
      <c r="M402" s="2">
        <f t="shared" si="166"/>
        <v>3443.6600000000003</v>
      </c>
      <c r="N402">
        <f t="shared" si="167"/>
        <v>1.3682914921639563E-8</v>
      </c>
      <c r="O402" s="2">
        <v>54156</v>
      </c>
      <c r="P402" s="2">
        <v>1</v>
      </c>
      <c r="Y402">
        <f t="shared" si="168"/>
        <v>29779.434056766651</v>
      </c>
      <c r="Z402">
        <f t="shared" si="169"/>
        <v>208073.2370390452</v>
      </c>
    </row>
    <row r="403" spans="1:26" x14ac:dyDescent="0.2">
      <c r="A403" s="2">
        <v>390</v>
      </c>
      <c r="B403" s="2">
        <f t="shared" si="155"/>
        <v>15.527465142533622</v>
      </c>
      <c r="C403" s="2">
        <f t="shared" si="156"/>
        <v>-7.0874989265500899E-4</v>
      </c>
      <c r="D403" s="2">
        <f t="shared" si="157"/>
        <v>5795.6244858051077</v>
      </c>
      <c r="E403" s="2">
        <f t="shared" si="158"/>
        <v>2.8813984382061241E-2</v>
      </c>
      <c r="F403" s="8">
        <f t="shared" si="159"/>
        <v>5615.5085918585355</v>
      </c>
      <c r="G403" s="2">
        <f t="shared" si="160"/>
        <v>1014230.2422283866</v>
      </c>
      <c r="H403" s="2">
        <f t="shared" si="161"/>
        <v>166.97192655956215</v>
      </c>
      <c r="I403" s="2">
        <f t="shared" si="162"/>
        <v>201840.20896560475</v>
      </c>
      <c r="J403" s="2">
        <f t="shared" si="163"/>
        <v>8.002900811866021E-13</v>
      </c>
      <c r="K403" s="2">
        <f t="shared" si="164"/>
        <v>2.2168029560727274E-5</v>
      </c>
      <c r="L403" s="2">
        <f t="shared" si="165"/>
        <v>9.2142292127139402</v>
      </c>
      <c r="M403" s="2">
        <f t="shared" si="166"/>
        <v>3429.13</v>
      </c>
      <c r="N403">
        <f t="shared" si="167"/>
        <v>1.3440577078845726E-8</v>
      </c>
      <c r="O403" s="2">
        <v>54156</v>
      </c>
      <c r="P403" s="2">
        <v>1</v>
      </c>
      <c r="Y403">
        <f t="shared" si="168"/>
        <v>29219.970675225661</v>
      </c>
      <c r="Z403">
        <f t="shared" si="169"/>
        <v>208240.20896560475</v>
      </c>
    </row>
    <row r="404" spans="1:26" x14ac:dyDescent="0.2">
      <c r="A404" s="2">
        <v>391</v>
      </c>
      <c r="B404" s="2">
        <f t="shared" si="155"/>
        <v>15.601208895079296</v>
      </c>
      <c r="C404" s="2">
        <f t="shared" si="156"/>
        <v>-7.0210206340222056E-4</v>
      </c>
      <c r="D404" s="2">
        <f t="shared" si="157"/>
        <v>5811.1519509476411</v>
      </c>
      <c r="E404" s="2">
        <f t="shared" si="158"/>
        <v>2.8105234489406231E-2</v>
      </c>
      <c r="F404" s="8">
        <f t="shared" si="159"/>
        <v>5630.5273584347606</v>
      </c>
      <c r="G404" s="2">
        <f t="shared" si="160"/>
        <v>1019860.7695868213</v>
      </c>
      <c r="H404" s="2">
        <f t="shared" si="161"/>
        <v>163.30228739294873</v>
      </c>
      <c r="I404" s="2">
        <f t="shared" si="162"/>
        <v>202003.51125299771</v>
      </c>
      <c r="J404" s="2">
        <f t="shared" si="163"/>
        <v>7.823283002109684E-13</v>
      </c>
      <c r="K404" s="2">
        <f t="shared" si="164"/>
        <v>2.1786761763827755E-5</v>
      </c>
      <c r="L404" s="2">
        <f t="shared" si="165"/>
        <v>9.2137718615795308</v>
      </c>
      <c r="M404" s="2">
        <f t="shared" si="166"/>
        <v>3414.6</v>
      </c>
      <c r="N404">
        <f t="shared" si="167"/>
        <v>1.3209412680680714E-8</v>
      </c>
      <c r="O404" s="2">
        <v>54156</v>
      </c>
      <c r="P404" s="2">
        <v>1</v>
      </c>
      <c r="Y404">
        <f t="shared" si="168"/>
        <v>28659.652664684127</v>
      </c>
      <c r="Z404">
        <f t="shared" si="169"/>
        <v>208403.51125299771</v>
      </c>
    </row>
    <row r="405" spans="1:26" x14ac:dyDescent="0.2">
      <c r="A405" s="2">
        <v>392</v>
      </c>
      <c r="B405" s="2">
        <f t="shared" si="155"/>
        <v>15.675464998860592</v>
      </c>
      <c r="C405" s="2">
        <f t="shared" si="156"/>
        <v>-6.9544671897230428E-4</v>
      </c>
      <c r="D405" s="2">
        <f t="shared" si="157"/>
        <v>5826.7531598427204</v>
      </c>
      <c r="E405" s="2">
        <f t="shared" si="158"/>
        <v>2.740313242600401E-2</v>
      </c>
      <c r="F405" s="8">
        <f t="shared" si="159"/>
        <v>5645.6167058833162</v>
      </c>
      <c r="G405" s="2">
        <f t="shared" si="160"/>
        <v>1025506.3862927046</v>
      </c>
      <c r="H405" s="2">
        <f t="shared" si="161"/>
        <v>159.65130549865194</v>
      </c>
      <c r="I405" s="2">
        <f t="shared" si="162"/>
        <v>202163.16255849635</v>
      </c>
      <c r="J405" s="2">
        <f t="shared" si="163"/>
        <v>7.6515787699015468E-13</v>
      </c>
      <c r="K405" s="2">
        <f t="shared" si="164"/>
        <v>2.142315720250301E-5</v>
      </c>
      <c r="L405" s="2">
        <f t="shared" si="165"/>
        <v>9.2133247684528232</v>
      </c>
      <c r="M405" s="2">
        <f t="shared" si="166"/>
        <v>3400.07</v>
      </c>
      <c r="N405">
        <f t="shared" si="167"/>
        <v>1.2988957582526074E-8</v>
      </c>
      <c r="O405" s="2">
        <v>54156</v>
      </c>
      <c r="P405" s="2">
        <v>1</v>
      </c>
      <c r="Y405">
        <f t="shared" si="168"/>
        <v>28098.570314802011</v>
      </c>
      <c r="Z405">
        <f t="shared" si="169"/>
        <v>208563.16255849635</v>
      </c>
    </row>
    <row r="406" spans="1:26" x14ac:dyDescent="0.2">
      <c r="A406" s="2">
        <v>393</v>
      </c>
      <c r="B406" s="2">
        <f t="shared" si="155"/>
        <v>15.750240805149552</v>
      </c>
      <c r="C406" s="2">
        <f t="shared" si="156"/>
        <v>-6.8878378123421046E-4</v>
      </c>
      <c r="D406" s="2">
        <f t="shared" si="157"/>
        <v>5842.428624841581</v>
      </c>
      <c r="E406" s="2">
        <f t="shared" si="158"/>
        <v>2.6707685707031706E-2</v>
      </c>
      <c r="F406" s="8">
        <f t="shared" si="159"/>
        <v>5660.7771855758338</v>
      </c>
      <c r="G406" s="2">
        <f t="shared" si="160"/>
        <v>1031167.1634782804</v>
      </c>
      <c r="H406" s="2">
        <f t="shared" si="161"/>
        <v>156.01919783969959</v>
      </c>
      <c r="I406" s="2">
        <f t="shared" si="162"/>
        <v>202319.18175633604</v>
      </c>
      <c r="J406" s="2">
        <f t="shared" si="163"/>
        <v>7.4874223728736074E-13</v>
      </c>
      <c r="K406" s="2">
        <f t="shared" si="164"/>
        <v>2.1076492783872057E-5</v>
      </c>
      <c r="L406" s="2">
        <f t="shared" si="165"/>
        <v>9.2128878782476242</v>
      </c>
      <c r="M406" s="2">
        <f t="shared" si="166"/>
        <v>3385.54</v>
      </c>
      <c r="N406">
        <f t="shared" si="167"/>
        <v>1.2778773369881525E-8</v>
      </c>
      <c r="O406" s="2">
        <v>54156</v>
      </c>
      <c r="P406" s="2">
        <v>1</v>
      </c>
      <c r="Y406">
        <f t="shared" si="168"/>
        <v>27536.814570649887</v>
      </c>
      <c r="Z406">
        <f t="shared" si="169"/>
        <v>208719.18175633604</v>
      </c>
    </row>
    <row r="407" spans="1:26" x14ac:dyDescent="0.2">
      <c r="A407" s="2">
        <v>394</v>
      </c>
      <c r="B407" s="2">
        <f t="shared" si="155"/>
        <v>15.825543791677967</v>
      </c>
      <c r="C407" s="2">
        <f t="shared" si="156"/>
        <v>-6.8211316986186116E-4</v>
      </c>
      <c r="D407" s="2">
        <f t="shared" si="157"/>
        <v>5858.1788656467306</v>
      </c>
      <c r="E407" s="2">
        <f t="shared" si="158"/>
        <v>2.6018901925797495E-2</v>
      </c>
      <c r="F407" s="8">
        <f t="shared" si="159"/>
        <v>5676.009355768666</v>
      </c>
      <c r="G407" s="2">
        <f t="shared" si="160"/>
        <v>1036843.1728340491</v>
      </c>
      <c r="H407" s="2">
        <f t="shared" si="161"/>
        <v>152.40618393829973</v>
      </c>
      <c r="I407" s="2">
        <f t="shared" si="162"/>
        <v>202471.58794027433</v>
      </c>
      <c r="J407" s="2">
        <f t="shared" si="163"/>
        <v>7.3304684024266422E-13</v>
      </c>
      <c r="K407" s="2">
        <f t="shared" si="164"/>
        <v>2.0746085429577438E-5</v>
      </c>
      <c r="L407" s="2">
        <f t="shared" si="165"/>
        <v>9.21246113532926</v>
      </c>
      <c r="M407" s="2">
        <f t="shared" si="166"/>
        <v>3371.01</v>
      </c>
      <c r="N407">
        <f t="shared" si="167"/>
        <v>1.2578445889234271E-8</v>
      </c>
      <c r="O407" s="2">
        <v>54156</v>
      </c>
      <c r="P407" s="2">
        <v>1</v>
      </c>
      <c r="Y407">
        <f t="shared" si="168"/>
        <v>26974.47704111223</v>
      </c>
      <c r="Z407">
        <f t="shared" si="169"/>
        <v>208871.58794027433</v>
      </c>
    </row>
    <row r="408" spans="1:26" x14ac:dyDescent="0.2">
      <c r="A408" s="2">
        <v>395</v>
      </c>
      <c r="B408" s="2">
        <f t="shared" si="155"/>
        <v>15.901381565374354</v>
      </c>
      <c r="C408" s="2">
        <f t="shared" si="156"/>
        <v>-6.7543480231852361E-4</v>
      </c>
      <c r="D408" s="2">
        <f t="shared" si="157"/>
        <v>5874.0044094384084</v>
      </c>
      <c r="E408" s="2">
        <f t="shared" si="158"/>
        <v>2.5336788755935633E-2</v>
      </c>
      <c r="F408" s="8">
        <f t="shared" si="159"/>
        <v>5691.3137817175921</v>
      </c>
      <c r="G408" s="2">
        <f t="shared" si="160"/>
        <v>1042534.4866157667</v>
      </c>
      <c r="H408" s="2">
        <f t="shared" si="161"/>
        <v>148.81248591390849</v>
      </c>
      <c r="I408" s="2">
        <f t="shared" si="162"/>
        <v>202620.40042618825</v>
      </c>
      <c r="J408" s="2">
        <f t="shared" si="163"/>
        <v>7.1803905598838E-13</v>
      </c>
      <c r="K408" s="2">
        <f t="shared" si="164"/>
        <v>2.0431289808603166E-5</v>
      </c>
      <c r="L408" s="2">
        <f t="shared" si="165"/>
        <v>9.2120444835066113</v>
      </c>
      <c r="M408" s="2">
        <f t="shared" si="166"/>
        <v>3356.48</v>
      </c>
      <c r="N408">
        <f t="shared" si="167"/>
        <v>1.2387583873456222E-8</v>
      </c>
      <c r="O408" s="2">
        <v>54156</v>
      </c>
      <c r="P408" s="2">
        <v>1</v>
      </c>
      <c r="Y408">
        <f t="shared" si="168"/>
        <v>26411.650007444576</v>
      </c>
      <c r="Z408">
        <f t="shared" si="169"/>
        <v>209020.40042618825</v>
      </c>
    </row>
    <row r="409" spans="1:26" x14ac:dyDescent="0.2">
      <c r="A409" s="2">
        <v>396</v>
      </c>
      <c r="B409" s="2">
        <f t="shared" si="155"/>
        <v>15.9777618651728</v>
      </c>
      <c r="C409" s="2">
        <f t="shared" si="156"/>
        <v>-6.6874859384068533E-4</v>
      </c>
      <c r="D409" s="2">
        <f t="shared" si="157"/>
        <v>5889.9057910037827</v>
      </c>
      <c r="E409" s="2">
        <f t="shared" si="158"/>
        <v>2.4661353953617109E-2</v>
      </c>
      <c r="F409" s="8">
        <f t="shared" si="159"/>
        <v>5706.6910357950092</v>
      </c>
      <c r="G409" s="2">
        <f t="shared" si="160"/>
        <v>1048241.1776515617</v>
      </c>
      <c r="H409" s="2">
        <f t="shared" si="161"/>
        <v>145.23832852206033</v>
      </c>
      <c r="I409" s="2">
        <f t="shared" si="162"/>
        <v>202765.63875471032</v>
      </c>
      <c r="J409" s="2">
        <f t="shared" si="163"/>
        <v>7.0368805130294486E-13</v>
      </c>
      <c r="K409" s="2">
        <f t="shared" si="164"/>
        <v>2.0131496215345006E-5</v>
      </c>
      <c r="L409" s="2">
        <f t="shared" si="165"/>
        <v>9.2116378660240148</v>
      </c>
      <c r="M409" s="2">
        <f t="shared" si="166"/>
        <v>3341.9500000000003</v>
      </c>
      <c r="N409">
        <f t="shared" si="167"/>
        <v>1.2205817655268344E-8</v>
      </c>
      <c r="O409" s="2">
        <v>54156</v>
      </c>
      <c r="P409" s="2">
        <v>1</v>
      </c>
      <c r="Y409">
        <f t="shared" si="168"/>
        <v>25848.426431989366</v>
      </c>
      <c r="Z409">
        <f t="shared" si="169"/>
        <v>209165.63875471032</v>
      </c>
    </row>
    <row r="410" spans="1:26" x14ac:dyDescent="0.2">
      <c r="A410" s="2">
        <v>397</v>
      </c>
      <c r="B410" s="2">
        <f t="shared" si="155"/>
        <v>16.054692564895987</v>
      </c>
      <c r="C410" s="2">
        <f t="shared" si="156"/>
        <v>-6.6205445742143474E-4</v>
      </c>
      <c r="D410" s="2">
        <f t="shared" si="157"/>
        <v>5905.8835528689551</v>
      </c>
      <c r="E410" s="2">
        <f t="shared" si="158"/>
        <v>2.3992605359776424E-2</v>
      </c>
      <c r="F410" s="8">
        <f t="shared" si="159"/>
        <v>5722.1416976096889</v>
      </c>
      <c r="G410" s="2">
        <f t="shared" si="160"/>
        <v>1053963.3193491714</v>
      </c>
      <c r="H410" s="2">
        <f t="shared" si="161"/>
        <v>141.68393919397846</v>
      </c>
      <c r="I410" s="2">
        <f t="shared" si="162"/>
        <v>202907.32269390431</v>
      </c>
      <c r="J410" s="2">
        <f t="shared" si="163"/>
        <v>6.8996468273724196E-13</v>
      </c>
      <c r="K410" s="2">
        <f t="shared" si="164"/>
        <v>1.9846128583050257E-5</v>
      </c>
      <c r="L410" s="2">
        <f t="shared" si="165"/>
        <v>9.2112412255531062</v>
      </c>
      <c r="M410" s="2">
        <f t="shared" si="166"/>
        <v>3327.42</v>
      </c>
      <c r="N410">
        <f t="shared" si="167"/>
        <v>1.2032797962780195E-8</v>
      </c>
      <c r="O410" s="2">
        <v>54156</v>
      </c>
      <c r="P410" s="2">
        <v>1</v>
      </c>
      <c r="Y410">
        <f t="shared" si="168"/>
        <v>25284.899967052374</v>
      </c>
      <c r="Z410">
        <f t="shared" si="169"/>
        <v>209307.32269390431</v>
      </c>
    </row>
    <row r="411" spans="1:26" x14ac:dyDescent="0.2">
      <c r="A411" s="2">
        <v>398</v>
      </c>
      <c r="B411" s="2">
        <f t="shared" si="155"/>
        <v>16.132181676214486</v>
      </c>
      <c r="C411" s="2">
        <f t="shared" si="156"/>
        <v>-6.5535230379330995E-4</v>
      </c>
      <c r="D411" s="2">
        <f t="shared" si="157"/>
        <v>5921.9382454338511</v>
      </c>
      <c r="E411" s="2">
        <f t="shared" si="158"/>
        <v>2.3330550902354988E-2</v>
      </c>
      <c r="F411" s="8">
        <f t="shared" si="159"/>
        <v>5737.6663541291418</v>
      </c>
      <c r="G411" s="2">
        <f t="shared" si="160"/>
        <v>1059700.9857033005</v>
      </c>
      <c r="H411" s="2">
        <f t="shared" si="161"/>
        <v>138.1495480769849</v>
      </c>
      <c r="I411" s="2">
        <f t="shared" si="162"/>
        <v>203045.4722419813</v>
      </c>
      <c r="J411" s="2">
        <f t="shared" si="163"/>
        <v>6.768413966895232E-13</v>
      </c>
      <c r="K411" s="2">
        <f t="shared" si="164"/>
        <v>1.9574642623460582E-5</v>
      </c>
      <c r="L411" s="2">
        <f t="shared" si="165"/>
        <v>9.2108545041844696</v>
      </c>
      <c r="M411" s="2">
        <f t="shared" si="166"/>
        <v>3312.8900000000003</v>
      </c>
      <c r="N411">
        <f t="shared" si="167"/>
        <v>1.1868194791546884E-8</v>
      </c>
      <c r="O411" s="2">
        <v>54156</v>
      </c>
      <c r="P411" s="2">
        <v>1</v>
      </c>
      <c r="Y411">
        <f t="shared" si="168"/>
        <v>24721.164963941806</v>
      </c>
      <c r="Z411">
        <f t="shared" si="169"/>
        <v>209445.4722419813</v>
      </c>
    </row>
    <row r="412" spans="1:26" x14ac:dyDescent="0.2">
      <c r="A412" s="2">
        <v>399</v>
      </c>
      <c r="B412" s="2">
        <f t="shared" si="155"/>
        <v>16.210237351684889</v>
      </c>
      <c r="C412" s="2">
        <f t="shared" si="156"/>
        <v>-6.4864204141061946E-4</v>
      </c>
      <c r="D412" s="2">
        <f t="shared" si="157"/>
        <v>5938.0704271100658</v>
      </c>
      <c r="E412" s="2">
        <f t="shared" si="158"/>
        <v>2.2675198598561676E-2</v>
      </c>
      <c r="F412" s="8">
        <f t="shared" si="159"/>
        <v>5753.2655998046848</v>
      </c>
      <c r="G412" s="2">
        <f t="shared" si="160"/>
        <v>1065454.2513031051</v>
      </c>
      <c r="H412" s="2">
        <f t="shared" si="161"/>
        <v>134.63538807572883</v>
      </c>
      <c r="I412" s="2">
        <f t="shared" si="162"/>
        <v>203180.10763005703</v>
      </c>
      <c r="J412" s="2">
        <f t="shared" si="163"/>
        <v>6.642921359440343E-13</v>
      </c>
      <c r="K412" s="2">
        <f t="shared" si="164"/>
        <v>1.9316524084153814E-5</v>
      </c>
      <c r="L412" s="2">
        <f t="shared" si="165"/>
        <v>9.2104776434192015</v>
      </c>
      <c r="M412" s="2">
        <f t="shared" si="166"/>
        <v>3298.36</v>
      </c>
      <c r="N412">
        <f t="shared" si="167"/>
        <v>1.1711696347987527E-8</v>
      </c>
      <c r="O412" s="2">
        <v>54156</v>
      </c>
      <c r="P412" s="2">
        <v>1</v>
      </c>
      <c r="Y412">
        <f t="shared" si="168"/>
        <v>24157.316482172744</v>
      </c>
      <c r="Z412">
        <f t="shared" si="169"/>
        <v>209580.10763005703</v>
      </c>
    </row>
    <row r="413" spans="1:26" x14ac:dyDescent="0.2">
      <c r="A413" s="2">
        <v>400</v>
      </c>
      <c r="B413" s="2">
        <f t="shared" si="155"/>
        <v>16.288867887869042</v>
      </c>
      <c r="C413" s="2">
        <f t="shared" si="156"/>
        <v>-6.4192357643122065E-4</v>
      </c>
      <c r="D413" s="2">
        <f t="shared" si="157"/>
        <v>5954.2806644617503</v>
      </c>
      <c r="E413" s="2">
        <f t="shared" si="158"/>
        <v>2.2026556557151057E-2</v>
      </c>
      <c r="F413" s="8">
        <f t="shared" si="159"/>
        <v>5768.9400366992586</v>
      </c>
      <c r="G413" s="2">
        <f t="shared" si="160"/>
        <v>1071223.1913398043</v>
      </c>
      <c r="H413" s="2">
        <f t="shared" si="161"/>
        <v>131.14169489425322</v>
      </c>
      <c r="I413" s="2">
        <f t="shared" si="162"/>
        <v>203311.24932495129</v>
      </c>
      <c r="J413" s="2">
        <f t="shared" si="163"/>
        <v>6.5229225222413562E-13</v>
      </c>
      <c r="K413" s="2">
        <f t="shared" si="164"/>
        <v>1.9071287115686577E-5</v>
      </c>
      <c r="L413" s="2">
        <f t="shared" si="165"/>
        <v>9.2101105841603825</v>
      </c>
      <c r="M413" s="2">
        <f t="shared" si="166"/>
        <v>3283.83</v>
      </c>
      <c r="N413">
        <f t="shared" si="167"/>
        <v>1.1563008059376358E-8</v>
      </c>
      <c r="O413" s="2">
        <v>54156</v>
      </c>
      <c r="P413" s="2">
        <v>1</v>
      </c>
      <c r="Y413">
        <f t="shared" si="168"/>
        <v>23593.450298841912</v>
      </c>
      <c r="Z413">
        <f t="shared" si="169"/>
        <v>209711.24932495129</v>
      </c>
    </row>
    <row r="414" spans="1:26" x14ac:dyDescent="0.2">
      <c r="A414" s="2">
        <v>401</v>
      </c>
      <c r="B414" s="2">
        <f t="shared" si="155"/>
        <v>16.368081728536993</v>
      </c>
      <c r="C414" s="2">
        <f t="shared" si="156"/>
        <v>-6.3519681269772008E-4</v>
      </c>
      <c r="D414" s="2">
        <f t="shared" si="157"/>
        <v>5970.5695323496193</v>
      </c>
      <c r="E414" s="2">
        <f t="shared" si="158"/>
        <v>2.1384632980719836E-2</v>
      </c>
      <c r="F414" s="8">
        <f t="shared" si="159"/>
        <v>5784.6902746180895</v>
      </c>
      <c r="G414" s="2">
        <f t="shared" si="160"/>
        <v>1077007.8816144224</v>
      </c>
      <c r="H414" s="2">
        <f t="shared" si="161"/>
        <v>127.66870707892008</v>
      </c>
      <c r="I414" s="2">
        <f t="shared" si="162"/>
        <v>203438.91803203023</v>
      </c>
      <c r="J414" s="2">
        <f t="shared" si="163"/>
        <v>6.4081842434391611E-13</v>
      </c>
      <c r="K414" s="2">
        <f t="shared" si="164"/>
        <v>1.8838472741207737E-5</v>
      </c>
      <c r="L414" s="2">
        <f t="shared" si="165"/>
        <v>9.209753266704336</v>
      </c>
      <c r="M414" s="2">
        <f t="shared" si="166"/>
        <v>3269.3</v>
      </c>
      <c r="N414">
        <f t="shared" si="167"/>
        <v>1.1421851645962433E-8</v>
      </c>
      <c r="O414" s="2">
        <v>54156</v>
      </c>
      <c r="P414" s="2">
        <v>1</v>
      </c>
      <c r="Y414">
        <f t="shared" si="168"/>
        <v>23029.662918172206</v>
      </c>
      <c r="Z414">
        <f t="shared" si="169"/>
        <v>209838.91803203023</v>
      </c>
    </row>
    <row r="415" spans="1:26" x14ac:dyDescent="0.2">
      <c r="A415" s="2">
        <v>402</v>
      </c>
      <c r="B415" s="2">
        <f t="shared" si="155"/>
        <v>16.44788746795626</v>
      </c>
      <c r="C415" s="2">
        <f t="shared" si="156"/>
        <v>-6.2846165171811358E-4</v>
      </c>
      <c r="D415" s="2">
        <f t="shared" si="157"/>
        <v>5986.937614078156</v>
      </c>
      <c r="E415" s="2">
        <f t="shared" si="158"/>
        <v>2.0749436168022117E-2</v>
      </c>
      <c r="F415" s="8">
        <f t="shared" si="159"/>
        <v>5800.5169312422613</v>
      </c>
      <c r="G415" s="2">
        <f t="shared" si="160"/>
        <v>1082808.3985456647</v>
      </c>
      <c r="H415" s="2">
        <f t="shared" si="161"/>
        <v>124.21666606221578</v>
      </c>
      <c r="I415" s="2">
        <f t="shared" si="162"/>
        <v>203563.13469809244</v>
      </c>
      <c r="J415" s="2">
        <f t="shared" si="163"/>
        <v>6.2984858157258295E-13</v>
      </c>
      <c r="K415" s="2">
        <f t="shared" si="164"/>
        <v>1.8617647421728321E-5</v>
      </c>
      <c r="L415" s="2">
        <f t="shared" si="165"/>
        <v>9.2094056307318528</v>
      </c>
      <c r="M415" s="2">
        <f t="shared" si="166"/>
        <v>3254.77</v>
      </c>
      <c r="N415">
        <f t="shared" si="167"/>
        <v>1.1287964251086256E-8</v>
      </c>
      <c r="O415" s="2">
        <v>54156</v>
      </c>
      <c r="P415" s="2">
        <v>1</v>
      </c>
      <c r="Y415">
        <f t="shared" si="168"/>
        <v>22466.051581233929</v>
      </c>
      <c r="Z415">
        <f t="shared" si="169"/>
        <v>209963.13469809244</v>
      </c>
    </row>
    <row r="416" spans="1:26" x14ac:dyDescent="0.2">
      <c r="A416" s="2">
        <v>403</v>
      </c>
      <c r="B416" s="2">
        <f t="shared" si="155"/>
        <v>16.528293854270096</v>
      </c>
      <c r="C416" s="2">
        <f t="shared" si="156"/>
        <v>-6.2171799264582018E-4</v>
      </c>
      <c r="D416" s="2">
        <f t="shared" si="157"/>
        <v>6003.3855015461122</v>
      </c>
      <c r="E416" s="2">
        <f t="shared" si="158"/>
        <v>2.0120974516304003E-2</v>
      </c>
      <c r="F416" s="8">
        <f t="shared" si="159"/>
        <v>5816.4206322652781</v>
      </c>
      <c r="G416" s="2">
        <f t="shared" si="160"/>
        <v>1088624.81917793</v>
      </c>
      <c r="H416" s="2">
        <f t="shared" si="161"/>
        <v>120.78581620745715</v>
      </c>
      <c r="I416" s="2">
        <f t="shared" si="162"/>
        <v>203683.92051429991</v>
      </c>
      <c r="J416" s="2">
        <f t="shared" si="163"/>
        <v>6.1936183185413886E-13</v>
      </c>
      <c r="K416" s="2">
        <f t="shared" si="164"/>
        <v>1.8408401710718428E-5</v>
      </c>
      <c r="L416" s="2">
        <f t="shared" si="165"/>
        <v>9.2090676152992152</v>
      </c>
      <c r="M416" s="2">
        <f t="shared" si="166"/>
        <v>3240.2400000000002</v>
      </c>
      <c r="N416">
        <f t="shared" si="167"/>
        <v>1.1161097625455771E-8</v>
      </c>
      <c r="O416" s="2">
        <v>54156</v>
      </c>
      <c r="P416" s="2">
        <v>1</v>
      </c>
      <c r="Y416">
        <f t="shared" si="168"/>
        <v>21902.714275842882</v>
      </c>
      <c r="Z416">
        <f t="shared" si="169"/>
        <v>210083.92051429991</v>
      </c>
    </row>
    <row r="417" spans="1:26" x14ac:dyDescent="0.2">
      <c r="A417" s="2">
        <v>404</v>
      </c>
      <c r="B417" s="2">
        <f t="shared" si="155"/>
        <v>16.609309792967569</v>
      </c>
      <c r="C417" s="2">
        <f t="shared" si="156"/>
        <v>-6.1496573225911335E-4</v>
      </c>
      <c r="D417" s="2">
        <f t="shared" si="157"/>
        <v>6019.9137954003827</v>
      </c>
      <c r="E417" s="2">
        <f t="shared" si="158"/>
        <v>1.9499256523658182E-2</v>
      </c>
      <c r="F417" s="8">
        <f t="shared" si="159"/>
        <v>5832.4020115326966</v>
      </c>
      <c r="G417" s="2">
        <f t="shared" si="160"/>
        <v>1094457.2211894628</v>
      </c>
      <c r="H417" s="2">
        <f t="shared" si="161"/>
        <v>117.37640485442155</v>
      </c>
      <c r="I417" s="2">
        <f t="shared" si="162"/>
        <v>203801.29691915432</v>
      </c>
      <c r="J417" s="2">
        <f t="shared" si="163"/>
        <v>6.0933839455073465E-13</v>
      </c>
      <c r="K417" s="2">
        <f t="shared" si="164"/>
        <v>1.8210348992144875E-5</v>
      </c>
      <c r="L417" s="2">
        <f t="shared" si="165"/>
        <v>9.208739158829129</v>
      </c>
      <c r="M417" s="2">
        <f t="shared" si="166"/>
        <v>3225.71</v>
      </c>
      <c r="N417">
        <f t="shared" si="167"/>
        <v>1.1041017362012842E-8</v>
      </c>
      <c r="O417" s="2">
        <v>54156</v>
      </c>
      <c r="P417" s="2">
        <v>1</v>
      </c>
      <c r="Y417">
        <f t="shared" si="168"/>
        <v>21339.749746638419</v>
      </c>
      <c r="Z417">
        <f t="shared" si="169"/>
        <v>210201.29691915432</v>
      </c>
    </row>
    <row r="418" spans="1:26" x14ac:dyDescent="0.2">
      <c r="A418" s="2">
        <v>405</v>
      </c>
      <c r="B418" s="2">
        <f t="shared" si="155"/>
        <v>16.690944350448405</v>
      </c>
      <c r="C418" s="2">
        <f t="shared" si="156"/>
        <v>-6.0820476493992129E-4</v>
      </c>
      <c r="D418" s="2">
        <f t="shared" si="157"/>
        <v>6036.5231051933506</v>
      </c>
      <c r="E418" s="2">
        <f t="shared" si="158"/>
        <v>1.8884290791399069E-2</v>
      </c>
      <c r="F418" s="8">
        <f t="shared" si="159"/>
        <v>5848.4617111849184</v>
      </c>
      <c r="G418" s="2">
        <f t="shared" si="160"/>
        <v>1100305.6829006476</v>
      </c>
      <c r="H418" s="2">
        <f t="shared" si="161"/>
        <v>113.98868236592322</v>
      </c>
      <c r="I418" s="2">
        <f t="shared" si="162"/>
        <v>203915.28560152024</v>
      </c>
      <c r="J418" s="2">
        <f t="shared" si="163"/>
        <v>5.9975953740196991E-13</v>
      </c>
      <c r="K418" s="2">
        <f t="shared" si="164"/>
        <v>1.8023124296473084E-5</v>
      </c>
      <c r="L418" s="2">
        <f t="shared" si="165"/>
        <v>9.208420199101484</v>
      </c>
      <c r="M418" s="2">
        <f t="shared" si="166"/>
        <v>3211.1800000000003</v>
      </c>
      <c r="N418">
        <f t="shared" si="167"/>
        <v>1.0927502178069828E-8</v>
      </c>
      <c r="O418" s="2">
        <v>54156</v>
      </c>
      <c r="P418" s="2">
        <v>1</v>
      </c>
      <c r="Y418">
        <f t="shared" si="168"/>
        <v>20777.257505347585</v>
      </c>
      <c r="Z418">
        <f t="shared" si="169"/>
        <v>210315.28560152024</v>
      </c>
    </row>
    <row r="419" spans="1:26" x14ac:dyDescent="0.2">
      <c r="A419" s="2">
        <v>406</v>
      </c>
      <c r="B419" s="2">
        <f t="shared" si="155"/>
        <v>16.773206757685536</v>
      </c>
      <c r="C419" s="2">
        <f t="shared" si="156"/>
        <v>-6.0143498265198938E-4</v>
      </c>
      <c r="D419" s="2">
        <f t="shared" si="157"/>
        <v>6053.2140495437989</v>
      </c>
      <c r="E419" s="2">
        <f t="shared" si="158"/>
        <v>1.8276086026459148E-2</v>
      </c>
      <c r="F419" s="8">
        <f t="shared" si="159"/>
        <v>5864.6003818032123</v>
      </c>
      <c r="G419" s="2">
        <f t="shared" si="160"/>
        <v>1106170.2832824509</v>
      </c>
      <c r="H419" s="2">
        <f t="shared" si="161"/>
        <v>110.62290217535963</v>
      </c>
      <c r="I419" s="2">
        <f t="shared" si="162"/>
        <v>204025.90850369559</v>
      </c>
      <c r="J419" s="2">
        <f t="shared" si="163"/>
        <v>5.9060751741457943E-13</v>
      </c>
      <c r="K419" s="2">
        <f t="shared" si="164"/>
        <v>1.7846383189539315E-5</v>
      </c>
      <c r="L419" s="2">
        <f t="shared" si="165"/>
        <v>9.2081106732440023</v>
      </c>
      <c r="M419" s="2">
        <f t="shared" si="166"/>
        <v>3196.65</v>
      </c>
      <c r="N419">
        <f t="shared" si="167"/>
        <v>1.0820343241627761E-8</v>
      </c>
      <c r="O419" s="2">
        <v>54156</v>
      </c>
      <c r="P419" s="2">
        <v>1</v>
      </c>
      <c r="Y419">
        <f t="shared" si="168"/>
        <v>20215.337841236218</v>
      </c>
      <c r="Z419">
        <f t="shared" si="169"/>
        <v>210425.90850369559</v>
      </c>
    </row>
    <row r="420" spans="1:26" x14ac:dyDescent="0.2">
      <c r="A420" s="2">
        <v>407</v>
      </c>
      <c r="B420" s="2">
        <f t="shared" si="155"/>
        <v>16.856106413988538</v>
      </c>
      <c r="C420" s="2">
        <f t="shared" si="156"/>
        <v>-5.9465627491837728E-4</v>
      </c>
      <c r="D420" s="2">
        <f t="shared" si="157"/>
        <v>6069.9872563014842</v>
      </c>
      <c r="E420" s="2">
        <f t="shared" si="158"/>
        <v>1.7674651043807159E-2</v>
      </c>
      <c r="F420" s="8">
        <f t="shared" si="159"/>
        <v>5880.818682559091</v>
      </c>
      <c r="G420" s="2">
        <f t="shared" si="160"/>
        <v>1112051.1019650099</v>
      </c>
      <c r="H420" s="2">
        <f t="shared" si="161"/>
        <v>107.27932083525238</v>
      </c>
      <c r="I420" s="2">
        <f t="shared" si="162"/>
        <v>204133.18782453085</v>
      </c>
      <c r="J420" s="2">
        <f t="shared" si="163"/>
        <v>5.818655254173037E-13</v>
      </c>
      <c r="K420" s="2">
        <f t="shared" si="164"/>
        <v>1.7679800729549396E-5</v>
      </c>
      <c r="L420" s="2">
        <f t="shared" si="165"/>
        <v>9.2078105177227361</v>
      </c>
      <c r="M420" s="2">
        <f t="shared" si="166"/>
        <v>3182.1200000000003</v>
      </c>
      <c r="N420">
        <f t="shared" si="167"/>
        <v>1.071934353899994E-8</v>
      </c>
      <c r="O420" s="2">
        <v>54156</v>
      </c>
      <c r="P420" s="2">
        <v>1</v>
      </c>
      <c r="Y420">
        <f t="shared" si="168"/>
        <v>19654.091831749734</v>
      </c>
      <c r="Z420">
        <f t="shared" si="169"/>
        <v>210533.18782453085</v>
      </c>
    </row>
    <row r="421" spans="1:26" x14ac:dyDescent="0.2">
      <c r="A421" s="2">
        <v>408</v>
      </c>
      <c r="B421" s="2">
        <f t="shared" si="155"/>
        <v>16.939652890871148</v>
      </c>
      <c r="C421" s="2">
        <f t="shared" si="156"/>
        <v>-5.8786852879828073E-4</v>
      </c>
      <c r="D421" s="2">
        <f t="shared" si="157"/>
        <v>6086.8433627154727</v>
      </c>
      <c r="E421" s="2">
        <f t="shared" si="158"/>
        <v>1.707999476888878E-2</v>
      </c>
      <c r="F421" s="8">
        <f t="shared" si="159"/>
        <v>5897.1172813670801</v>
      </c>
      <c r="G421" s="2">
        <f t="shared" si="160"/>
        <v>1117948.219246377</v>
      </c>
      <c r="H421" s="2">
        <f t="shared" si="161"/>
        <v>103.95819806680734</v>
      </c>
      <c r="I421" s="2">
        <f t="shared" si="162"/>
        <v>204237.14602259765</v>
      </c>
      <c r="J421" s="2">
        <f t="shared" si="163"/>
        <v>5.7351763403462206E-13</v>
      </c>
      <c r="K421" s="2">
        <f t="shared" si="164"/>
        <v>1.7523070487786721E-5</v>
      </c>
      <c r="L421" s="2">
        <f t="shared" si="165"/>
        <v>9.2075196683324076</v>
      </c>
      <c r="M421" s="2">
        <f t="shared" si="166"/>
        <v>3167.59</v>
      </c>
      <c r="N421">
        <f t="shared" si="167"/>
        <v>1.0624317281062729E-8</v>
      </c>
      <c r="O421" s="2">
        <v>54156</v>
      </c>
      <c r="P421" s="2">
        <v>1</v>
      </c>
      <c r="Y421">
        <f t="shared" si="168"/>
        <v>19093.621353351591</v>
      </c>
      <c r="Z421">
        <f t="shared" si="169"/>
        <v>210637.14602259765</v>
      </c>
    </row>
    <row r="422" spans="1:26" x14ac:dyDescent="0.2">
      <c r="A422" s="2">
        <v>409</v>
      </c>
      <c r="B422" s="2">
        <f t="shared" si="155"/>
        <v>17.023855936026262</v>
      </c>
      <c r="C422" s="2">
        <f t="shared" si="156"/>
        <v>-5.8107162886315595E-4</v>
      </c>
      <c r="D422" s="2">
        <f t="shared" si="157"/>
        <v>6103.7830156063437</v>
      </c>
      <c r="E422" s="2">
        <f t="shared" si="158"/>
        <v>1.6492126240090499E-2</v>
      </c>
      <c r="F422" s="8">
        <f t="shared" si="159"/>
        <v>5913.4968550410294</v>
      </c>
      <c r="G422" s="2">
        <f t="shared" si="160"/>
        <v>1123861.716101418</v>
      </c>
      <c r="H422" s="2">
        <f t="shared" si="161"/>
        <v>100.65979681051994</v>
      </c>
      <c r="I422" s="2">
        <f t="shared" si="162"/>
        <v>204337.80581940818</v>
      </c>
      <c r="J422" s="2">
        <f t="shared" si="163"/>
        <v>5.655487488503974E-13</v>
      </c>
      <c r="K422" s="2">
        <f t="shared" si="164"/>
        <v>1.7375903628911571E-5</v>
      </c>
      <c r="L422" s="2">
        <f t="shared" si="165"/>
        <v>9.2072380601866168</v>
      </c>
      <c r="M422" s="2">
        <f t="shared" si="166"/>
        <v>3153.06</v>
      </c>
      <c r="N422">
        <f t="shared" si="167"/>
        <v>1.0535089345636871E-8</v>
      </c>
      <c r="O422" s="2">
        <v>54156</v>
      </c>
      <c r="P422" s="2">
        <v>1</v>
      </c>
      <c r="Y422">
        <f t="shared" si="168"/>
        <v>18534.029092555116</v>
      </c>
      <c r="Z422">
        <f t="shared" si="169"/>
        <v>210737.80581940818</v>
      </c>
    </row>
    <row r="423" spans="1:26" x14ac:dyDescent="0.2">
      <c r="A423" s="2">
        <v>410</v>
      </c>
      <c r="B423" s="2">
        <f t="shared" si="155"/>
        <v>17.108725477411866</v>
      </c>
      <c r="C423" s="2">
        <f t="shared" si="156"/>
        <v>-5.7426545717212624E-4</v>
      </c>
      <c r="D423" s="2">
        <f t="shared" si="157"/>
        <v>6120.8068715423697</v>
      </c>
      <c r="E423" s="2">
        <f t="shared" si="158"/>
        <v>1.5911054611227344E-2</v>
      </c>
      <c r="F423" s="8">
        <f t="shared" si="159"/>
        <v>5929.9580894540231</v>
      </c>
      <c r="G423" s="2">
        <f t="shared" si="160"/>
        <v>1129791.6741908721</v>
      </c>
      <c r="H423" s="2">
        <f t="shared" si="161"/>
        <v>97.384383277852251</v>
      </c>
      <c r="I423" s="2">
        <f t="shared" si="162"/>
        <v>204435.19020268603</v>
      </c>
      <c r="J423" s="2">
        <f t="shared" si="163"/>
        <v>5.5794456254866618E-13</v>
      </c>
      <c r="K423" s="2">
        <f t="shared" si="164"/>
        <v>1.7238028047015258E-5</v>
      </c>
      <c r="L423" s="2">
        <f t="shared" si="165"/>
        <v>9.2069656277078895</v>
      </c>
      <c r="M423" s="2">
        <f t="shared" si="166"/>
        <v>3138.53</v>
      </c>
      <c r="N423">
        <f t="shared" si="167"/>
        <v>1.0451494753673177E-8</v>
      </c>
      <c r="O423" s="2">
        <v>54156</v>
      </c>
      <c r="P423" s="2">
        <v>1</v>
      </c>
      <c r="Y423">
        <f t="shared" si="168"/>
        <v>17975.418557162517</v>
      </c>
      <c r="Z423">
        <f t="shared" si="169"/>
        <v>210835.19020268603</v>
      </c>
    </row>
    <row r="424" spans="1:26" x14ac:dyDescent="0.2">
      <c r="A424" s="2">
        <v>411</v>
      </c>
      <c r="B424" s="2">
        <f t="shared" si="155"/>
        <v>17.194271627451528</v>
      </c>
      <c r="C424" s="2">
        <f t="shared" si="156"/>
        <v>-5.6744989324665571E-4</v>
      </c>
      <c r="D424" s="2">
        <f t="shared" si="157"/>
        <v>6137.9155970197817</v>
      </c>
      <c r="E424" s="2">
        <f t="shared" si="158"/>
        <v>1.5336789154055218E-2</v>
      </c>
      <c r="F424" s="8">
        <f t="shared" si="159"/>
        <v>5946.5016797020162</v>
      </c>
      <c r="G424" s="2">
        <f t="shared" si="160"/>
        <v>1135738.1758705741</v>
      </c>
      <c r="H424" s="2">
        <f t="shared" si="161"/>
        <v>94.132227004009152</v>
      </c>
      <c r="I424" s="2">
        <f t="shared" si="162"/>
        <v>204529.32242969004</v>
      </c>
      <c r="J424" s="2">
        <f t="shared" si="163"/>
        <v>5.5069151183362757E-13</v>
      </c>
      <c r="K424" s="2">
        <f t="shared" si="164"/>
        <v>1.7109187553848013E-5</v>
      </c>
      <c r="L424" s="2">
        <f t="shared" si="165"/>
        <v>9.2067023046175702</v>
      </c>
      <c r="M424" s="2">
        <f t="shared" si="166"/>
        <v>3124</v>
      </c>
      <c r="N424">
        <f t="shared" si="167"/>
        <v>1.0373378177071407E-8</v>
      </c>
      <c r="O424" s="2">
        <v>54156</v>
      </c>
      <c r="P424" s="2">
        <v>1</v>
      </c>
      <c r="Y424">
        <f t="shared" si="168"/>
        <v>17417.894087705896</v>
      </c>
      <c r="Z424">
        <f t="shared" si="169"/>
        <v>210929.32242969004</v>
      </c>
    </row>
    <row r="425" spans="1:26" x14ac:dyDescent="0.2">
      <c r="A425" s="2">
        <v>412</v>
      </c>
      <c r="B425" s="2">
        <f t="shared" si="155"/>
        <v>17.280504687353158</v>
      </c>
      <c r="C425" s="2">
        <f t="shared" si="156"/>
        <v>-5.6062481404446673E-4</v>
      </c>
      <c r="D425" s="2">
        <f t="shared" si="157"/>
        <v>6155.1098686472333</v>
      </c>
      <c r="E425" s="2">
        <f t="shared" si="158"/>
        <v>1.4769339260808562E-2</v>
      </c>
      <c r="F425" s="8">
        <f t="shared" si="159"/>
        <v>5963.1283302712864</v>
      </c>
      <c r="G425" s="2">
        <f t="shared" si="160"/>
        <v>1141701.3042008453</v>
      </c>
      <c r="H425" s="2">
        <f t="shared" si="161"/>
        <v>90.903600901841898</v>
      </c>
      <c r="I425" s="2">
        <f t="shared" si="162"/>
        <v>204620.22603059188</v>
      </c>
      <c r="J425" s="2">
        <f t="shared" si="163"/>
        <v>5.4377673694469783E-13</v>
      </c>
      <c r="K425" s="2">
        <f t="shared" si="164"/>
        <v>1.6989141115879886E-5</v>
      </c>
      <c r="L425" s="2">
        <f t="shared" si="165"/>
        <v>9.2064480239255726</v>
      </c>
      <c r="M425" s="2">
        <f t="shared" si="166"/>
        <v>3109.4700000000003</v>
      </c>
      <c r="N425">
        <f t="shared" si="167"/>
        <v>1.030059347610683E-8</v>
      </c>
      <c r="O425" s="2">
        <v>54156</v>
      </c>
      <c r="P425" s="2">
        <v>1</v>
      </c>
      <c r="Y425">
        <f t="shared" si="168"/>
        <v>16861.560869098899</v>
      </c>
      <c r="Z425">
        <f t="shared" si="169"/>
        <v>211020.22603059188</v>
      </c>
    </row>
    <row r="426" spans="1:26" x14ac:dyDescent="0.2">
      <c r="A426" s="2">
        <v>413</v>
      </c>
      <c r="B426" s="2">
        <f t="shared" si="155"/>
        <v>17.367435151549998</v>
      </c>
      <c r="C426" s="2">
        <f t="shared" si="156"/>
        <v>-5.5379009393267725E-4</v>
      </c>
      <c r="D426" s="2">
        <f t="shared" si="157"/>
        <v>6172.390373334586</v>
      </c>
      <c r="E426" s="2">
        <f t="shared" si="158"/>
        <v>1.4208714446764095E-2</v>
      </c>
      <c r="F426" s="8">
        <f t="shared" si="159"/>
        <v>5979.838755209812</v>
      </c>
      <c r="G426" s="2">
        <f t="shared" si="160"/>
        <v>1147681.142956055</v>
      </c>
      <c r="H426" s="2">
        <f t="shared" si="161"/>
        <v>87.698781316907969</v>
      </c>
      <c r="I426" s="2">
        <f t="shared" si="162"/>
        <v>204707.92481190877</v>
      </c>
      <c r="J426" s="2">
        <f t="shared" si="163"/>
        <v>5.3718804359525072E-13</v>
      </c>
      <c r="K426" s="2">
        <f t="shared" si="164"/>
        <v>1.687766213707512E-5</v>
      </c>
      <c r="L426" s="2">
        <f t="shared" si="165"/>
        <v>9.2062027179199344</v>
      </c>
      <c r="M426" s="2">
        <f t="shared" si="166"/>
        <v>3094.94</v>
      </c>
      <c r="N426">
        <f t="shared" si="167"/>
        <v>1.0233003264573058E-8</v>
      </c>
      <c r="O426" s="2">
        <v>54156</v>
      </c>
      <c r="P426" s="2">
        <v>1</v>
      </c>
      <c r="Y426">
        <f t="shared" si="168"/>
        <v>16306.52494250257</v>
      </c>
      <c r="Z426">
        <f t="shared" si="169"/>
        <v>211107.92481190877</v>
      </c>
    </row>
    <row r="427" spans="1:26" x14ac:dyDescent="0.2">
      <c r="A427" s="2">
        <v>414</v>
      </c>
      <c r="B427" s="2">
        <f t="shared" si="155"/>
        <v>17.455073712267801</v>
      </c>
      <c r="C427" s="2">
        <f t="shared" si="156"/>
        <v>-5.4694560466014483E-4</v>
      </c>
      <c r="D427" s="2">
        <f t="shared" si="157"/>
        <v>6189.7578084861361</v>
      </c>
      <c r="E427" s="2">
        <f t="shared" si="158"/>
        <v>1.3654924352831417E-2</v>
      </c>
      <c r="F427" s="8">
        <f t="shared" si="159"/>
        <v>5996.6336783027054</v>
      </c>
      <c r="G427" s="2">
        <f t="shared" si="160"/>
        <v>1153677.7766343576</v>
      </c>
      <c r="H427" s="2">
        <f t="shared" si="161"/>
        <v>84.518048083717446</v>
      </c>
      <c r="I427" s="2">
        <f t="shared" si="162"/>
        <v>204792.4428599925</v>
      </c>
      <c r="J427" s="2">
        <f t="shared" si="163"/>
        <v>5.3091386717541033E-13</v>
      </c>
      <c r="K427" s="2">
        <f t="shared" si="164"/>
        <v>1.677453778446376E-5</v>
      </c>
      <c r="L427" s="2">
        <f t="shared" si="165"/>
        <v>9.2059663181562499</v>
      </c>
      <c r="M427" s="2">
        <f t="shared" si="166"/>
        <v>3080.4100000000003</v>
      </c>
      <c r="N427">
        <f t="shared" si="167"/>
        <v>1.0170478500873059E-8</v>
      </c>
      <c r="O427" s="2">
        <v>54156</v>
      </c>
      <c r="P427" s="2">
        <v>1</v>
      </c>
      <c r="Y427">
        <f t="shared" si="168"/>
        <v>15752.893217408007</v>
      </c>
      <c r="Z427">
        <f t="shared" si="169"/>
        <v>211192.4428599925</v>
      </c>
    </row>
    <row r="428" spans="1:26" x14ac:dyDescent="0.2">
      <c r="A428" s="2">
        <v>415</v>
      </c>
      <c r="B428" s="2">
        <f t="shared" si="155"/>
        <v>17.543431264222434</v>
      </c>
      <c r="C428" s="2">
        <f t="shared" si="156"/>
        <v>-5.4009121532898883E-4</v>
      </c>
      <c r="D428" s="2">
        <f t="shared" si="157"/>
        <v>6207.2128821984043</v>
      </c>
      <c r="E428" s="2">
        <f t="shared" si="158"/>
        <v>1.3107978748171272E-2</v>
      </c>
      <c r="F428" s="8">
        <f t="shared" si="159"/>
        <v>6013.5138332517781</v>
      </c>
      <c r="G428" s="2">
        <f t="shared" si="160"/>
        <v>1159691.2904676094</v>
      </c>
      <c r="H428" s="2">
        <f t="shared" si="161"/>
        <v>81.361684583196677</v>
      </c>
      <c r="I428" s="2">
        <f t="shared" si="162"/>
        <v>204873.80454457569</v>
      </c>
      <c r="J428" s="2">
        <f t="shared" si="163"/>
        <v>5.2494323907026116E-13</v>
      </c>
      <c r="K428" s="2">
        <f t="shared" si="164"/>
        <v>1.6679568353786283E-5</v>
      </c>
      <c r="L428" s="2">
        <f t="shared" si="165"/>
        <v>9.205738755446907</v>
      </c>
      <c r="M428" s="2">
        <f t="shared" si="166"/>
        <v>3065.88</v>
      </c>
      <c r="N428">
        <f t="shared" si="167"/>
        <v>1.0112898103406608E-8</v>
      </c>
      <c r="O428" s="2">
        <v>54156</v>
      </c>
      <c r="P428" s="2">
        <v>1</v>
      </c>
      <c r="Y428">
        <f t="shared" si="168"/>
        <v>15200.773483942394</v>
      </c>
      <c r="Z428">
        <f t="shared" si="169"/>
        <v>211273.80454457569</v>
      </c>
    </row>
    <row r="429" spans="1:26" x14ac:dyDescent="0.2">
      <c r="A429" s="2">
        <v>416</v>
      </c>
      <c r="B429" s="2">
        <f t="shared" si="155"/>
        <v>17.632518909452212</v>
      </c>
      <c r="C429" s="2">
        <f t="shared" si="156"/>
        <v>-5.332267923652687E-4</v>
      </c>
      <c r="D429" s="2">
        <f t="shared" si="157"/>
        <v>6224.7563134626271</v>
      </c>
      <c r="E429" s="2">
        <f t="shared" si="158"/>
        <v>1.2567887532842284E-2</v>
      </c>
      <c r="F429" s="8">
        <f t="shared" si="159"/>
        <v>6030.479963859394</v>
      </c>
      <c r="G429" s="2">
        <f t="shared" si="160"/>
        <v>1165721.7704314687</v>
      </c>
      <c r="H429" s="2">
        <f t="shared" si="161"/>
        <v>78.229977801401077</v>
      </c>
      <c r="I429" s="2">
        <f t="shared" si="162"/>
        <v>204952.0345223771</v>
      </c>
      <c r="J429" s="2">
        <f t="shared" si="163"/>
        <v>5.1926575495485846E-13</v>
      </c>
      <c r="K429" s="2">
        <f t="shared" si="164"/>
        <v>1.6592566672659748E-5</v>
      </c>
      <c r="L429" s="2">
        <f t="shared" si="165"/>
        <v>9.2055199598501645</v>
      </c>
      <c r="M429" s="2">
        <f t="shared" si="166"/>
        <v>3051.35</v>
      </c>
      <c r="N429">
        <f t="shared" si="167"/>
        <v>1.0060148588707204E-8</v>
      </c>
      <c r="O429" s="2">
        <v>54156</v>
      </c>
      <c r="P429" s="2">
        <v>1</v>
      </c>
      <c r="Y429">
        <f t="shared" si="168"/>
        <v>14650.274425399326</v>
      </c>
      <c r="Z429">
        <f t="shared" si="169"/>
        <v>211352.0345223771</v>
      </c>
    </row>
    <row r="430" spans="1:26" x14ac:dyDescent="0.2">
      <c r="A430" s="2">
        <v>417</v>
      </c>
      <c r="B430" s="2">
        <f t="shared" si="155"/>
        <v>17.722347962289518</v>
      </c>
      <c r="C430" s="2">
        <f t="shared" si="156"/>
        <v>-5.2635219948879419E-4</v>
      </c>
      <c r="D430" s="2">
        <f t="shared" si="157"/>
        <v>6242.3888323720794</v>
      </c>
      <c r="E430" s="2">
        <f t="shared" si="158"/>
        <v>1.2034660740477016E-2</v>
      </c>
      <c r="F430" s="8">
        <f t="shared" si="159"/>
        <v>6047.5328242167216</v>
      </c>
      <c r="G430" s="2">
        <f t="shared" si="160"/>
        <v>1171769.3032556854</v>
      </c>
      <c r="H430" s="2">
        <f t="shared" si="161"/>
        <v>75.123218389510185</v>
      </c>
      <c r="I430" s="2">
        <f t="shared" si="162"/>
        <v>205027.15774076662</v>
      </c>
      <c r="J430" s="2">
        <f t="shared" si="163"/>
        <v>5.1387154493686937E-13</v>
      </c>
      <c r="K430" s="2">
        <f t="shared" si="164"/>
        <v>1.6513357538878877E-5</v>
      </c>
      <c r="L430" s="2">
        <f t="shared" si="165"/>
        <v>9.2053098606590442</v>
      </c>
      <c r="M430" s="2">
        <f t="shared" si="166"/>
        <v>3036.82</v>
      </c>
      <c r="N430">
        <f t="shared" si="167"/>
        <v>1.001212373088148E-8</v>
      </c>
      <c r="O430" s="2">
        <v>54156</v>
      </c>
      <c r="P430" s="2">
        <v>1</v>
      </c>
      <c r="Y430">
        <f t="shared" si="168"/>
        <v>14101.505631002516</v>
      </c>
      <c r="Z430">
        <f t="shared" si="169"/>
        <v>211427.15774076662</v>
      </c>
    </row>
    <row r="431" spans="1:26" x14ac:dyDescent="0.2">
      <c r="A431" s="2">
        <v>418</v>
      </c>
      <c r="B431" s="2">
        <f t="shared" si="155"/>
        <v>17.812929954476388</v>
      </c>
      <c r="C431" s="2">
        <f t="shared" si="156"/>
        <v>-5.1946729768205112E-4</v>
      </c>
      <c r="D431" s="2">
        <f t="shared" si="157"/>
        <v>6260.1111803343692</v>
      </c>
      <c r="E431" s="2">
        <f t="shared" si="158"/>
        <v>1.1508308540988221E-2</v>
      </c>
      <c r="F431" s="8">
        <f t="shared" si="159"/>
        <v>6064.6731788965053</v>
      </c>
      <c r="G431" s="2">
        <f t="shared" si="160"/>
        <v>1177833.9764345819</v>
      </c>
      <c r="H431" s="2">
        <f t="shared" si="161"/>
        <v>72.041700725138583</v>
      </c>
      <c r="I431" s="2">
        <f t="shared" si="162"/>
        <v>205099.19944149177</v>
      </c>
      <c r="J431" s="2">
        <f t="shared" si="163"/>
        <v>5.0875124542629296E-13</v>
      </c>
      <c r="K431" s="2">
        <f t="shared" si="164"/>
        <v>1.6441777191614255E-5</v>
      </c>
      <c r="L431" s="2">
        <f t="shared" si="165"/>
        <v>9.2051083863900658</v>
      </c>
      <c r="M431" s="2">
        <f t="shared" si="166"/>
        <v>3022.29</v>
      </c>
      <c r="N431">
        <f t="shared" si="167"/>
        <v>9.9687242409942452E-9</v>
      </c>
      <c r="O431" s="2">
        <v>54156</v>
      </c>
      <c r="P431" s="2">
        <v>1</v>
      </c>
      <c r="Y431">
        <f t="shared" si="168"/>
        <v>13554.577608902448</v>
      </c>
      <c r="Z431">
        <f t="shared" si="169"/>
        <v>211499.19944149177</v>
      </c>
    </row>
    <row r="432" spans="1:26" x14ac:dyDescent="0.2">
      <c r="A432" s="2">
        <v>419</v>
      </c>
      <c r="B432" s="2">
        <f t="shared" ref="B432:B495" si="170">((O431-K432)/M432)-(L432*SIN(E432))</f>
        <v>17.904276640428858</v>
      </c>
      <c r="C432" s="2">
        <f t="shared" ref="C432:C495" si="171">-((L432/D432)-(D432/(6378000+(I432))))*COS(E432)</f>
        <v>-5.1257194515820254E-4</v>
      </c>
      <c r="D432" s="2">
        <f t="shared" ref="D432:D495" si="172">B431+D431</f>
        <v>6277.9241102888454</v>
      </c>
      <c r="E432" s="2">
        <f t="shared" ref="E432:E495" si="173">E431+C431</f>
        <v>1.098884124330617E-2</v>
      </c>
      <c r="F432" s="8">
        <f t="shared" ref="F432:F495" si="174">((6378000/(6378000+(I432)))*D432*COS(E432))</f>
        <v>6081.9018031504856</v>
      </c>
      <c r="G432" s="2">
        <f t="shared" ref="G432:G495" si="175">F432+G431</f>
        <v>1183915.8782377325</v>
      </c>
      <c r="H432" s="2">
        <f t="shared" ref="H432:H495" si="176">D432*SIN(E432)</f>
        <v>68.985722974997927</v>
      </c>
      <c r="I432" s="2">
        <f t="shared" ref="I432:I495" si="177">H432+I431</f>
        <v>205168.18516446676</v>
      </c>
      <c r="J432" s="2">
        <f t="shared" ref="J432:J495" si="178">$J$13*EXP(-I432/7194)</f>
        <v>5.038959726197782E-13</v>
      </c>
      <c r="K432" s="2">
        <f t="shared" ref="K432:K495" si="179">0.7*(PI()*(0.75))*0.5*J432*(D432)^2</f>
        <v>1.6377672813409968E-5</v>
      </c>
      <c r="L432" s="2">
        <f t="shared" ref="L432:L495" si="180">((9.80665)/(1+(I432/6378000))^2)</f>
        <v>9.2049154647717764</v>
      </c>
      <c r="M432" s="2">
        <f t="shared" ref="M432:M495" si="181">6030-(14.53*A221)</f>
        <v>3007.76</v>
      </c>
      <c r="N432">
        <f t="shared" ref="N432:N495" si="182">(0.5*J432*(D432)^2)/1000</f>
        <v>9.9298574651274099E-9</v>
      </c>
      <c r="O432" s="2">
        <v>54156</v>
      </c>
      <c r="P432" s="2">
        <v>1</v>
      </c>
      <c r="Y432">
        <f t="shared" si="168"/>
        <v>13009.601799415819</v>
      </c>
      <c r="Z432">
        <f t="shared" si="169"/>
        <v>211568.18516446676</v>
      </c>
    </row>
    <row r="433" spans="1:26" x14ac:dyDescent="0.2">
      <c r="A433" s="2">
        <v>420</v>
      </c>
      <c r="B433" s="2">
        <f t="shared" si="170"/>
        <v>17.99640000265526</v>
      </c>
      <c r="C433" s="2">
        <f t="shared" si="171"/>
        <v>-5.0566599732815548E-4</v>
      </c>
      <c r="D433" s="2">
        <f t="shared" si="172"/>
        <v>6295.8283869292745</v>
      </c>
      <c r="E433" s="2">
        <f t="shared" si="173"/>
        <v>1.0476269298147966E-2</v>
      </c>
      <c r="F433" s="8">
        <f t="shared" si="174"/>
        <v>6099.2194831116258</v>
      </c>
      <c r="G433" s="2">
        <f t="shared" si="175"/>
        <v>1190015.097720844</v>
      </c>
      <c r="H433" s="2">
        <f t="shared" si="176"/>
        <v>65.955587158946187</v>
      </c>
      <c r="I433" s="2">
        <f t="shared" si="177"/>
        <v>205234.1407516257</v>
      </c>
      <c r="J433" s="2">
        <f t="shared" si="178"/>
        <v>4.9929729749447786E-13</v>
      </c>
      <c r="K433" s="2">
        <f t="shared" si="179"/>
        <v>1.6320902061010723E-5</v>
      </c>
      <c r="L433" s="2">
        <f t="shared" si="180"/>
        <v>9.2047310227331121</v>
      </c>
      <c r="M433" s="2">
        <f t="shared" si="181"/>
        <v>2993.23</v>
      </c>
      <c r="N433">
        <f t="shared" si="182"/>
        <v>9.8954370999183199E-9</v>
      </c>
      <c r="O433" s="2">
        <v>54156</v>
      </c>
      <c r="P433" s="2">
        <v>1</v>
      </c>
      <c r="Y433">
        <f t="shared" si="168"/>
        <v>12466.690588507447</v>
      </c>
      <c r="Z433">
        <f t="shared" si="169"/>
        <v>211634.1407516257</v>
      </c>
    </row>
    <row r="434" spans="1:26" x14ac:dyDescent="0.2">
      <c r="A434" s="2">
        <v>421</v>
      </c>
      <c r="B434" s="2">
        <f t="shared" si="170"/>
        <v>18.089312257333606</v>
      </c>
      <c r="C434" s="2">
        <f t="shared" si="171"/>
        <v>-4.9874930676665412E-4</v>
      </c>
      <c r="D434" s="2">
        <f t="shared" si="172"/>
        <v>6313.8247869319293</v>
      </c>
      <c r="E434" s="2">
        <f t="shared" si="173"/>
        <v>9.9706033008198115E-3</v>
      </c>
      <c r="F434" s="8">
        <f t="shared" si="174"/>
        <v>6116.6270160012555</v>
      </c>
      <c r="G434" s="2">
        <f t="shared" si="175"/>
        <v>1196131.7247368451</v>
      </c>
      <c r="H434" s="2">
        <f t="shared" si="176"/>
        <v>62.951599215461073</v>
      </c>
      <c r="I434" s="2">
        <f t="shared" si="177"/>
        <v>205297.09235084115</v>
      </c>
      <c r="J434" s="2">
        <f t="shared" si="178"/>
        <v>4.9494722221332792E-13</v>
      </c>
      <c r="K434" s="2">
        <f t="shared" si="179"/>
        <v>1.6271332623169118E-5</v>
      </c>
      <c r="L434" s="2">
        <f t="shared" si="180"/>
        <v>9.2045549863915497</v>
      </c>
      <c r="M434" s="2">
        <f t="shared" si="181"/>
        <v>2978.7000000000003</v>
      </c>
      <c r="N434">
        <f t="shared" si="182"/>
        <v>9.8653829244563085E-9</v>
      </c>
      <c r="O434" s="2">
        <v>54156</v>
      </c>
      <c r="P434" s="2">
        <v>1</v>
      </c>
      <c r="Y434">
        <f t="shared" si="168"/>
        <v>11925.957321524278</v>
      </c>
      <c r="Z434">
        <f t="shared" si="169"/>
        <v>211697.09235084115</v>
      </c>
    </row>
    <row r="435" spans="1:26" x14ac:dyDescent="0.2">
      <c r="A435" s="2">
        <v>422</v>
      </c>
      <c r="B435" s="2">
        <f t="shared" si="170"/>
        <v>18.183025860053561</v>
      </c>
      <c r="C435" s="2">
        <f t="shared" si="171"/>
        <v>-4.9182172317738053E-4</v>
      </c>
      <c r="D435" s="2">
        <f t="shared" si="172"/>
        <v>6331.9140991892627</v>
      </c>
      <c r="E435" s="2">
        <f t="shared" si="173"/>
        <v>9.4718539940531581E-3</v>
      </c>
      <c r="F435" s="8">
        <f t="shared" si="174"/>
        <v>6134.125210341309</v>
      </c>
      <c r="G435" s="2">
        <f t="shared" si="175"/>
        <v>1202265.8499471864</v>
      </c>
      <c r="H435" s="2">
        <f t="shared" si="176"/>
        <v>59.974069068576632</v>
      </c>
      <c r="I435" s="2">
        <f t="shared" si="177"/>
        <v>205357.06641990974</v>
      </c>
      <c r="J435" s="2">
        <f t="shared" si="178"/>
        <v>4.908381578499941E-13</v>
      </c>
      <c r="K435" s="2">
        <f t="shared" si="179"/>
        <v>1.622884180369212E-5</v>
      </c>
      <c r="L435" s="2">
        <f t="shared" si="180"/>
        <v>9.2043872810410985</v>
      </c>
      <c r="M435" s="2">
        <f t="shared" si="181"/>
        <v>2964.17</v>
      </c>
      <c r="N435">
        <f t="shared" si="182"/>
        <v>9.8396205474818734E-9</v>
      </c>
      <c r="O435" s="2">
        <v>54156</v>
      </c>
      <c r="P435" s="2">
        <v>1</v>
      </c>
      <c r="Y435">
        <f t="shared" si="168"/>
        <v>11387.516317183943</v>
      </c>
      <c r="Z435">
        <f t="shared" si="169"/>
        <v>211757.06641990974</v>
      </c>
    </row>
    <row r="436" spans="1:26" x14ac:dyDescent="0.2">
      <c r="A436" s="2">
        <v>423</v>
      </c>
      <c r="B436" s="2">
        <f t="shared" si="170"/>
        <v>18.277553511728705</v>
      </c>
      <c r="C436" s="2">
        <f t="shared" si="171"/>
        <v>-4.8488309335702732E-4</v>
      </c>
      <c r="D436" s="2">
        <f t="shared" si="172"/>
        <v>6350.0971250493167</v>
      </c>
      <c r="E436" s="2">
        <f t="shared" si="173"/>
        <v>8.9800322708757773E-3</v>
      </c>
      <c r="F436" s="8">
        <f t="shared" si="174"/>
        <v>6151.7148861717615</v>
      </c>
      <c r="G436" s="2">
        <f t="shared" si="175"/>
        <v>1208417.5648333582</v>
      </c>
      <c r="H436" s="2">
        <f t="shared" si="176"/>
        <v>57.023310696322262</v>
      </c>
      <c r="I436" s="2">
        <f t="shared" si="177"/>
        <v>205414.08973060607</v>
      </c>
      <c r="J436" s="2">
        <f t="shared" si="178"/>
        <v>4.869629033476962E-13</v>
      </c>
      <c r="K436" s="2">
        <f t="shared" si="179"/>
        <v>1.6193316128088441E-5</v>
      </c>
      <c r="L436" s="2">
        <f t="shared" si="180"/>
        <v>9.2042278311400469</v>
      </c>
      <c r="M436" s="2">
        <f t="shared" si="181"/>
        <v>2949.6400000000003</v>
      </c>
      <c r="N436">
        <f t="shared" si="182"/>
        <v>9.8180811688951883E-9</v>
      </c>
      <c r="O436" s="2">
        <v>54156</v>
      </c>
      <c r="P436" s="2">
        <v>1</v>
      </c>
      <c r="Y436">
        <f t="shared" si="168"/>
        <v>10851.482881822969</v>
      </c>
      <c r="Z436">
        <f t="shared" si="169"/>
        <v>211814.08973060607</v>
      </c>
    </row>
    <row r="437" spans="1:26" x14ac:dyDescent="0.2">
      <c r="A437" s="2">
        <v>424</v>
      </c>
      <c r="B437" s="2">
        <f t="shared" si="170"/>
        <v>18.372908164684947</v>
      </c>
      <c r="C437" s="2">
        <f t="shared" si="171"/>
        <v>-4.7793326115832044E-4</v>
      </c>
      <c r="D437" s="2">
        <f t="shared" si="172"/>
        <v>6368.3746785610456</v>
      </c>
      <c r="E437" s="2">
        <f t="shared" si="173"/>
        <v>8.4951491775187501E-3</v>
      </c>
      <c r="F437" s="8">
        <f t="shared" si="174"/>
        <v>6169.3968752734791</v>
      </c>
      <c r="G437" s="2">
        <f t="shared" si="175"/>
        <v>1214586.9617086316</v>
      </c>
      <c r="H437" s="2">
        <f t="shared" si="176"/>
        <v>54.099642200705397</v>
      </c>
      <c r="I437" s="2">
        <f t="shared" si="177"/>
        <v>205468.18937280678</v>
      </c>
      <c r="J437" s="2">
        <f t="shared" si="178"/>
        <v>4.8331462563162331E-13</v>
      </c>
      <c r="K437" s="2">
        <f t="shared" si="179"/>
        <v>1.6164650972272265E-5</v>
      </c>
      <c r="L437" s="2">
        <f t="shared" si="180"/>
        <v>9.2040765602985584</v>
      </c>
      <c r="M437" s="2">
        <f t="shared" si="181"/>
        <v>2935.11</v>
      </c>
      <c r="N437">
        <f t="shared" si="182"/>
        <v>9.8007013546374982E-9</v>
      </c>
      <c r="O437" s="2">
        <v>54156</v>
      </c>
      <c r="P437" s="2">
        <v>1</v>
      </c>
      <c r="Y437">
        <f t="shared" si="168"/>
        <v>10317.973323913477</v>
      </c>
      <c r="Z437">
        <f t="shared" si="169"/>
        <v>211868.18937280678</v>
      </c>
    </row>
    <row r="438" spans="1:26" x14ac:dyDescent="0.2">
      <c r="A438" s="2">
        <v>425</v>
      </c>
      <c r="B438" s="2">
        <f t="shared" si="170"/>
        <v>18.469103028931251</v>
      </c>
      <c r="C438" s="2">
        <f t="shared" si="171"/>
        <v>-4.7097206745195234E-4</v>
      </c>
      <c r="D438" s="2">
        <f t="shared" si="172"/>
        <v>6386.7475867257308</v>
      </c>
      <c r="E438" s="2">
        <f t="shared" si="173"/>
        <v>8.0172159163604297E-3</v>
      </c>
      <c r="F438" s="8">
        <f t="shared" si="174"/>
        <v>6187.1720213966009</v>
      </c>
      <c r="G438" s="2">
        <f t="shared" si="175"/>
        <v>1220774.1337300283</v>
      </c>
      <c r="H438" s="2">
        <f t="shared" si="176"/>
        <v>51.203385879280169</v>
      </c>
      <c r="I438" s="2">
        <f t="shared" si="177"/>
        <v>205519.39275868607</v>
      </c>
      <c r="J438" s="2">
        <f t="shared" si="178"/>
        <v>4.7988684079973037E-13</v>
      </c>
      <c r="K438" s="2">
        <f t="shared" si="179"/>
        <v>1.6142750211864388E-5</v>
      </c>
      <c r="L438" s="2">
        <f t="shared" si="180"/>
        <v>9.2039333912660126</v>
      </c>
      <c r="M438" s="2">
        <f t="shared" si="181"/>
        <v>2920.58</v>
      </c>
      <c r="N438">
        <f t="shared" si="182"/>
        <v>9.7874228240607924E-9</v>
      </c>
      <c r="O438" s="2">
        <v>54156</v>
      </c>
      <c r="P438" s="2">
        <v>1</v>
      </c>
      <c r="Y438">
        <f t="shared" si="168"/>
        <v>9787.1049688483654</v>
      </c>
      <c r="Z438">
        <f t="shared" si="169"/>
        <v>211919.39275868607</v>
      </c>
    </row>
    <row r="439" spans="1:26" x14ac:dyDescent="0.2">
      <c r="A439" s="2">
        <v>426</v>
      </c>
      <c r="B439" s="2">
        <f t="shared" si="170"/>
        <v>18.566151578619035</v>
      </c>
      <c r="C439" s="2">
        <f t="shared" si="171"/>
        <v>-4.6399935008740708E-4</v>
      </c>
      <c r="D439" s="2">
        <f t="shared" si="172"/>
        <v>6405.2166897546622</v>
      </c>
      <c r="E439" s="2">
        <f t="shared" si="173"/>
        <v>7.5462438489084776E-3</v>
      </c>
      <c r="F439" s="8">
        <f t="shared" si="174"/>
        <v>6205.0411804946198</v>
      </c>
      <c r="G439" s="2">
        <f t="shared" si="175"/>
        <v>1226979.174910523</v>
      </c>
      <c r="H439" s="2">
        <f t="shared" si="176"/>
        <v>48.334868298345803</v>
      </c>
      <c r="I439" s="2">
        <f t="shared" si="177"/>
        <v>205567.72762698442</v>
      </c>
      <c r="J439" s="2">
        <f t="shared" si="178"/>
        <v>4.7667339632151537E-13</v>
      </c>
      <c r="K439" s="2">
        <f t="shared" si="179"/>
        <v>1.6127525890713707E-5</v>
      </c>
      <c r="L439" s="2">
        <f t="shared" si="180"/>
        <v>9.2037982459181915</v>
      </c>
      <c r="M439" s="2">
        <f t="shared" si="181"/>
        <v>2906.05</v>
      </c>
      <c r="N439">
        <f t="shared" si="182"/>
        <v>9.778192248950891E-9</v>
      </c>
      <c r="O439" s="2">
        <v>54156</v>
      </c>
      <c r="P439" s="2">
        <v>1</v>
      </c>
      <c r="Y439">
        <f t="shared" si="168"/>
        <v>9258.996174005315</v>
      </c>
      <c r="Z439">
        <f t="shared" si="169"/>
        <v>211967.72762698442</v>
      </c>
    </row>
    <row r="440" spans="1:26" x14ac:dyDescent="0.2">
      <c r="A440" s="2">
        <v>427</v>
      </c>
      <c r="B440" s="2">
        <f t="shared" si="170"/>
        <v>18.664067558696889</v>
      </c>
      <c r="C440" s="2">
        <f t="shared" si="171"/>
        <v>-4.5701494385262567E-4</v>
      </c>
      <c r="D440" s="2">
        <f t="shared" si="172"/>
        <v>6423.7828413332809</v>
      </c>
      <c r="E440" s="2">
        <f t="shared" si="173"/>
        <v>7.0822444988210709E-3</v>
      </c>
      <c r="F440" s="8">
        <f t="shared" si="174"/>
        <v>6223.0052209643673</v>
      </c>
      <c r="G440" s="2">
        <f t="shared" si="175"/>
        <v>1233202.1801314873</v>
      </c>
      <c r="H440" s="2">
        <f t="shared" si="176"/>
        <v>45.494420367819806</v>
      </c>
      <c r="I440" s="2">
        <f t="shared" si="177"/>
        <v>205613.22204735223</v>
      </c>
      <c r="J440" s="2">
        <f t="shared" si="178"/>
        <v>4.7366845417869346E-13</v>
      </c>
      <c r="K440" s="2">
        <f t="shared" si="179"/>
        <v>1.611889790733298E-5</v>
      </c>
      <c r="L440" s="2">
        <f t="shared" si="180"/>
        <v>9.2036710452441781</v>
      </c>
      <c r="M440" s="2">
        <f t="shared" si="181"/>
        <v>2891.52</v>
      </c>
      <c r="N440">
        <f t="shared" si="182"/>
        <v>9.7729610634120066E-9</v>
      </c>
      <c r="O440" s="2">
        <v>54156</v>
      </c>
      <c r="P440" s="2">
        <v>1</v>
      </c>
      <c r="Y440">
        <f t="shared" si="168"/>
        <v>8733.7663440953256</v>
      </c>
      <c r="Z440">
        <f t="shared" si="169"/>
        <v>212013.22204735223</v>
      </c>
    </row>
    <row r="441" spans="1:26" x14ac:dyDescent="0.2">
      <c r="A441" s="2">
        <v>428</v>
      </c>
      <c r="B441" s="2">
        <f t="shared" si="170"/>
        <v>18.762864991767533</v>
      </c>
      <c r="C441" s="2">
        <f t="shared" si="171"/>
        <v>-4.5001868043249887E-4</v>
      </c>
      <c r="D441" s="2">
        <f t="shared" si="172"/>
        <v>6442.4469088919777</v>
      </c>
      <c r="E441" s="2">
        <f t="shared" si="173"/>
        <v>6.6252295549684452E-3</v>
      </c>
      <c r="F441" s="8">
        <f t="shared" si="174"/>
        <v>6241.0650238920462</v>
      </c>
      <c r="G441" s="2">
        <f t="shared" si="175"/>
        <v>1239443.2451553794</v>
      </c>
      <c r="H441" s="2">
        <f t="shared" si="176"/>
        <v>42.682377417832818</v>
      </c>
      <c r="I441" s="2">
        <f t="shared" si="177"/>
        <v>205655.90442477007</v>
      </c>
      <c r="J441" s="2">
        <f t="shared" si="178"/>
        <v>4.7086647488580957E-13</v>
      </c>
      <c r="K441" s="2">
        <f t="shared" si="179"/>
        <v>1.6116793718011539E-5</v>
      </c>
      <c r="L441" s="2">
        <f t="shared" si="180"/>
        <v>9.2035517093330981</v>
      </c>
      <c r="M441" s="2">
        <f t="shared" si="181"/>
        <v>2876.9900000000002</v>
      </c>
      <c r="N441">
        <f t="shared" si="182"/>
        <v>9.7716852838626397E-9</v>
      </c>
      <c r="O441" s="2">
        <v>54156</v>
      </c>
      <c r="P441" s="2">
        <v>1</v>
      </c>
      <c r="Y441">
        <f t="shared" si="168"/>
        <v>8211.5359467983017</v>
      </c>
      <c r="Z441">
        <f t="shared" si="169"/>
        <v>212055.90442477007</v>
      </c>
    </row>
    <row r="442" spans="1:26" x14ac:dyDescent="0.2">
      <c r="A442" s="2">
        <v>429</v>
      </c>
      <c r="B442" s="2">
        <f t="shared" si="170"/>
        <v>18.862558185154192</v>
      </c>
      <c r="C442" s="2">
        <f t="shared" si="171"/>
        <v>-4.4301038836614011E-4</v>
      </c>
      <c r="D442" s="2">
        <f t="shared" si="172"/>
        <v>6461.2097738837456</v>
      </c>
      <c r="E442" s="2">
        <f t="shared" si="173"/>
        <v>6.1752108745359467E-3</v>
      </c>
      <c r="F442" s="8">
        <f t="shared" si="174"/>
        <v>6259.2214833055059</v>
      </c>
      <c r="G442" s="2">
        <f t="shared" si="175"/>
        <v>1245702.466638685</v>
      </c>
      <c r="H442" s="2">
        <f t="shared" si="176"/>
        <v>39.89907927709325</v>
      </c>
      <c r="I442" s="2">
        <f t="shared" si="177"/>
        <v>205695.80350404716</v>
      </c>
      <c r="J442" s="2">
        <f t="shared" si="178"/>
        <v>4.6826220233261886E-13</v>
      </c>
      <c r="K442" s="2">
        <f t="shared" si="179"/>
        <v>1.6121148055429665E-5</v>
      </c>
      <c r="L442" s="2">
        <f t="shared" si="180"/>
        <v>9.2034401573606086</v>
      </c>
      <c r="M442" s="2">
        <f t="shared" si="181"/>
        <v>2862.46</v>
      </c>
      <c r="N442">
        <f t="shared" si="182"/>
        <v>9.7743253384302023E-9</v>
      </c>
      <c r="O442" s="2">
        <v>54156</v>
      </c>
      <c r="P442" s="2">
        <v>1</v>
      </c>
      <c r="Y442">
        <f t="shared" si="168"/>
        <v>7692.4265286951022</v>
      </c>
      <c r="Z442">
        <f t="shared" si="169"/>
        <v>212095.80350404716</v>
      </c>
    </row>
    <row r="443" spans="1:26" x14ac:dyDescent="0.2">
      <c r="A443" s="2">
        <v>430</v>
      </c>
      <c r="B443" s="2">
        <f t="shared" si="170"/>
        <v>18.963161738183825</v>
      </c>
      <c r="C443" s="2">
        <f t="shared" si="171"/>
        <v>-4.3598989300290504E-4</v>
      </c>
      <c r="D443" s="2">
        <f t="shared" si="172"/>
        <v>6480.0723320688994</v>
      </c>
      <c r="E443" s="2">
        <f t="shared" si="173"/>
        <v>5.7322004861698065E-3</v>
      </c>
      <c r="F443" s="8">
        <f t="shared" si="174"/>
        <v>6277.4755064329684</v>
      </c>
      <c r="G443" s="2">
        <f t="shared" si="175"/>
        <v>1251979.942145118</v>
      </c>
      <c r="H443" s="2">
        <f t="shared" si="176"/>
        <v>37.144870353071539</v>
      </c>
      <c r="I443" s="2">
        <f t="shared" si="177"/>
        <v>205732.94837440024</v>
      </c>
      <c r="J443" s="2">
        <f t="shared" si="178"/>
        <v>4.6585064939357084E-13</v>
      </c>
      <c r="K443" s="2">
        <f t="shared" si="179"/>
        <v>1.6131902661655754E-5</v>
      </c>
      <c r="L443" s="2">
        <f t="shared" si="180"/>
        <v>9.2033363075751602</v>
      </c>
      <c r="M443" s="2">
        <f t="shared" si="181"/>
        <v>2847.9300000000003</v>
      </c>
      <c r="N443">
        <f t="shared" si="182"/>
        <v>9.7808459050659673E-9</v>
      </c>
      <c r="O443" s="2">
        <v>54156</v>
      </c>
      <c r="P443" s="2">
        <v>1</v>
      </c>
      <c r="Y443">
        <f t="shared" si="168"/>
        <v>7176.5607315032494</v>
      </c>
      <c r="Z443">
        <f t="shared" si="169"/>
        <v>212132.94837440024</v>
      </c>
    </row>
    <row r="444" spans="1:26" x14ac:dyDescent="0.2">
      <c r="A444" s="2">
        <v>431</v>
      </c>
      <c r="B444" s="2">
        <f t="shared" si="170"/>
        <v>19.064690549695094</v>
      </c>
      <c r="C444" s="2">
        <f t="shared" si="171"/>
        <v>-4.2895701645712033E-4</v>
      </c>
      <c r="D444" s="2">
        <f t="shared" si="172"/>
        <v>6499.0354938070832</v>
      </c>
      <c r="E444" s="2">
        <f t="shared" si="173"/>
        <v>5.2962105931669019E-3</v>
      </c>
      <c r="F444" s="8">
        <f t="shared" si="174"/>
        <v>6295.8280139683839</v>
      </c>
      <c r="G444" s="2">
        <f t="shared" si="175"/>
        <v>1258275.7701590864</v>
      </c>
      <c r="H444" s="2">
        <f t="shared" si="176"/>
        <v>34.420099714055745</v>
      </c>
      <c r="I444" s="2">
        <f t="shared" si="177"/>
        <v>205767.36847411428</v>
      </c>
      <c r="J444" s="2">
        <f t="shared" si="178"/>
        <v>4.6362708425297808E-13</v>
      </c>
      <c r="K444" s="2">
        <f t="shared" si="179"/>
        <v>1.6149006034458598E-5</v>
      </c>
      <c r="L444" s="2">
        <f t="shared" si="180"/>
        <v>9.2032400772840202</v>
      </c>
      <c r="M444" s="2">
        <f t="shared" si="181"/>
        <v>2833.4</v>
      </c>
      <c r="N444">
        <f t="shared" si="182"/>
        <v>9.7912157577330765E-9</v>
      </c>
      <c r="O444" s="2">
        <v>54156</v>
      </c>
      <c r="P444" s="2">
        <v>1</v>
      </c>
      <c r="Y444">
        <f t="shared" si="168"/>
        <v>6664.0623086189162</v>
      </c>
      <c r="Z444">
        <f t="shared" si="169"/>
        <v>212167.36847411428</v>
      </c>
    </row>
    <row r="445" spans="1:26" x14ac:dyDescent="0.2">
      <c r="A445" s="2">
        <v>432</v>
      </c>
      <c r="B445" s="2">
        <f t="shared" si="170"/>
        <v>19.167159825779052</v>
      </c>
      <c r="C445" s="2">
        <f t="shared" si="171"/>
        <v>-4.2191157756148434E-4</v>
      </c>
      <c r="D445" s="2">
        <f t="shared" si="172"/>
        <v>6518.1001843567783</v>
      </c>
      <c r="E445" s="2">
        <f t="shared" si="173"/>
        <v>4.8672535767097817E-3</v>
      </c>
      <c r="F445" s="8">
        <f t="shared" si="174"/>
        <v>6314.2799403436293</v>
      </c>
      <c r="G445" s="2">
        <f t="shared" si="175"/>
        <v>1264590.0500994301</v>
      </c>
      <c r="H445" s="2">
        <f t="shared" si="176"/>
        <v>31.725121173131427</v>
      </c>
      <c r="I445" s="2">
        <f t="shared" si="177"/>
        <v>205799.09359528741</v>
      </c>
      <c r="J445" s="2">
        <f t="shared" si="178"/>
        <v>4.6158701739751502E-13</v>
      </c>
      <c r="K445" s="2">
        <f t="shared" si="179"/>
        <v>1.6172413185915441E-5</v>
      </c>
      <c r="L445" s="2">
        <f t="shared" si="180"/>
        <v>9.2031513828390548</v>
      </c>
      <c r="M445" s="2">
        <f t="shared" si="181"/>
        <v>2818.8700000000003</v>
      </c>
      <c r="N445">
        <f t="shared" si="182"/>
        <v>9.8054076200494866E-9</v>
      </c>
      <c r="O445" s="2">
        <v>54156</v>
      </c>
      <c r="P445" s="2">
        <v>1</v>
      </c>
      <c r="Y445">
        <f t="shared" si="168"/>
        <v>6155.0561419762134</v>
      </c>
      <c r="Z445">
        <f t="shared" si="169"/>
        <v>212199.09359528741</v>
      </c>
    </row>
    <row r="446" spans="1:26" x14ac:dyDescent="0.2">
      <c r="A446" s="2">
        <v>433</v>
      </c>
      <c r="B446" s="2">
        <f t="shared" si="170"/>
        <v>19.270585087761141</v>
      </c>
      <c r="C446" s="2">
        <f t="shared" si="171"/>
        <v>-4.1485339181910339E-4</v>
      </c>
      <c r="D446" s="2">
        <f t="shared" si="172"/>
        <v>6537.2673441825573</v>
      </c>
      <c r="E446" s="2">
        <f t="shared" si="173"/>
        <v>4.4453419991482973E-3</v>
      </c>
      <c r="F446" s="8">
        <f t="shared" si="174"/>
        <v>6332.8322340077502</v>
      </c>
      <c r="G446" s="2">
        <f t="shared" si="175"/>
        <v>1270922.8823334379</v>
      </c>
      <c r="H446" s="2">
        <f t="shared" si="176"/>
        <v>29.060293374141295</v>
      </c>
      <c r="I446" s="2">
        <f t="shared" si="177"/>
        <v>205828.15388866156</v>
      </c>
      <c r="J446" s="2">
        <f t="shared" si="178"/>
        <v>4.5972618923049306E-13</v>
      </c>
      <c r="K446" s="2">
        <f t="shared" si="179"/>
        <v>1.6202085412339238E-5</v>
      </c>
      <c r="L446" s="2">
        <f t="shared" si="180"/>
        <v>9.2030701396222945</v>
      </c>
      <c r="M446" s="2">
        <f t="shared" si="181"/>
        <v>2804.34</v>
      </c>
      <c r="N446">
        <f t="shared" si="182"/>
        <v>9.823398025793825E-9</v>
      </c>
      <c r="O446" s="2">
        <v>54156</v>
      </c>
      <c r="P446" s="2">
        <v>1</v>
      </c>
      <c r="Y446">
        <f t="shared" si="168"/>
        <v>5649.6682592286325</v>
      </c>
      <c r="Z446">
        <f t="shared" si="169"/>
        <v>212228.15388866156</v>
      </c>
    </row>
    <row r="447" spans="1:26" x14ac:dyDescent="0.2">
      <c r="A447" s="2">
        <v>434</v>
      </c>
      <c r="B447" s="2">
        <f t="shared" si="170"/>
        <v>19.374982180433129</v>
      </c>
      <c r="C447" s="2">
        <f t="shared" si="171"/>
        <v>-4.0778227135410816E-4</v>
      </c>
      <c r="D447" s="2">
        <f t="shared" si="172"/>
        <v>6556.5379292703183</v>
      </c>
      <c r="E447" s="2">
        <f t="shared" si="173"/>
        <v>4.0304886073291944E-3</v>
      </c>
      <c r="F447" s="8">
        <f t="shared" si="174"/>
        <v>6351.485857713501</v>
      </c>
      <c r="G447" s="2">
        <f t="shared" si="175"/>
        <v>1277274.3681911514</v>
      </c>
      <c r="H447" s="2">
        <f t="shared" si="176"/>
        <v>26.425979879681318</v>
      </c>
      <c r="I447" s="2">
        <f t="shared" si="177"/>
        <v>205854.57986854124</v>
      </c>
      <c r="J447" s="2">
        <f t="shared" si="178"/>
        <v>4.5804055826493559E-13</v>
      </c>
      <c r="K447" s="2">
        <f t="shared" si="179"/>
        <v>1.6237990074585963E-5</v>
      </c>
      <c r="L447" s="2">
        <f t="shared" si="180"/>
        <v>9.202996262031192</v>
      </c>
      <c r="M447" s="2">
        <f t="shared" si="181"/>
        <v>2789.81</v>
      </c>
      <c r="N447">
        <f t="shared" si="182"/>
        <v>9.8451671857047244E-9</v>
      </c>
      <c r="O447" s="2">
        <v>54156</v>
      </c>
      <c r="P447" s="2">
        <v>1</v>
      </c>
      <c r="Y447">
        <f t="shared" si="168"/>
        <v>5148.0258512604023</v>
      </c>
      <c r="Z447">
        <f t="shared" si="169"/>
        <v>212254.57986854124</v>
      </c>
    </row>
    <row r="448" spans="1:26" x14ac:dyDescent="0.2">
      <c r="A448" s="2">
        <v>435</v>
      </c>
      <c r="B448" s="2">
        <f t="shared" si="170"/>
        <v>19.480367280544307</v>
      </c>
      <c r="C448" s="2">
        <f t="shared" si="171"/>
        <v>-4.0069802486082906E-4</v>
      </c>
      <c r="D448" s="2">
        <f t="shared" si="172"/>
        <v>6575.9129114507514</v>
      </c>
      <c r="E448" s="2">
        <f t="shared" si="173"/>
        <v>3.6227063359750861E-3</v>
      </c>
      <c r="F448" s="8">
        <f t="shared" si="174"/>
        <v>6370.2417888113696</v>
      </c>
      <c r="G448" s="2">
        <f t="shared" si="175"/>
        <v>1283644.6099799627</v>
      </c>
      <c r="H448" s="2">
        <f t="shared" si="176"/>
        <v>23.822549261192393</v>
      </c>
      <c r="I448" s="2">
        <f t="shared" si="177"/>
        <v>205878.40241780243</v>
      </c>
      <c r="J448" s="2">
        <f t="shared" si="178"/>
        <v>4.5652628985496831E-13</v>
      </c>
      <c r="K448" s="2">
        <f t="shared" si="179"/>
        <v>1.6280100387840381E-5</v>
      </c>
      <c r="L448" s="2">
        <f t="shared" si="180"/>
        <v>9.2029296634636708</v>
      </c>
      <c r="M448" s="2">
        <f t="shared" si="181"/>
        <v>2775.28</v>
      </c>
      <c r="N448">
        <f t="shared" si="182"/>
        <v>9.8706988600269679E-9</v>
      </c>
      <c r="O448" s="2">
        <v>54156</v>
      </c>
      <c r="P448" s="2">
        <v>1</v>
      </c>
      <c r="Y448">
        <f t="shared" si="168"/>
        <v>4650.2572900354389</v>
      </c>
      <c r="Z448">
        <f t="shared" si="169"/>
        <v>212278.40241780243</v>
      </c>
    </row>
    <row r="449" spans="1:26" x14ac:dyDescent="0.2">
      <c r="A449" s="2">
        <v>436</v>
      </c>
      <c r="B449" s="2">
        <f t="shared" si="170"/>
        <v>19.586756905561419</v>
      </c>
      <c r="C449" s="2">
        <f t="shared" si="171"/>
        <v>-3.9360045755146614E-4</v>
      </c>
      <c r="D449" s="2">
        <f t="shared" si="172"/>
        <v>6595.393278731296</v>
      </c>
      <c r="E449" s="2">
        <f t="shared" si="173"/>
        <v>3.2220083111142569E-3</v>
      </c>
      <c r="F449" s="8">
        <f t="shared" si="174"/>
        <v>6389.1010195513527</v>
      </c>
      <c r="G449" s="2">
        <f t="shared" si="175"/>
        <v>1290033.710999514</v>
      </c>
      <c r="H449" s="2">
        <f t="shared" si="176"/>
        <v>21.25037519120847</v>
      </c>
      <c r="I449" s="2">
        <f t="shared" si="177"/>
        <v>205899.65279299364</v>
      </c>
      <c r="J449" s="2">
        <f t="shared" si="178"/>
        <v>4.5517974542722303E-13</v>
      </c>
      <c r="K449" s="2">
        <f t="shared" si="179"/>
        <v>1.6328395220007671E-5</v>
      </c>
      <c r="L449" s="2">
        <f t="shared" si="180"/>
        <v>9.2028702563028961</v>
      </c>
      <c r="M449" s="2">
        <f t="shared" si="181"/>
        <v>2760.75</v>
      </c>
      <c r="N449">
        <f t="shared" si="182"/>
        <v>9.8999802362754164E-9</v>
      </c>
      <c r="O449" s="2">
        <v>54156</v>
      </c>
      <c r="P449" s="2">
        <v>1</v>
      </c>
      <c r="Y449">
        <f t="shared" si="168"/>
        <v>4156.4921467914201</v>
      </c>
      <c r="Z449">
        <f t="shared" si="169"/>
        <v>212299.65279299364</v>
      </c>
    </row>
    <row r="450" spans="1:26" x14ac:dyDescent="0.2">
      <c r="A450" s="2">
        <v>437</v>
      </c>
      <c r="B450" s="2">
        <f t="shared" si="170"/>
        <v>19.694167922707244</v>
      </c>
      <c r="C450" s="2">
        <f t="shared" si="171"/>
        <v>-3.8648937110221916E-4</v>
      </c>
      <c r="D450" s="2">
        <f t="shared" si="172"/>
        <v>6614.9800356368578</v>
      </c>
      <c r="E450" s="2">
        <f t="shared" si="173"/>
        <v>2.8284078535627906E-3</v>
      </c>
      <c r="F450" s="8">
        <f t="shared" si="174"/>
        <v>6408.0645573927159</v>
      </c>
      <c r="G450" s="2">
        <f t="shared" si="175"/>
        <v>1296441.7755569066</v>
      </c>
      <c r="H450" s="2">
        <f t="shared" si="176"/>
        <v>18.709836537824295</v>
      </c>
      <c r="I450" s="2">
        <f t="shared" si="177"/>
        <v>205918.36262953148</v>
      </c>
      <c r="J450" s="2">
        <f t="shared" si="178"/>
        <v>4.5399747217610388E-13</v>
      </c>
      <c r="K450" s="2">
        <f t="shared" si="179"/>
        <v>1.6382858897868375E-5</v>
      </c>
      <c r="L450" s="2">
        <f t="shared" si="180"/>
        <v>9.2028179519017659</v>
      </c>
      <c r="M450" s="2">
        <f t="shared" si="181"/>
        <v>2746.2200000000003</v>
      </c>
      <c r="N450">
        <f t="shared" si="182"/>
        <v>9.9330018117058755E-9</v>
      </c>
      <c r="O450" s="2">
        <v>54156</v>
      </c>
      <c r="P450" s="2">
        <v>1</v>
      </c>
      <c r="Y450">
        <f t="shared" si="168"/>
        <v>3666.8612105858533</v>
      </c>
      <c r="Z450">
        <f t="shared" si="169"/>
        <v>212318.36262953148</v>
      </c>
    </row>
    <row r="451" spans="1:26" x14ac:dyDescent="0.2">
      <c r="A451" s="2">
        <v>438</v>
      </c>
      <c r="B451" s="2">
        <f t="shared" si="170"/>
        <v>19.802617558288329</v>
      </c>
      <c r="C451" s="2">
        <f t="shared" si="171"/>
        <v>-3.7936456359782827E-4</v>
      </c>
      <c r="D451" s="2">
        <f t="shared" si="172"/>
        <v>6634.6742035595653</v>
      </c>
      <c r="E451" s="2">
        <f t="shared" si="173"/>
        <v>2.4419184824605714E-3</v>
      </c>
      <c r="F451" s="8">
        <f t="shared" si="174"/>
        <v>6427.1334253219957</v>
      </c>
      <c r="G451" s="2">
        <f t="shared" si="175"/>
        <v>1302868.9089822285</v>
      </c>
      <c r="H451" s="2">
        <f t="shared" si="176"/>
        <v>16.201317461448081</v>
      </c>
      <c r="I451" s="2">
        <f t="shared" si="177"/>
        <v>205934.56394699292</v>
      </c>
      <c r="J451" s="2">
        <f t="shared" si="178"/>
        <v>4.5297619318866377E-13</v>
      </c>
      <c r="K451" s="2">
        <f t="shared" si="179"/>
        <v>1.6443481020177525E-5</v>
      </c>
      <c r="L451" s="2">
        <f t="shared" si="180"/>
        <v>9.2027726605671436</v>
      </c>
      <c r="M451" s="2">
        <f t="shared" si="181"/>
        <v>2731.69</v>
      </c>
      <c r="N451">
        <f t="shared" si="182"/>
        <v>9.9697572799962479E-9</v>
      </c>
      <c r="O451" s="2">
        <v>54156</v>
      </c>
      <c r="P451" s="2">
        <v>1</v>
      </c>
      <c r="Y451">
        <f t="shared" si="168"/>
        <v>3181.496507205768</v>
      </c>
      <c r="Z451">
        <f t="shared" si="169"/>
        <v>212334.56394699292</v>
      </c>
    </row>
    <row r="452" spans="1:26" x14ac:dyDescent="0.2">
      <c r="A452" s="2">
        <v>439</v>
      </c>
      <c r="B452" s="2">
        <f t="shared" si="170"/>
        <v>19.912123407322532</v>
      </c>
      <c r="C452" s="2">
        <f t="shared" si="171"/>
        <v>-3.7222582947447224E-4</v>
      </c>
      <c r="D452" s="2">
        <f t="shared" si="172"/>
        <v>6654.4768211178534</v>
      </c>
      <c r="E452" s="2">
        <f t="shared" si="173"/>
        <v>2.0625539188627432E-3</v>
      </c>
      <c r="F452" s="8">
        <f t="shared" si="174"/>
        <v>6446.3086621795155</v>
      </c>
      <c r="G452" s="2">
        <f t="shared" si="175"/>
        <v>1309315.2176444081</v>
      </c>
      <c r="H452" s="2">
        <f t="shared" si="176"/>
        <v>13.72520751390663</v>
      </c>
      <c r="I452" s="2">
        <f t="shared" si="177"/>
        <v>205948.28915450681</v>
      </c>
      <c r="J452" s="2">
        <f t="shared" si="178"/>
        <v>4.5211279796667194E-13</v>
      </c>
      <c r="K452" s="2">
        <f t="shared" si="179"/>
        <v>1.6510256276911472E-5</v>
      </c>
      <c r="L452" s="2">
        <f t="shared" si="180"/>
        <v>9.2027342915437949</v>
      </c>
      <c r="M452" s="2">
        <f t="shared" si="181"/>
        <v>2717.1600000000003</v>
      </c>
      <c r="N452">
        <f t="shared" si="182"/>
        <v>1.001024342165506E-8</v>
      </c>
      <c r="O452" s="2">
        <v>54156</v>
      </c>
      <c r="P452" s="2">
        <v>1</v>
      </c>
      <c r="Y452">
        <f t="shared" si="168"/>
        <v>2700.5313184436691</v>
      </c>
      <c r="Z452">
        <f t="shared" si="169"/>
        <v>212348.28915450681</v>
      </c>
    </row>
    <row r="453" spans="1:26" x14ac:dyDescent="0.2">
      <c r="A453" s="2">
        <v>440</v>
      </c>
      <c r="B453" s="2">
        <f t="shared" si="170"/>
        <v>20.022703443477852</v>
      </c>
      <c r="C453" s="2">
        <f t="shared" si="171"/>
        <v>-3.6507295946097614E-4</v>
      </c>
      <c r="D453" s="2">
        <f t="shared" si="172"/>
        <v>6674.3889445251762</v>
      </c>
      <c r="E453" s="2">
        <f t="shared" si="173"/>
        <v>1.6903280893882709E-3</v>
      </c>
      <c r="F453" s="8">
        <f t="shared" si="174"/>
        <v>6465.59132299468</v>
      </c>
      <c r="G453" s="2">
        <f t="shared" si="175"/>
        <v>1315780.8089674029</v>
      </c>
      <c r="H453" s="2">
        <f t="shared" si="176"/>
        <v>11.281901739973023</v>
      </c>
      <c r="I453" s="2">
        <f t="shared" si="177"/>
        <v>205959.57105624679</v>
      </c>
      <c r="J453" s="2">
        <f t="shared" si="178"/>
        <v>4.514043333151284E-13</v>
      </c>
      <c r="K453" s="2">
        <f t="shared" si="179"/>
        <v>1.6583184273884919E-5</v>
      </c>
      <c r="L453" s="2">
        <f t="shared" si="180"/>
        <v>9.2027027529980518</v>
      </c>
      <c r="M453" s="2">
        <f t="shared" si="181"/>
        <v>2702.63</v>
      </c>
      <c r="N453">
        <f t="shared" si="182"/>
        <v>1.0054459997685973E-8</v>
      </c>
      <c r="O453" s="2">
        <v>54156</v>
      </c>
      <c r="P453" s="2">
        <v>1</v>
      </c>
      <c r="Y453">
        <f t="shared" si="168"/>
        <v>2224.1002017555097</v>
      </c>
      <c r="Z453">
        <f t="shared" si="169"/>
        <v>212359.57105624679</v>
      </c>
    </row>
    <row r="454" spans="1:26" x14ac:dyDescent="0.2">
      <c r="A454" s="2">
        <v>441</v>
      </c>
      <c r="B454" s="2">
        <f t="shared" si="170"/>
        <v>20.134376029334128</v>
      </c>
      <c r="C454" s="2">
        <f t="shared" si="171"/>
        <v>-3.5790574051827479E-4</v>
      </c>
      <c r="D454" s="2">
        <f t="shared" si="172"/>
        <v>6694.4116479686536</v>
      </c>
      <c r="E454" s="2">
        <f t="shared" si="173"/>
        <v>1.3252551299272948E-3</v>
      </c>
      <c r="F454" s="8">
        <f t="shared" si="174"/>
        <v>6484.9824793303251</v>
      </c>
      <c r="G454" s="2">
        <f t="shared" si="175"/>
        <v>1322265.7914467333</v>
      </c>
      <c r="H454" s="2">
        <f t="shared" si="176"/>
        <v>8.871800781389295</v>
      </c>
      <c r="I454" s="2">
        <f t="shared" si="177"/>
        <v>205968.44285702819</v>
      </c>
      <c r="J454" s="2">
        <f t="shared" si="178"/>
        <v>4.5084799456804365E-13</v>
      </c>
      <c r="K454" s="2">
        <f t="shared" si="179"/>
        <v>1.6662269361976789E-5</v>
      </c>
      <c r="L454" s="2">
        <f t="shared" si="180"/>
        <v>9.2026779520011495</v>
      </c>
      <c r="M454" s="2">
        <f t="shared" si="181"/>
        <v>2688.1000000000004</v>
      </c>
      <c r="N454">
        <f t="shared" si="182"/>
        <v>1.0102409646046656E-8</v>
      </c>
      <c r="O454" s="2">
        <v>54156</v>
      </c>
      <c r="P454" s="2">
        <v>1</v>
      </c>
      <c r="Y454">
        <f t="shared" si="168"/>
        <v>1752.3390103028426</v>
      </c>
      <c r="Z454">
        <f t="shared" si="169"/>
        <v>212368.44285702819</v>
      </c>
    </row>
    <row r="455" spans="1:26" x14ac:dyDescent="0.2">
      <c r="A455" s="2">
        <v>442</v>
      </c>
      <c r="B455" s="2">
        <f t="shared" si="170"/>
        <v>20.247159926980075</v>
      </c>
      <c r="C455" s="2">
        <f t="shared" si="171"/>
        <v>-3.5072395577708085E-4</v>
      </c>
      <c r="D455" s="2">
        <f t="shared" si="172"/>
        <v>6714.5460239979875</v>
      </c>
      <c r="E455" s="2">
        <f t="shared" si="173"/>
        <v>9.6734938940902006E-4</v>
      </c>
      <c r="F455" s="8">
        <f t="shared" si="174"/>
        <v>6504.4832196364587</v>
      </c>
      <c r="G455" s="2">
        <f t="shared" si="175"/>
        <v>1328770.2746663697</v>
      </c>
      <c r="H455" s="2">
        <f t="shared" si="176"/>
        <v>6.4953109834591638</v>
      </c>
      <c r="I455" s="2">
        <f t="shared" si="177"/>
        <v>205974.93816801163</v>
      </c>
      <c r="J455" s="2">
        <f t="shared" si="178"/>
        <v>4.5044111712373342E-13</v>
      </c>
      <c r="K455" s="2">
        <f t="shared" si="179"/>
        <v>1.6747520470216771E-5</v>
      </c>
      <c r="L455" s="2">
        <f t="shared" si="180"/>
        <v>9.2026597945123214</v>
      </c>
      <c r="M455" s="2">
        <f t="shared" si="181"/>
        <v>2673.57</v>
      </c>
      <c r="N455">
        <f t="shared" si="182"/>
        <v>1.0154097780448391E-8</v>
      </c>
      <c r="O455" s="2">
        <v>54156</v>
      </c>
      <c r="P455" s="2">
        <v>1</v>
      </c>
      <c r="Y455">
        <f t="shared" si="168"/>
        <v>1285.3849133938957</v>
      </c>
      <c r="Z455">
        <f t="shared" si="169"/>
        <v>212374.93816801163</v>
      </c>
    </row>
    <row r="456" spans="1:26" x14ac:dyDescent="0.2">
      <c r="A456" s="2">
        <v>443</v>
      </c>
      <c r="B456" s="2">
        <f t="shared" si="170"/>
        <v>20.361074308958344</v>
      </c>
      <c r="C456" s="2">
        <f t="shared" si="171"/>
        <v>-3.4352738447368725E-4</v>
      </c>
      <c r="D456" s="2">
        <f t="shared" si="172"/>
        <v>6734.7931839249677</v>
      </c>
      <c r="E456" s="2">
        <f t="shared" si="173"/>
        <v>6.1662543363193915E-4</v>
      </c>
      <c r="F456" s="8">
        <f t="shared" si="174"/>
        <v>6524.0946496136494</v>
      </c>
      <c r="G456" s="2">
        <f t="shared" si="175"/>
        <v>1335294.3693159833</v>
      </c>
      <c r="H456" s="2">
        <f t="shared" si="176"/>
        <v>4.1528445042886002</v>
      </c>
      <c r="I456" s="2">
        <f t="shared" si="177"/>
        <v>205979.09101251591</v>
      </c>
      <c r="J456" s="2">
        <f t="shared" si="178"/>
        <v>4.5018116826326315E-13</v>
      </c>
      <c r="K456" s="2">
        <f t="shared" si="179"/>
        <v>1.6838950941996541E-5</v>
      </c>
      <c r="L456" s="2">
        <f t="shared" si="180"/>
        <v>9.202648185361511</v>
      </c>
      <c r="M456" s="2">
        <f t="shared" si="181"/>
        <v>2659.04</v>
      </c>
      <c r="N456">
        <f t="shared" si="182"/>
        <v>1.0209532491050199E-8</v>
      </c>
      <c r="O456" s="2">
        <v>54156</v>
      </c>
      <c r="P456" s="2">
        <v>1</v>
      </c>
      <c r="Y456">
        <f t="shared" si="168"/>
        <v>823.37641732752877</v>
      </c>
      <c r="Z456">
        <f t="shared" si="169"/>
        <v>212379.09101251591</v>
      </c>
    </row>
    <row r="457" spans="1:26" x14ac:dyDescent="0.2">
      <c r="A457" s="2">
        <v>444</v>
      </c>
      <c r="B457" s="2">
        <f t="shared" si="170"/>
        <v>20.476138769572064</v>
      </c>
      <c r="C457" s="2">
        <f t="shared" si="171"/>
        <v>-3.3631580188386455E-4</v>
      </c>
      <c r="D457" s="2">
        <f t="shared" si="172"/>
        <v>6755.1542582339262</v>
      </c>
      <c r="E457" s="2">
        <f t="shared" si="173"/>
        <v>2.730980491582519E-4</v>
      </c>
      <c r="F457" s="8">
        <f t="shared" si="174"/>
        <v>6543.8178925864095</v>
      </c>
      <c r="G457" s="2">
        <f t="shared" si="175"/>
        <v>1341838.1872085696</v>
      </c>
      <c r="H457" s="2">
        <f t="shared" si="176"/>
        <v>1.8448194267548554</v>
      </c>
      <c r="I457" s="2">
        <f t="shared" si="177"/>
        <v>205980.93583194268</v>
      </c>
      <c r="J457" s="2">
        <f t="shared" si="178"/>
        <v>4.5006573922693187E-13</v>
      </c>
      <c r="K457" s="2">
        <f t="shared" si="179"/>
        <v>1.693657837367883E-5</v>
      </c>
      <c r="L457" s="2">
        <f t="shared" si="180"/>
        <v>9.2026430282318241</v>
      </c>
      <c r="M457" s="2">
        <f t="shared" si="181"/>
        <v>2644.51</v>
      </c>
      <c r="N457">
        <f t="shared" si="182"/>
        <v>1.0268724446606779E-8</v>
      </c>
      <c r="O457" s="2">
        <v>54156</v>
      </c>
      <c r="P457" s="2">
        <v>1</v>
      </c>
      <c r="Y457">
        <f t="shared" si="168"/>
        <v>366.45338665770231</v>
      </c>
      <c r="Z457">
        <f t="shared" si="169"/>
        <v>212380.93583194268</v>
      </c>
    </row>
    <row r="458" spans="1:26" x14ac:dyDescent="0.2">
      <c r="A458" s="2">
        <v>445</v>
      </c>
      <c r="B458" s="2">
        <f t="shared" si="170"/>
        <v>20.59237333656688</v>
      </c>
      <c r="C458" s="2">
        <f t="shared" si="171"/>
        <v>-3.290889792547733E-4</v>
      </c>
      <c r="D458" s="2">
        <f t="shared" si="172"/>
        <v>6775.6303970034978</v>
      </c>
      <c r="E458" s="2">
        <f t="shared" si="173"/>
        <v>-6.321775272561265E-5</v>
      </c>
      <c r="F458" s="8">
        <f t="shared" si="174"/>
        <v>6563.6540898869071</v>
      </c>
      <c r="G458" s="2">
        <f t="shared" si="175"/>
        <v>1348401.8412984565</v>
      </c>
      <c r="H458" s="2">
        <f t="shared" si="176"/>
        <v>-0.42834012671260274</v>
      </c>
      <c r="I458" s="2">
        <f t="shared" si="177"/>
        <v>205980.50749181598</v>
      </c>
      <c r="J458" s="2">
        <f t="shared" si="178"/>
        <v>4.5009253752483425E-13</v>
      </c>
      <c r="K458" s="2">
        <f t="shared" si="179"/>
        <v>1.7040424454883102E-5</v>
      </c>
      <c r="L458" s="2">
        <f t="shared" si="180"/>
        <v>9.2026442256416292</v>
      </c>
      <c r="M458" s="2">
        <f t="shared" si="181"/>
        <v>2629.98</v>
      </c>
      <c r="N458">
        <f t="shared" si="182"/>
        <v>1.0331686797632998E-8</v>
      </c>
      <c r="O458" s="2">
        <v>54156</v>
      </c>
      <c r="P458" s="2">
        <v>1</v>
      </c>
      <c r="Y458">
        <f t="shared" si="168"/>
        <v>-85.24293412102476</v>
      </c>
      <c r="Z458">
        <f t="shared" si="169"/>
        <v>212380.50749181598</v>
      </c>
    </row>
    <row r="459" spans="1:26" x14ac:dyDescent="0.2">
      <c r="A459" s="2">
        <v>446</v>
      </c>
      <c r="B459" s="2">
        <f t="shared" si="170"/>
        <v>20.709798483202967</v>
      </c>
      <c r="C459" s="2">
        <f t="shared" si="171"/>
        <v>-3.2184668373483848E-4</v>
      </c>
      <c r="D459" s="2">
        <f t="shared" si="172"/>
        <v>6796.2227703400649</v>
      </c>
      <c r="E459" s="2">
        <f t="shared" si="173"/>
        <v>-3.9230673198038595E-4</v>
      </c>
      <c r="F459" s="8">
        <f t="shared" si="174"/>
        <v>6583.6044012493421</v>
      </c>
      <c r="G459" s="2">
        <f t="shared" si="175"/>
        <v>1354985.445699706</v>
      </c>
      <c r="H459" s="2">
        <f t="shared" si="176"/>
        <v>-2.6662038764526339</v>
      </c>
      <c r="I459" s="2">
        <f t="shared" si="177"/>
        <v>205977.84128793952</v>
      </c>
      <c r="J459" s="2">
        <f t="shared" si="178"/>
        <v>4.5025937945865182E-13</v>
      </c>
      <c r="K459" s="2">
        <f t="shared" si="179"/>
        <v>1.7150514809732235E-5</v>
      </c>
      <c r="L459" s="2">
        <f t="shared" si="180"/>
        <v>9.2026516789263368</v>
      </c>
      <c r="M459" s="2">
        <f t="shared" si="181"/>
        <v>2615.4500000000003</v>
      </c>
      <c r="N459">
        <f t="shared" si="182"/>
        <v>1.0398435080151017E-8</v>
      </c>
      <c r="O459" s="2">
        <v>54156</v>
      </c>
      <c r="P459" s="2">
        <v>1</v>
      </c>
      <c r="Y459">
        <f t="shared" si="168"/>
        <v>-531.56989844824136</v>
      </c>
      <c r="Z459">
        <f t="shared" si="169"/>
        <v>212377.84128793952</v>
      </c>
    </row>
    <row r="460" spans="1:26" x14ac:dyDescent="0.2">
      <c r="A460" s="2">
        <v>447</v>
      </c>
      <c r="B460" s="2">
        <f t="shared" si="170"/>
        <v>20.828435140732463</v>
      </c>
      <c r="C460" s="2">
        <f t="shared" si="171"/>
        <v>-3.1458867830151622E-4</v>
      </c>
      <c r="D460" s="2">
        <f t="shared" si="172"/>
        <v>6816.9325688232675</v>
      </c>
      <c r="E460" s="2">
        <f t="shared" si="173"/>
        <v>-7.1415341571522443E-4</v>
      </c>
      <c r="F460" s="8">
        <f t="shared" si="174"/>
        <v>6603.6700052153356</v>
      </c>
      <c r="G460" s="2">
        <f t="shared" si="175"/>
        <v>1361589.1157049213</v>
      </c>
      <c r="H460" s="2">
        <f t="shared" si="176"/>
        <v>-4.8683352649047205</v>
      </c>
      <c r="I460" s="2">
        <f t="shared" si="177"/>
        <v>205972.97295267461</v>
      </c>
      <c r="J460" s="2">
        <f t="shared" si="178"/>
        <v>4.5056418283287916E-13</v>
      </c>
      <c r="K460" s="2">
        <f t="shared" si="179"/>
        <v>1.7266878838348317E-5</v>
      </c>
      <c r="L460" s="2">
        <f t="shared" si="180"/>
        <v>9.2026652882198263</v>
      </c>
      <c r="M460" s="2">
        <f t="shared" si="181"/>
        <v>2600.92</v>
      </c>
      <c r="N460">
        <f t="shared" si="182"/>
        <v>1.0468987119588489E-8</v>
      </c>
      <c r="O460" s="2">
        <v>54156</v>
      </c>
      <c r="P460" s="2">
        <v>1</v>
      </c>
      <c r="Y460">
        <f t="shared" si="168"/>
        <v>-972.38343512607719</v>
      </c>
      <c r="Z460">
        <f t="shared" si="169"/>
        <v>212372.97295267461</v>
      </c>
    </row>
    <row r="461" spans="1:26" x14ac:dyDescent="0.2">
      <c r="A461" s="2">
        <v>448</v>
      </c>
      <c r="B461" s="2">
        <f t="shared" si="170"/>
        <v>20.948304711298043</v>
      </c>
      <c r="C461" s="2">
        <f t="shared" si="171"/>
        <v>-3.0731472168688353E-4</v>
      </c>
      <c r="D461" s="2">
        <f t="shared" si="172"/>
        <v>6837.7610039640003</v>
      </c>
      <c r="E461" s="2">
        <f t="shared" si="173"/>
        <v>-1.0287420940167406E-3</v>
      </c>
      <c r="F461" s="8">
        <f t="shared" si="174"/>
        <v>6623.8520995507333</v>
      </c>
      <c r="G461" s="2">
        <f t="shared" si="175"/>
        <v>1368212.967804472</v>
      </c>
      <c r="H461" s="2">
        <f t="shared" si="176"/>
        <v>-7.0342913328599597</v>
      </c>
      <c r="I461" s="2">
        <f t="shared" si="177"/>
        <v>205965.93866134176</v>
      </c>
      <c r="J461" s="2">
        <f t="shared" si="178"/>
        <v>4.5100495983461291E-13</v>
      </c>
      <c r="K461" s="2">
        <f t="shared" si="179"/>
        <v>1.7389549557885621E-5</v>
      </c>
      <c r="L461" s="2">
        <f t="shared" si="180"/>
        <v>9.2026849524355487</v>
      </c>
      <c r="M461" s="2">
        <f t="shared" si="181"/>
        <v>2586.3900000000003</v>
      </c>
      <c r="N461">
        <f t="shared" si="182"/>
        <v>1.0543362934396112E-8</v>
      </c>
      <c r="O461" s="2">
        <v>54156</v>
      </c>
      <c r="P461" s="2">
        <v>1</v>
      </c>
      <c r="Y461">
        <f t="shared" si="168"/>
        <v>-1407.5380252912119</v>
      </c>
      <c r="Z461">
        <f t="shared" si="169"/>
        <v>212365.93866134176</v>
      </c>
    </row>
    <row r="462" spans="1:26" x14ac:dyDescent="0.2">
      <c r="A462" s="2">
        <v>449</v>
      </c>
      <c r="B462" s="2">
        <f t="shared" si="170"/>
        <v>21.069429081269526</v>
      </c>
      <c r="C462" s="2">
        <f t="shared" si="171"/>
        <v>-3.0002456830097949E-4</v>
      </c>
      <c r="D462" s="2">
        <f t="shared" si="172"/>
        <v>6858.7093086752984</v>
      </c>
      <c r="E462" s="2">
        <f t="shared" si="173"/>
        <v>-1.3360568157036242E-3</v>
      </c>
      <c r="F462" s="8">
        <f t="shared" si="174"/>
        <v>6644.1519016741677</v>
      </c>
      <c r="G462" s="2">
        <f t="shared" si="175"/>
        <v>1374857.1197061462</v>
      </c>
      <c r="H462" s="2">
        <f t="shared" si="176"/>
        <v>-9.1636225925342085</v>
      </c>
      <c r="I462" s="2">
        <f t="shared" si="177"/>
        <v>205956.77503874921</v>
      </c>
      <c r="J462" s="2">
        <f t="shared" si="178"/>
        <v>4.5157981006194136E-13</v>
      </c>
      <c r="K462" s="2">
        <f t="shared" si="179"/>
        <v>1.7518563442388124E-5</v>
      </c>
      <c r="L462" s="2">
        <f t="shared" si="180"/>
        <v>9.202710569247234</v>
      </c>
      <c r="M462" s="2">
        <f t="shared" si="181"/>
        <v>2571.86</v>
      </c>
      <c r="N462">
        <f t="shared" si="182"/>
        <v>1.0621584638952535E-8</v>
      </c>
      <c r="O462" s="2">
        <v>54156</v>
      </c>
      <c r="P462" s="2">
        <v>1</v>
      </c>
      <c r="Y462">
        <f t="shared" ref="Y462:Y500" si="183">(G462*COS((PI()/2) - E462))</f>
        <v>-1836.8866789135327</v>
      </c>
      <c r="Z462">
        <f t="shared" ref="Z462:Z499" si="184">6400+(I462)</f>
        <v>212356.77503874921</v>
      </c>
    </row>
    <row r="463" spans="1:26" x14ac:dyDescent="0.2">
      <c r="A463" s="2">
        <v>450</v>
      </c>
      <c r="B463" s="2">
        <f t="shared" si="170"/>
        <v>21.191830635035743</v>
      </c>
      <c r="C463" s="2">
        <f t="shared" si="171"/>
        <v>-2.927179681528255E-4</v>
      </c>
      <c r="D463" s="2">
        <f t="shared" si="172"/>
        <v>6879.7787377565683</v>
      </c>
      <c r="E463" s="2">
        <f t="shared" si="173"/>
        <v>-1.6360813840046037E-3</v>
      </c>
      <c r="F463" s="8">
        <f t="shared" si="174"/>
        <v>6664.57064909783</v>
      </c>
      <c r="G463" s="2">
        <f t="shared" si="175"/>
        <v>1381521.6903552441</v>
      </c>
      <c r="H463" s="2">
        <f t="shared" si="176"/>
        <v>-11.255872897363281</v>
      </c>
      <c r="I463" s="2">
        <f t="shared" si="177"/>
        <v>205945.51916585185</v>
      </c>
      <c r="J463" s="2">
        <f t="shared" si="178"/>
        <v>4.522869136818423E-13</v>
      </c>
      <c r="K463" s="2">
        <f t="shared" si="179"/>
        <v>1.7653960260758E-5</v>
      </c>
      <c r="L463" s="2">
        <f t="shared" si="180"/>
        <v>9.2027420350692779</v>
      </c>
      <c r="M463" s="2">
        <f t="shared" si="181"/>
        <v>2557.33</v>
      </c>
      <c r="N463">
        <f t="shared" si="182"/>
        <v>1.0703676345323891E-8</v>
      </c>
      <c r="O463" s="2">
        <v>54156</v>
      </c>
      <c r="P463" s="2">
        <v>1</v>
      </c>
      <c r="Y463">
        <f t="shared" si="183"/>
        <v>-2260.2809108159536</v>
      </c>
      <c r="Z463">
        <f t="shared" si="184"/>
        <v>212345.51916585185</v>
      </c>
    </row>
    <row r="464" spans="1:26" x14ac:dyDescent="0.2">
      <c r="A464" s="2">
        <v>451</v>
      </c>
      <c r="B464" s="2">
        <f t="shared" si="170"/>
        <v>21.31553226926999</v>
      </c>
      <c r="C464" s="2">
        <f t="shared" si="171"/>
        <v>-2.853946667690432E-4</v>
      </c>
      <c r="D464" s="2">
        <f t="shared" si="172"/>
        <v>6900.9705683916036</v>
      </c>
      <c r="E464" s="2">
        <f t="shared" si="173"/>
        <v>-1.9287993521574292E-3</v>
      </c>
      <c r="F464" s="8">
        <f t="shared" si="174"/>
        <v>6685.1095998808269</v>
      </c>
      <c r="G464" s="2">
        <f t="shared" si="175"/>
        <v>1388206.799955125</v>
      </c>
      <c r="H464" s="2">
        <f t="shared" si="176"/>
        <v>-13.310579308416267</v>
      </c>
      <c r="I464" s="2">
        <f t="shared" si="177"/>
        <v>205932.20858654342</v>
      </c>
      <c r="J464" s="2">
        <f t="shared" si="178"/>
        <v>4.5312452469930478E-13</v>
      </c>
      <c r="K464" s="2">
        <f t="shared" si="179"/>
        <v>1.7795782912117692E-5</v>
      </c>
      <c r="L464" s="2">
        <f t="shared" si="180"/>
        <v>9.2027792450367105</v>
      </c>
      <c r="M464" s="2">
        <f t="shared" si="181"/>
        <v>2542.8000000000002</v>
      </c>
      <c r="N464">
        <f t="shared" si="182"/>
        <v>1.0789664063443103E-8</v>
      </c>
      <c r="O464" s="2">
        <v>54156</v>
      </c>
      <c r="P464" s="2">
        <v>1</v>
      </c>
      <c r="Y464">
        <f t="shared" si="183"/>
        <v>-2677.570716200315</v>
      </c>
      <c r="Z464">
        <f t="shared" si="184"/>
        <v>212332.20858654342</v>
      </c>
    </row>
    <row r="465" spans="1:26" x14ac:dyDescent="0.2">
      <c r="A465" s="2">
        <v>452</v>
      </c>
      <c r="B465" s="2">
        <f t="shared" si="170"/>
        <v>21.440557407688139</v>
      </c>
      <c r="C465" s="2">
        <f t="shared" si="171"/>
        <v>-2.780544051099945E-4</v>
      </c>
      <c r="D465" s="2">
        <f t="shared" si="172"/>
        <v>6922.2861006608737</v>
      </c>
      <c r="E465" s="2">
        <f t="shared" si="173"/>
        <v>-2.2141940189264724E-3</v>
      </c>
      <c r="F465" s="8">
        <f t="shared" si="174"/>
        <v>6705.7700330955813</v>
      </c>
      <c r="G465" s="2">
        <f t="shared" si="175"/>
        <v>1394912.5699882205</v>
      </c>
      <c r="H465" s="2">
        <f t="shared" si="176"/>
        <v>-15.327271957319187</v>
      </c>
      <c r="I465" s="2">
        <f t="shared" si="177"/>
        <v>205916.88131458609</v>
      </c>
      <c r="J465" s="2">
        <f t="shared" si="178"/>
        <v>4.5409096432011E-13</v>
      </c>
      <c r="K465" s="2">
        <f t="shared" si="179"/>
        <v>1.7944077257842125E-5</v>
      </c>
      <c r="L465" s="2">
        <f t="shared" si="180"/>
        <v>9.2028220929848175</v>
      </c>
      <c r="M465" s="2">
        <f t="shared" si="181"/>
        <v>2528.27</v>
      </c>
      <c r="N465">
        <f t="shared" si="182"/>
        <v>1.0879575599270237E-8</v>
      </c>
      <c r="O465" s="2">
        <v>54156</v>
      </c>
      <c r="P465" s="2">
        <v>1</v>
      </c>
      <c r="Y465">
        <f t="shared" si="183"/>
        <v>-3088.6045456645029</v>
      </c>
      <c r="Z465">
        <f t="shared" si="184"/>
        <v>212316.88131458609</v>
      </c>
    </row>
    <row r="466" spans="1:26" x14ac:dyDescent="0.2">
      <c r="A466" s="2">
        <v>453</v>
      </c>
      <c r="B466" s="2">
        <f t="shared" si="170"/>
        <v>21.566930016319223</v>
      </c>
      <c r="C466" s="2">
        <f t="shared" si="171"/>
        <v>-2.7069691948335687E-4</v>
      </c>
      <c r="D466" s="2">
        <f t="shared" si="172"/>
        <v>6943.7266580685618</v>
      </c>
      <c r="E466" s="2">
        <f t="shared" si="173"/>
        <v>-2.4922484240364668E-3</v>
      </c>
      <c r="F466" s="8">
        <f t="shared" si="174"/>
        <v>6726.5532493077153</v>
      </c>
      <c r="G466" s="2">
        <f t="shared" si="175"/>
        <v>1401639.1232375281</v>
      </c>
      <c r="H466" s="2">
        <f t="shared" si="176"/>
        <v>-17.305473905577017</v>
      </c>
      <c r="I466" s="2">
        <f t="shared" si="177"/>
        <v>205899.57584068051</v>
      </c>
      <c r="J466" s="2">
        <f t="shared" si="178"/>
        <v>4.5518461439047527E-13</v>
      </c>
      <c r="K466" s="2">
        <f t="shared" si="179"/>
        <v>1.8098891949532813E-5</v>
      </c>
      <c r="L466" s="2">
        <f t="shared" si="180"/>
        <v>9.2028704714283389</v>
      </c>
      <c r="M466" s="2">
        <f t="shared" si="181"/>
        <v>2513.7400000000002</v>
      </c>
      <c r="N466">
        <f t="shared" si="182"/>
        <v>1.097344045049241E-8</v>
      </c>
      <c r="O466" s="2">
        <v>54156</v>
      </c>
      <c r="P466" s="2">
        <v>1</v>
      </c>
      <c r="Y466">
        <f t="shared" si="183"/>
        <v>-3493.2292797033174</v>
      </c>
      <c r="Z466">
        <f t="shared" si="184"/>
        <v>212299.57584068051</v>
      </c>
    </row>
    <row r="467" spans="1:26" x14ac:dyDescent="0.2">
      <c r="A467" s="2">
        <v>454</v>
      </c>
      <c r="B467" s="2">
        <f t="shared" si="170"/>
        <v>21.694674619309502</v>
      </c>
      <c r="C467" s="2">
        <f t="shared" si="171"/>
        <v>-2.6332194145504582E-4</v>
      </c>
      <c r="D467" s="2">
        <f t="shared" si="172"/>
        <v>6965.2935880848809</v>
      </c>
      <c r="E467" s="2">
        <f t="shared" si="173"/>
        <v>-2.7629453435198239E-3</v>
      </c>
      <c r="F467" s="8">
        <f t="shared" si="174"/>
        <v>6747.460571069907</v>
      </c>
      <c r="G467" s="2">
        <f t="shared" si="175"/>
        <v>1408386.5838085981</v>
      </c>
      <c r="H467" s="2">
        <f t="shared" si="176"/>
        <v>-19.244701000177912</v>
      </c>
      <c r="I467" s="2">
        <f t="shared" si="177"/>
        <v>205880.33113968032</v>
      </c>
      <c r="J467" s="2">
        <f t="shared" si="178"/>
        <v>4.5640391089745953E-13</v>
      </c>
      <c r="K467" s="2">
        <f t="shared" si="179"/>
        <v>1.8260278252198793E-5</v>
      </c>
      <c r="L467" s="2">
        <f t="shared" si="180"/>
        <v>9.2029242715402777</v>
      </c>
      <c r="M467" s="2">
        <f t="shared" si="181"/>
        <v>2499.21</v>
      </c>
      <c r="N467">
        <f t="shared" si="182"/>
        <v>1.1071289699317609E-8</v>
      </c>
      <c r="O467" s="2">
        <v>54156</v>
      </c>
      <c r="P467" s="2">
        <v>1</v>
      </c>
      <c r="Y467">
        <f t="shared" si="183"/>
        <v>-3891.2902026733268</v>
      </c>
      <c r="Z467">
        <f t="shared" si="184"/>
        <v>212280.33113968032</v>
      </c>
    </row>
    <row r="468" spans="1:26" x14ac:dyDescent="0.2">
      <c r="A468" s="2">
        <v>455</v>
      </c>
      <c r="B468" s="2">
        <f t="shared" si="170"/>
        <v>21.823816315281768</v>
      </c>
      <c r="C468" s="2">
        <f t="shared" si="171"/>
        <v>-2.5592919775740015E-4</v>
      </c>
      <c r="D468" s="2">
        <f t="shared" si="172"/>
        <v>6986.9882627041907</v>
      </c>
      <c r="E468" s="2">
        <f t="shared" si="173"/>
        <v>-3.0262672849748697E-3</v>
      </c>
      <c r="F468" s="8">
        <f t="shared" si="174"/>
        <v>6768.4933434301865</v>
      </c>
      <c r="G468" s="2">
        <f t="shared" si="175"/>
        <v>1415155.0771520282</v>
      </c>
      <c r="H468" s="2">
        <f t="shared" si="176"/>
        <v>-21.144461725358912</v>
      </c>
      <c r="I468" s="2">
        <f t="shared" si="177"/>
        <v>205859.18667795495</v>
      </c>
      <c r="J468" s="2">
        <f t="shared" si="178"/>
        <v>4.577473375146534E-13</v>
      </c>
      <c r="K468" s="2">
        <f t="shared" si="179"/>
        <v>1.8428289861899427E-5</v>
      </c>
      <c r="L468" s="2">
        <f t="shared" si="180"/>
        <v>9.2029833831302987</v>
      </c>
      <c r="M468" s="2">
        <f t="shared" si="181"/>
        <v>2484.6800000000003</v>
      </c>
      <c r="N468">
        <f t="shared" si="182"/>
        <v>1.1173155901910688E-8</v>
      </c>
      <c r="O468" s="2">
        <v>54156</v>
      </c>
      <c r="P468" s="2">
        <v>1</v>
      </c>
      <c r="Y468">
        <f t="shared" si="183"/>
        <v>-4282.6309762120572</v>
      </c>
      <c r="Z468">
        <f t="shared" si="184"/>
        <v>212259.18667795495</v>
      </c>
    </row>
    <row r="469" spans="1:26" x14ac:dyDescent="0.2">
      <c r="A469" s="2">
        <v>456</v>
      </c>
      <c r="B469" s="2">
        <f t="shared" si="170"/>
        <v>21.954380794272769</v>
      </c>
      <c r="C469" s="2">
        <f t="shared" si="171"/>
        <v>-2.4851841019452416E-4</v>
      </c>
      <c r="D469" s="2">
        <f t="shared" si="172"/>
        <v>7008.8120790194725</v>
      </c>
      <c r="E469" s="2">
        <f t="shared" si="173"/>
        <v>-3.2821964827322698E-3</v>
      </c>
      <c r="F469" s="8">
        <f t="shared" si="174"/>
        <v>6789.6529344551964</v>
      </c>
      <c r="G469" s="2">
        <f t="shared" si="175"/>
        <v>1421944.7300864835</v>
      </c>
      <c r="H469" s="2">
        <f t="shared" si="176"/>
        <v>-23.004257050407801</v>
      </c>
      <c r="I469" s="2">
        <f t="shared" si="177"/>
        <v>205836.18242090454</v>
      </c>
      <c r="J469" s="2">
        <f t="shared" si="178"/>
        <v>4.5921341917838441E-13</v>
      </c>
      <c r="K469" s="2">
        <f t="shared" si="179"/>
        <v>1.8602982717097695E-5</v>
      </c>
      <c r="L469" s="2">
        <f t="shared" si="180"/>
        <v>9.2030476946226774</v>
      </c>
      <c r="M469" s="2">
        <f t="shared" si="181"/>
        <v>2470.15</v>
      </c>
      <c r="N469">
        <f t="shared" si="182"/>
        <v>1.1279072974015985E-8</v>
      </c>
      <c r="O469" s="2">
        <v>54156</v>
      </c>
      <c r="P469" s="2">
        <v>1</v>
      </c>
      <c r="Y469">
        <f t="shared" si="183"/>
        <v>-4667.0936120972792</v>
      </c>
      <c r="Z469">
        <f t="shared" si="184"/>
        <v>212236.18242090454</v>
      </c>
    </row>
    <row r="470" spans="1:26" x14ac:dyDescent="0.2">
      <c r="A470" s="2">
        <v>457</v>
      </c>
      <c r="B470" s="2">
        <f t="shared" si="170"/>
        <v>22.086394355272706</v>
      </c>
      <c r="C470" s="2">
        <f t="shared" si="171"/>
        <v>-2.4108929554470706E-4</v>
      </c>
      <c r="D470" s="2">
        <f t="shared" si="172"/>
        <v>7030.7664598137453</v>
      </c>
      <c r="E470" s="2">
        <f t="shared" si="173"/>
        <v>-3.530714892926794E-3</v>
      </c>
      <c r="F470" s="8">
        <f t="shared" si="174"/>
        <v>6810.9407357689433</v>
      </c>
      <c r="G470" s="2">
        <f t="shared" si="175"/>
        <v>1428755.6708222525</v>
      </c>
      <c r="H470" s="2">
        <f t="shared" si="176"/>
        <v>-24.823580273370858</v>
      </c>
      <c r="I470" s="2">
        <f t="shared" si="177"/>
        <v>205811.35884063118</v>
      </c>
      <c r="J470" s="2">
        <f t="shared" si="178"/>
        <v>4.6080071568026199E-13</v>
      </c>
      <c r="K470" s="2">
        <f t="shared" si="179"/>
        <v>1.8784414802961556E-5</v>
      </c>
      <c r="L470" s="2">
        <f t="shared" si="180"/>
        <v>9.2031170930338515</v>
      </c>
      <c r="M470" s="2">
        <f t="shared" si="181"/>
        <v>2455.6200000000003</v>
      </c>
      <c r="N470">
        <f t="shared" si="182"/>
        <v>1.1389076072304393E-8</v>
      </c>
      <c r="O470" s="2">
        <v>54156</v>
      </c>
      <c r="P470" s="2">
        <v>1</v>
      </c>
      <c r="Y470">
        <f t="shared" si="183"/>
        <v>-5044.5184445267323</v>
      </c>
      <c r="Z470">
        <f t="shared" si="184"/>
        <v>212211.35884063118</v>
      </c>
    </row>
    <row r="471" spans="1:26" x14ac:dyDescent="0.2">
      <c r="A471" s="2">
        <v>458</v>
      </c>
      <c r="B471" s="2">
        <f t="shared" si="170"/>
        <v>22.219883924391958</v>
      </c>
      <c r="C471" s="2">
        <f t="shared" si="171"/>
        <v>-2.3364156545979366E-4</v>
      </c>
      <c r="D471" s="2">
        <f t="shared" si="172"/>
        <v>7052.8528541690184</v>
      </c>
      <c r="E471" s="2">
        <f t="shared" si="173"/>
        <v>-3.7718041884715011E-3</v>
      </c>
      <c r="F471" s="8">
        <f t="shared" si="174"/>
        <v>6832.3581631075986</v>
      </c>
      <c r="G471" s="2">
        <f t="shared" si="175"/>
        <v>1435588.0289853602</v>
      </c>
      <c r="H471" s="2">
        <f t="shared" si="176"/>
        <v>-26.601916860531183</v>
      </c>
      <c r="I471" s="2">
        <f t="shared" si="177"/>
        <v>205784.75692377065</v>
      </c>
      <c r="J471" s="2">
        <f t="shared" si="178"/>
        <v>4.6250781526250684E-13</v>
      </c>
      <c r="K471" s="2">
        <f t="shared" si="179"/>
        <v>1.8972645947841298E-5</v>
      </c>
      <c r="L471" s="2">
        <f t="shared" si="180"/>
        <v>9.2031914639494872</v>
      </c>
      <c r="M471" s="2">
        <f t="shared" si="181"/>
        <v>2441.09</v>
      </c>
      <c r="N471">
        <f t="shared" si="182"/>
        <v>1.1503201470976611E-8</v>
      </c>
      <c r="O471" s="2">
        <v>54156</v>
      </c>
      <c r="P471" s="2">
        <v>1</v>
      </c>
      <c r="Y471">
        <f t="shared" si="183"/>
        <v>-5414.7441018095542</v>
      </c>
      <c r="Z471">
        <f t="shared" si="184"/>
        <v>212184.75692377065</v>
      </c>
    </row>
    <row r="472" spans="1:26" x14ac:dyDescent="0.2">
      <c r="A472" s="2">
        <v>459</v>
      </c>
      <c r="B472" s="2">
        <f t="shared" si="170"/>
        <v>22.354877073681198</v>
      </c>
      <c r="C472" s="2">
        <f t="shared" si="171"/>
        <v>-2.2617492636142593E-4</v>
      </c>
      <c r="D472" s="2">
        <f t="shared" si="172"/>
        <v>7075.0727380934104</v>
      </c>
      <c r="E472" s="2">
        <f t="shared" si="173"/>
        <v>-4.0054457539312948E-3</v>
      </c>
      <c r="F472" s="8">
        <f t="shared" si="174"/>
        <v>6853.9066568909157</v>
      </c>
      <c r="G472" s="2">
        <f t="shared" si="175"/>
        <v>1442441.935642251</v>
      </c>
      <c r="H472" s="2">
        <f t="shared" si="176"/>
        <v>-28.338744281516888</v>
      </c>
      <c r="I472" s="2">
        <f t="shared" si="177"/>
        <v>205756.41817948912</v>
      </c>
      <c r="J472" s="2">
        <f t="shared" si="178"/>
        <v>4.6433332820314091E-13</v>
      </c>
      <c r="K472" s="2">
        <f t="shared" si="179"/>
        <v>1.9167737611140882E-5</v>
      </c>
      <c r="L472" s="2">
        <f t="shared" si="180"/>
        <v>9.2032706915011211</v>
      </c>
      <c r="M472" s="2">
        <f t="shared" si="181"/>
        <v>2426.56</v>
      </c>
      <c r="N472">
        <f t="shared" si="182"/>
        <v>1.1621486433148604E-8</v>
      </c>
      <c r="O472" s="2">
        <v>54156</v>
      </c>
      <c r="P472" s="2">
        <v>1</v>
      </c>
      <c r="Y472">
        <f t="shared" si="183"/>
        <v>-5777.6074774487106</v>
      </c>
      <c r="Z472">
        <f t="shared" si="184"/>
        <v>212156.41817948912</v>
      </c>
    </row>
    <row r="473" spans="1:26" x14ac:dyDescent="0.2">
      <c r="A473" s="2">
        <v>460</v>
      </c>
      <c r="B473" s="2">
        <f t="shared" si="170"/>
        <v>22.491402040632575</v>
      </c>
      <c r="C473" s="2">
        <f t="shared" si="171"/>
        <v>-2.1868907933401822E-4</v>
      </c>
      <c r="D473" s="2">
        <f t="shared" si="172"/>
        <v>7097.427615167092</v>
      </c>
      <c r="E473" s="2">
        <f t="shared" si="173"/>
        <v>-4.2316206802927208E-3</v>
      </c>
      <c r="F473" s="8">
        <f t="shared" si="174"/>
        <v>6875.5876828108812</v>
      </c>
      <c r="G473" s="2">
        <f t="shared" si="175"/>
        <v>1449317.5233250619</v>
      </c>
      <c r="H473" s="2">
        <f t="shared" si="176"/>
        <v>-30.03353183989293</v>
      </c>
      <c r="I473" s="2">
        <f t="shared" si="177"/>
        <v>205726.38464764922</v>
      </c>
      <c r="J473" s="2">
        <f t="shared" si="178"/>
        <v>4.6627588037872361E-13</v>
      </c>
      <c r="K473" s="2">
        <f t="shared" si="179"/>
        <v>1.936975266179121E-5</v>
      </c>
      <c r="L473" s="2">
        <f t="shared" si="180"/>
        <v>9.2033546583422829</v>
      </c>
      <c r="M473" s="2">
        <f t="shared" si="181"/>
        <v>2412.0300000000002</v>
      </c>
      <c r="N473">
        <f t="shared" si="182"/>
        <v>1.1743969076538925E-8</v>
      </c>
      <c r="O473" s="2">
        <v>54156</v>
      </c>
      <c r="P473" s="2">
        <v>1</v>
      </c>
      <c r="Y473">
        <f t="shared" si="183"/>
        <v>-6132.9437005992731</v>
      </c>
      <c r="Z473">
        <f t="shared" si="184"/>
        <v>212126.38464764922</v>
      </c>
    </row>
    <row r="474" spans="1:26" x14ac:dyDescent="0.2">
      <c r="A474" s="2">
        <v>461</v>
      </c>
      <c r="B474" s="2">
        <f t="shared" si="170"/>
        <v>22.629487748390851</v>
      </c>
      <c r="C474" s="2">
        <f t="shared" si="171"/>
        <v>-2.1118372001437675E-4</v>
      </c>
      <c r="D474" s="2">
        <f t="shared" si="172"/>
        <v>7119.9190172077242</v>
      </c>
      <c r="E474" s="2">
        <f t="shared" si="173"/>
        <v>-4.4503097596267386E-3</v>
      </c>
      <c r="F474" s="8">
        <f t="shared" si="174"/>
        <v>6897.4027324381996</v>
      </c>
      <c r="G474" s="2">
        <f t="shared" si="175"/>
        <v>1456214.9260575001</v>
      </c>
      <c r="H474" s="2">
        <f t="shared" si="176"/>
        <v>-31.685740499084478</v>
      </c>
      <c r="I474" s="2">
        <f t="shared" si="177"/>
        <v>205694.69890715013</v>
      </c>
      <c r="J474" s="2">
        <f t="shared" si="178"/>
        <v>4.6833410679291849E-13</v>
      </c>
      <c r="K474" s="2">
        <f t="shared" si="179"/>
        <v>1.9578755146522056E-5</v>
      </c>
      <c r="L474" s="2">
        <f t="shared" si="180"/>
        <v>9.203443245624193</v>
      </c>
      <c r="M474" s="2">
        <f t="shared" si="181"/>
        <v>2397.5</v>
      </c>
      <c r="N474">
        <f t="shared" si="182"/>
        <v>1.1870688232970937E-8</v>
      </c>
      <c r="O474" s="2">
        <v>54156</v>
      </c>
      <c r="P474" s="2">
        <v>1</v>
      </c>
      <c r="Y474">
        <f t="shared" si="183"/>
        <v>-6480.5861058860446</v>
      </c>
      <c r="Z474">
        <f t="shared" si="184"/>
        <v>212094.69890715013</v>
      </c>
    </row>
    <row r="475" spans="1:26" x14ac:dyDescent="0.2">
      <c r="A475" s="2">
        <v>462</v>
      </c>
      <c r="B475" s="2">
        <f t="shared" si="170"/>
        <v>22.769163826704713</v>
      </c>
      <c r="C475" s="2">
        <f t="shared" si="171"/>
        <v>-2.0365853847782248E-4</v>
      </c>
      <c r="D475" s="2">
        <f t="shared" si="172"/>
        <v>7142.5485049561148</v>
      </c>
      <c r="E475" s="2">
        <f t="shared" si="173"/>
        <v>-4.6614934796411151E-3</v>
      </c>
      <c r="F475" s="8">
        <f t="shared" si="174"/>
        <v>6919.3533238472919</v>
      </c>
      <c r="G475" s="2">
        <f t="shared" si="175"/>
        <v>1463134.2793813474</v>
      </c>
      <c r="H475" s="2">
        <f t="shared" si="176"/>
        <v>-33.294822703473557</v>
      </c>
      <c r="I475" s="2">
        <f t="shared" si="177"/>
        <v>205661.40408444667</v>
      </c>
      <c r="J475" s="2">
        <f t="shared" si="178"/>
        <v>4.7050664505982562E-13</v>
      </c>
      <c r="K475" s="2">
        <f t="shared" si="179"/>
        <v>1.9794810047120602E-5</v>
      </c>
      <c r="L475" s="2">
        <f t="shared" si="180"/>
        <v>9.2035363329709305</v>
      </c>
      <c r="M475" s="2">
        <f t="shared" si="181"/>
        <v>2382.9700000000003</v>
      </c>
      <c r="N475">
        <f t="shared" si="182"/>
        <v>1.2001683301197553E-8</v>
      </c>
      <c r="O475" s="2">
        <v>54156</v>
      </c>
      <c r="P475" s="2">
        <v>1</v>
      </c>
      <c r="Y475">
        <f t="shared" si="183"/>
        <v>-6820.3662025639733</v>
      </c>
      <c r="Z475">
        <f t="shared" si="184"/>
        <v>212061.40408444667</v>
      </c>
    </row>
    <row r="476" spans="1:26" x14ac:dyDescent="0.2">
      <c r="A476" s="2">
        <v>463</v>
      </c>
      <c r="B476" s="2">
        <f t="shared" si="170"/>
        <v>22.910460633650189</v>
      </c>
      <c r="C476" s="2">
        <f t="shared" si="171"/>
        <v>-1.9611321912070063E-4</v>
      </c>
      <c r="D476" s="2">
        <f t="shared" si="172"/>
        <v>7165.31766878282</v>
      </c>
      <c r="E476" s="2">
        <f t="shared" si="173"/>
        <v>-4.865152018118938E-3</v>
      </c>
      <c r="F476" s="8">
        <f t="shared" si="174"/>
        <v>6941.4410022604843</v>
      </c>
      <c r="G476" s="2">
        <f t="shared" si="175"/>
        <v>1470075.7203836078</v>
      </c>
      <c r="H476" s="2">
        <f t="shared" si="176"/>
        <v>-34.860222194504544</v>
      </c>
      <c r="I476" s="2">
        <f t="shared" si="177"/>
        <v>205626.54386225215</v>
      </c>
      <c r="J476" s="2">
        <f t="shared" si="178"/>
        <v>4.727921288316081E-13</v>
      </c>
      <c r="K476" s="2">
        <f t="shared" si="179"/>
        <v>2.0017983025853245E-5</v>
      </c>
      <c r="L476" s="2">
        <f t="shared" si="180"/>
        <v>9.2036337984540708</v>
      </c>
      <c r="M476" s="2">
        <f t="shared" si="181"/>
        <v>2368.44</v>
      </c>
      <c r="N476">
        <f t="shared" si="182"/>
        <v>1.2136994092549336E-8</v>
      </c>
      <c r="O476" s="2">
        <v>54156</v>
      </c>
      <c r="P476" s="2">
        <v>1</v>
      </c>
      <c r="Y476">
        <f t="shared" si="183"/>
        <v>-7152.1136429981952</v>
      </c>
      <c r="Z476">
        <f t="shared" si="184"/>
        <v>212026.54386225215</v>
      </c>
    </row>
    <row r="477" spans="1:26" x14ac:dyDescent="0.2">
      <c r="A477" s="2">
        <v>464</v>
      </c>
      <c r="B477" s="2">
        <f t="shared" si="170"/>
        <v>23.053409278159414</v>
      </c>
      <c r="C477" s="2">
        <f t="shared" si="171"/>
        <v>-1.8854744053915036E-4</v>
      </c>
      <c r="D477" s="2">
        <f t="shared" si="172"/>
        <v>7188.2281294164704</v>
      </c>
      <c r="E477" s="2">
        <f t="shared" si="173"/>
        <v>-5.0612652372396382E-3</v>
      </c>
      <c r="F477" s="8">
        <f t="shared" si="174"/>
        <v>6963.667340712077</v>
      </c>
      <c r="G477" s="2">
        <f t="shared" si="175"/>
        <v>1477039.3877243199</v>
      </c>
      <c r="H477" s="2">
        <f t="shared" si="176"/>
        <v>-36.381373821626916</v>
      </c>
      <c r="I477" s="2">
        <f t="shared" si="177"/>
        <v>205590.16248843051</v>
      </c>
      <c r="J477" s="2">
        <f t="shared" si="178"/>
        <v>4.7518918116065031E-13</v>
      </c>
      <c r="K477" s="2">
        <f t="shared" si="179"/>
        <v>2.0248340158220882E-5</v>
      </c>
      <c r="L477" s="2">
        <f t="shared" si="180"/>
        <v>9.2037355185668535</v>
      </c>
      <c r="M477" s="2">
        <f t="shared" si="181"/>
        <v>2353.9100000000003</v>
      </c>
      <c r="N477">
        <f t="shared" si="182"/>
        <v>1.2276660668902796E-8</v>
      </c>
      <c r="O477" s="2">
        <v>54156</v>
      </c>
      <c r="P477" s="2">
        <v>1</v>
      </c>
      <c r="Y477">
        <f t="shared" si="183"/>
        <v>-7475.6561904536811</v>
      </c>
      <c r="Z477">
        <f t="shared" si="184"/>
        <v>211990.16248843051</v>
      </c>
    </row>
    <row r="478" spans="1:26" x14ac:dyDescent="0.2">
      <c r="A478" s="2">
        <v>465</v>
      </c>
      <c r="B478" s="2">
        <f t="shared" si="170"/>
        <v>23.198041643389864</v>
      </c>
      <c r="C478" s="2">
        <f t="shared" si="171"/>
        <v>-1.8096087540398742E-4</v>
      </c>
      <c r="D478" s="2">
        <f t="shared" si="172"/>
        <v>7211.2815386946295</v>
      </c>
      <c r="E478" s="2">
        <f t="shared" si="173"/>
        <v>-5.2498126777787884E-3</v>
      </c>
      <c r="F478" s="8">
        <f t="shared" si="174"/>
        <v>6986.0339407330503</v>
      </c>
      <c r="G478" s="2">
        <f t="shared" si="175"/>
        <v>1484025.4216650529</v>
      </c>
      <c r="H478" s="2">
        <f t="shared" si="176"/>
        <v>-37.857703347897349</v>
      </c>
      <c r="I478" s="2">
        <f t="shared" si="177"/>
        <v>205552.30478508261</v>
      </c>
      <c r="J478" s="2">
        <f t="shared" si="178"/>
        <v>4.7769640778712031E-13</v>
      </c>
      <c r="K478" s="2">
        <f t="shared" si="179"/>
        <v>2.0485947652208334E-5</v>
      </c>
      <c r="L478" s="2">
        <f t="shared" si="180"/>
        <v>9.2038413681977591</v>
      </c>
      <c r="M478" s="2">
        <f t="shared" si="181"/>
        <v>2339.38</v>
      </c>
      <c r="N478">
        <f t="shared" si="182"/>
        <v>1.2420723172460054E-8</v>
      </c>
      <c r="O478" s="2">
        <v>54156</v>
      </c>
      <c r="P478" s="2">
        <v>1</v>
      </c>
      <c r="Y478">
        <f t="shared" si="183"/>
        <v>-7790.819686163858</v>
      </c>
      <c r="Z478">
        <f t="shared" si="184"/>
        <v>211952.30478508261</v>
      </c>
    </row>
    <row r="479" spans="1:26" x14ac:dyDescent="0.2">
      <c r="A479" s="2">
        <v>466</v>
      </c>
      <c r="B479" s="2">
        <f t="shared" si="170"/>
        <v>23.34439041097076</v>
      </c>
      <c r="C479" s="2">
        <f t="shared" si="171"/>
        <v>-1.7335319033156705E-4</v>
      </c>
      <c r="D479" s="2">
        <f t="shared" si="172"/>
        <v>7234.4795803380193</v>
      </c>
      <c r="E479" s="2">
        <f t="shared" si="173"/>
        <v>-5.4307735531827755E-3</v>
      </c>
      <c r="F479" s="8">
        <f t="shared" si="174"/>
        <v>7008.5424330571996</v>
      </c>
      <c r="G479" s="2">
        <f t="shared" si="175"/>
        <v>1491033.9640981101</v>
      </c>
      <c r="H479" s="2">
        <f t="shared" si="176"/>
        <v>-39.288627250055256</v>
      </c>
      <c r="I479" s="2">
        <f t="shared" si="177"/>
        <v>205513.01615783255</v>
      </c>
      <c r="J479" s="2">
        <f t="shared" si="178"/>
        <v>4.8031239034351582E-13</v>
      </c>
      <c r="K479" s="2">
        <f t="shared" si="179"/>
        <v>2.0730871553182258E-5</v>
      </c>
      <c r="L479" s="2">
        <f t="shared" si="180"/>
        <v>9.2039512206035745</v>
      </c>
      <c r="M479" s="2">
        <f t="shared" si="181"/>
        <v>2324.8500000000004</v>
      </c>
      <c r="N479">
        <f t="shared" si="182"/>
        <v>1.2569221646827103E-8</v>
      </c>
      <c r="O479" s="2">
        <v>54156</v>
      </c>
      <c r="P479" s="2">
        <v>1</v>
      </c>
      <c r="Y479">
        <f t="shared" si="183"/>
        <v>-8097.428015669926</v>
      </c>
      <c r="Z479">
        <f t="shared" si="184"/>
        <v>211913.01615783255</v>
      </c>
    </row>
    <row r="480" spans="1:26" x14ac:dyDescent="0.2">
      <c r="A480" s="2">
        <v>467</v>
      </c>
      <c r="B480" s="2">
        <f t="shared" si="170"/>
        <v>23.492489086165349</v>
      </c>
      <c r="C480" s="2">
        <f t="shared" si="171"/>
        <v>-1.6572404575047309E-4</v>
      </c>
      <c r="D480" s="2">
        <f t="shared" si="172"/>
        <v>7257.8239707489902</v>
      </c>
      <c r="E480" s="2">
        <f t="shared" si="173"/>
        <v>-5.6041267435143422E-3</v>
      </c>
      <c r="F480" s="8">
        <f t="shared" si="174"/>
        <v>7031.1944783494655</v>
      </c>
      <c r="G480" s="2">
        <f t="shared" si="175"/>
        <v>1498065.1585764596</v>
      </c>
      <c r="H480" s="2">
        <f t="shared" si="176"/>
        <v>-40.67355251287848</v>
      </c>
      <c r="I480" s="2">
        <f t="shared" si="177"/>
        <v>205472.34260531966</v>
      </c>
      <c r="J480" s="2">
        <f t="shared" si="178"/>
        <v>4.8303567946853565E-13</v>
      </c>
      <c r="K480" s="2">
        <f t="shared" si="179"/>
        <v>2.0983177433587946E-5</v>
      </c>
      <c r="L480" s="2">
        <f t="shared" si="180"/>
        <v>9.2040649473818537</v>
      </c>
      <c r="M480" s="2">
        <f t="shared" si="181"/>
        <v>2310.3200000000002</v>
      </c>
      <c r="N480">
        <f t="shared" si="182"/>
        <v>1.2722195848875551E-8</v>
      </c>
      <c r="O480" s="2">
        <v>54156</v>
      </c>
      <c r="P480" s="2">
        <v>1</v>
      </c>
      <c r="Y480">
        <f t="shared" si="183"/>
        <v>-8395.3030743984891</v>
      </c>
      <c r="Z480">
        <f t="shared" si="184"/>
        <v>211872.34260531966</v>
      </c>
    </row>
    <row r="481" spans="1:26" x14ac:dyDescent="0.2">
      <c r="A481" s="2">
        <v>468</v>
      </c>
      <c r="B481" s="2">
        <f t="shared" si="170"/>
        <v>23.642372023989566</v>
      </c>
      <c r="C481" s="2">
        <f t="shared" si="171"/>
        <v>-1.5807309576388264E-4</v>
      </c>
      <c r="D481" s="2">
        <f t="shared" si="172"/>
        <v>7281.3164598351559</v>
      </c>
      <c r="E481" s="2">
        <f t="shared" si="173"/>
        <v>-5.7698507892648149E-3</v>
      </c>
      <c r="F481" s="8">
        <f t="shared" si="174"/>
        <v>7053.9917679573355</v>
      </c>
      <c r="G481" s="2">
        <f t="shared" si="175"/>
        <v>1505119.150344417</v>
      </c>
      <c r="H481" s="2">
        <f t="shared" si="176"/>
        <v>-42.011876417617827</v>
      </c>
      <c r="I481" s="2">
        <f t="shared" si="177"/>
        <v>205430.33072890204</v>
      </c>
      <c r="J481" s="2">
        <f t="shared" si="178"/>
        <v>4.8586478782336082E-13</v>
      </c>
      <c r="K481" s="2">
        <f t="shared" si="179"/>
        <v>2.124293006659111E-5</v>
      </c>
      <c r="L481" s="2">
        <f t="shared" si="180"/>
        <v>9.2041824184428265</v>
      </c>
      <c r="M481" s="2">
        <f t="shared" si="181"/>
        <v>2295.79</v>
      </c>
      <c r="N481">
        <f t="shared" si="182"/>
        <v>1.2879685050870176E-8</v>
      </c>
      <c r="O481" s="2">
        <v>54156</v>
      </c>
      <c r="P481" s="2">
        <v>1</v>
      </c>
      <c r="Y481">
        <f t="shared" si="183"/>
        <v>-8684.2647324642621</v>
      </c>
      <c r="Z481">
        <f t="shared" si="184"/>
        <v>211830.33072890204</v>
      </c>
    </row>
    <row r="482" spans="1:26" x14ac:dyDescent="0.2">
      <c r="A482" s="2">
        <v>469</v>
      </c>
      <c r="B482" s="2">
        <f t="shared" si="170"/>
        <v>23.794074456329781</v>
      </c>
      <c r="C482" s="2">
        <f t="shared" si="171"/>
        <v>-1.5039998800743954E-4</v>
      </c>
      <c r="D482" s="2">
        <f t="shared" si="172"/>
        <v>7304.9588318591459</v>
      </c>
      <c r="E482" s="2">
        <f t="shared" si="173"/>
        <v>-5.9279238850286978E-3</v>
      </c>
      <c r="F482" s="8">
        <f t="shared" si="174"/>
        <v>7076.936024686187</v>
      </c>
      <c r="G482" s="2">
        <f t="shared" si="175"/>
        <v>1512196.0863691031</v>
      </c>
      <c r="H482" s="2">
        <f t="shared" si="176"/>
        <v>-43.302986324300598</v>
      </c>
      <c r="I482" s="2">
        <f t="shared" si="177"/>
        <v>205387.02774257775</v>
      </c>
      <c r="J482" s="2">
        <f t="shared" si="178"/>
        <v>4.8879818300426465E-13</v>
      </c>
      <c r="K482" s="2">
        <f t="shared" si="179"/>
        <v>2.1510193082810553E-5</v>
      </c>
      <c r="L482" s="2">
        <f t="shared" si="180"/>
        <v>9.2043035019806858</v>
      </c>
      <c r="M482" s="2">
        <f t="shared" si="181"/>
        <v>2281.2600000000002</v>
      </c>
      <c r="N482">
        <f t="shared" si="182"/>
        <v>1.304172783234436E-8</v>
      </c>
      <c r="O482" s="2">
        <v>54156</v>
      </c>
      <c r="P482" s="2">
        <v>1</v>
      </c>
      <c r="Y482">
        <f t="shared" si="183"/>
        <v>-8964.1307986722877</v>
      </c>
      <c r="Z482">
        <f t="shared" si="184"/>
        <v>211787.02774257775</v>
      </c>
    </row>
    <row r="483" spans="1:26" x14ac:dyDescent="0.2">
      <c r="A483" s="2">
        <v>470</v>
      </c>
      <c r="B483" s="2">
        <f t="shared" si="170"/>
        <v>23.947632520104499</v>
      </c>
      <c r="C483" s="2">
        <f t="shared" si="171"/>
        <v>-1.427043635024704E-4</v>
      </c>
      <c r="D483" s="2">
        <f t="shared" si="172"/>
        <v>7328.7529063154761</v>
      </c>
      <c r="E483" s="2">
        <f t="shared" si="173"/>
        <v>-6.0783238730361374E-3</v>
      </c>
      <c r="F483" s="8">
        <f t="shared" si="174"/>
        <v>7100.0290035994949</v>
      </c>
      <c r="G483" s="2">
        <f t="shared" si="175"/>
        <v>1519296.1153727025</v>
      </c>
      <c r="H483" s="2">
        <f t="shared" si="176"/>
        <v>-44.546259447684371</v>
      </c>
      <c r="I483" s="2">
        <f t="shared" si="177"/>
        <v>205342.48148313008</v>
      </c>
      <c r="J483" s="2">
        <f t="shared" si="178"/>
        <v>4.9183428034631819E-13</v>
      </c>
      <c r="K483" s="2">
        <f t="shared" si="179"/>
        <v>2.1785028609288707E-5</v>
      </c>
      <c r="L483" s="2">
        <f t="shared" si="180"/>
        <v>9.2044280644442615</v>
      </c>
      <c r="M483" s="2">
        <f t="shared" si="181"/>
        <v>2266.73</v>
      </c>
      <c r="N483">
        <f t="shared" si="182"/>
        <v>1.3208361861206307E-8</v>
      </c>
      <c r="O483" s="2">
        <v>54156</v>
      </c>
      <c r="P483" s="2">
        <v>1</v>
      </c>
      <c r="Y483">
        <f t="shared" si="183"/>
        <v>-9234.7169836944195</v>
      </c>
      <c r="Z483">
        <f t="shared" si="184"/>
        <v>211742.48148313008</v>
      </c>
    </row>
    <row r="484" spans="1:26" x14ac:dyDescent="0.2">
      <c r="A484" s="2">
        <v>471</v>
      </c>
      <c r="B484" s="2">
        <f t="shared" si="170"/>
        <v>24.103083286517055</v>
      </c>
      <c r="C484" s="2">
        <f t="shared" si="171"/>
        <v>-1.3498585650436844E-4</v>
      </c>
      <c r="D484" s="2">
        <f t="shared" si="172"/>
        <v>7352.700538835581</v>
      </c>
      <c r="E484" s="2">
        <f t="shared" si="173"/>
        <v>-6.2210282365386081E-3</v>
      </c>
      <c r="F484" s="8">
        <f t="shared" si="174"/>
        <v>7123.2724928448642</v>
      </c>
      <c r="G484" s="2">
        <f t="shared" si="175"/>
        <v>1526419.3878655473</v>
      </c>
      <c r="H484" s="2">
        <f t="shared" si="176"/>
        <v>-45.741062626633038</v>
      </c>
      <c r="I484" s="2">
        <f t="shared" si="177"/>
        <v>205296.74042050345</v>
      </c>
      <c r="J484" s="2">
        <f t="shared" si="178"/>
        <v>4.9497143561390308E-13</v>
      </c>
      <c r="K484" s="2">
        <f t="shared" si="179"/>
        <v>2.2067496889852808E-5</v>
      </c>
      <c r="L484" s="2">
        <f t="shared" si="180"/>
        <v>9.2045559705070676</v>
      </c>
      <c r="M484" s="2">
        <f t="shared" si="181"/>
        <v>2252.2000000000003</v>
      </c>
      <c r="N484">
        <f t="shared" si="182"/>
        <v>1.3379623663562289E-8</v>
      </c>
      <c r="O484" s="2">
        <v>54156</v>
      </c>
      <c r="P484" s="2">
        <v>1</v>
      </c>
      <c r="Y484">
        <f t="shared" si="183"/>
        <v>-9495.8368624002578</v>
      </c>
      <c r="Z484">
        <f t="shared" si="184"/>
        <v>211696.74042050345</v>
      </c>
    </row>
    <row r="485" spans="1:26" x14ac:dyDescent="0.2">
      <c r="A485" s="2">
        <v>472</v>
      </c>
      <c r="B485" s="2">
        <f t="shared" si="170"/>
        <v>24.260464791449056</v>
      </c>
      <c r="C485" s="2">
        <f t="shared" si="171"/>
        <v>-1.2724409434595584E-4</v>
      </c>
      <c r="D485" s="2">
        <f t="shared" si="172"/>
        <v>7376.8036221220982</v>
      </c>
      <c r="E485" s="2">
        <f t="shared" si="173"/>
        <v>-6.3560140930429762E-3</v>
      </c>
      <c r="F485" s="8">
        <f t="shared" si="174"/>
        <v>7146.6683145068846</v>
      </c>
      <c r="G485" s="2">
        <f t="shared" si="175"/>
        <v>1533566.0561800543</v>
      </c>
      <c r="H485" s="2">
        <f t="shared" si="176"/>
        <v>-46.886752086677376</v>
      </c>
      <c r="I485" s="2">
        <f t="shared" si="177"/>
        <v>205249.85366841676</v>
      </c>
      <c r="J485" s="2">
        <f t="shared" si="178"/>
        <v>4.9820793757466888E-13</v>
      </c>
      <c r="K485" s="2">
        <f t="shared" si="179"/>
        <v>2.2357655886025416E-5</v>
      </c>
      <c r="L485" s="2">
        <f t="shared" si="180"/>
        <v>9.2046870830366867</v>
      </c>
      <c r="M485" s="2">
        <f t="shared" si="181"/>
        <v>2237.67</v>
      </c>
      <c r="N485">
        <f t="shared" si="182"/>
        <v>1.3555548381746872E-8</v>
      </c>
      <c r="O485" s="2">
        <v>54156</v>
      </c>
      <c r="P485" s="2">
        <v>1</v>
      </c>
      <c r="Y485">
        <f t="shared" si="183"/>
        <v>-9747.3018353133848</v>
      </c>
      <c r="Z485">
        <f t="shared" si="184"/>
        <v>211649.85366841676</v>
      </c>
    </row>
    <row r="486" spans="1:26" x14ac:dyDescent="0.2">
      <c r="A486" s="2">
        <v>473</v>
      </c>
      <c r="B486" s="2">
        <f t="shared" si="170"/>
        <v>24.419816067046639</v>
      </c>
      <c r="C486" s="2">
        <f t="shared" si="171"/>
        <v>-1.194786972756364E-4</v>
      </c>
      <c r="D486" s="2">
        <f t="shared" si="172"/>
        <v>7401.0640869135468</v>
      </c>
      <c r="E486" s="2">
        <f t="shared" si="173"/>
        <v>-6.4832581873889321E-3</v>
      </c>
      <c r="F486" s="8">
        <f t="shared" si="174"/>
        <v>7170.2183254878828</v>
      </c>
      <c r="G486" s="2">
        <f t="shared" si="175"/>
        <v>1540736.2745055421</v>
      </c>
      <c r="H486" s="2">
        <f t="shared" si="176"/>
        <v>-47.982673195512156</v>
      </c>
      <c r="I486" s="2">
        <f t="shared" si="177"/>
        <v>205201.87099522125</v>
      </c>
      <c r="J486" s="2">
        <f t="shared" si="178"/>
        <v>5.0154200045465949E-13</v>
      </c>
      <c r="K486" s="2">
        <f t="shared" si="179"/>
        <v>2.2655560857656839E-5</v>
      </c>
      <c r="L486" s="2">
        <f t="shared" si="180"/>
        <v>9.2048212630634865</v>
      </c>
      <c r="M486" s="2">
        <f t="shared" si="181"/>
        <v>2223.1400000000003</v>
      </c>
      <c r="N486">
        <f t="shared" si="182"/>
        <v>1.3736169520058461E-8</v>
      </c>
      <c r="O486" s="2">
        <v>54156</v>
      </c>
      <c r="P486" s="2">
        <v>1</v>
      </c>
      <c r="Y486">
        <f t="shared" si="183"/>
        <v>-9988.9210891701932</v>
      </c>
      <c r="Z486">
        <f t="shared" si="184"/>
        <v>211601.87099522125</v>
      </c>
    </row>
    <row r="487" spans="1:26" x14ac:dyDescent="0.2">
      <c r="A487" s="2">
        <v>474</v>
      </c>
      <c r="B487" s="2">
        <f t="shared" si="170"/>
        <v>24.581177174554629</v>
      </c>
      <c r="C487" s="2">
        <f t="shared" si="171"/>
        <v>-1.1168927829013576E-4</v>
      </c>
      <c r="D487" s="2">
        <f t="shared" si="172"/>
        <v>7425.4839029805935</v>
      </c>
      <c r="E487" s="2">
        <f t="shared" si="173"/>
        <v>-6.6027368846645687E-3</v>
      </c>
      <c r="F487" s="8">
        <f t="shared" si="174"/>
        <v>7193.9244184176514</v>
      </c>
      <c r="G487" s="2">
        <f t="shared" si="175"/>
        <v>1547930.1989239599</v>
      </c>
      <c r="H487" s="2">
        <f t="shared" si="176"/>
        <v>-49.028160211170999</v>
      </c>
      <c r="I487" s="2">
        <f t="shared" si="177"/>
        <v>205152.84283501009</v>
      </c>
      <c r="J487" s="2">
        <f t="shared" si="178"/>
        <v>5.0497175627339857E-13</v>
      </c>
      <c r="K487" s="2">
        <f t="shared" si="179"/>
        <v>2.2961263922466404E-5</v>
      </c>
      <c r="L487" s="2">
        <f t="shared" si="180"/>
        <v>9.2049583697486543</v>
      </c>
      <c r="M487" s="2">
        <f t="shared" si="181"/>
        <v>2208.61</v>
      </c>
      <c r="N487">
        <f t="shared" si="182"/>
        <v>1.3921518677707161E-8</v>
      </c>
      <c r="O487" s="2">
        <v>54156</v>
      </c>
      <c r="P487" s="2">
        <v>1</v>
      </c>
      <c r="Y487">
        <f t="shared" si="183"/>
        <v>-10220.501556550462</v>
      </c>
      <c r="Z487">
        <f t="shared" si="184"/>
        <v>211552.84283501009</v>
      </c>
    </row>
    <row r="488" spans="1:26" x14ac:dyDescent="0.2">
      <c r="A488" s="2">
        <v>475</v>
      </c>
      <c r="B488" s="2">
        <f t="shared" si="170"/>
        <v>24.74458923845626</v>
      </c>
      <c r="C488" s="2">
        <f t="shared" si="171"/>
        <v>-1.0387544296161328E-4</v>
      </c>
      <c r="D488" s="2">
        <f t="shared" si="172"/>
        <v>7450.0650801551483</v>
      </c>
      <c r="E488" s="2">
        <f t="shared" si="173"/>
        <v>-6.7144261629547043E-3</v>
      </c>
      <c r="F488" s="8">
        <f t="shared" si="174"/>
        <v>7217.7885225932941</v>
      </c>
      <c r="G488" s="2">
        <f t="shared" si="175"/>
        <v>1555147.9874465531</v>
      </c>
      <c r="H488" s="2">
        <f t="shared" si="176"/>
        <v>-50.022536022608989</v>
      </c>
      <c r="I488" s="2">
        <f t="shared" si="177"/>
        <v>205102.82029898747</v>
      </c>
      <c r="J488" s="2">
        <f t="shared" si="178"/>
        <v>5.084952470589365E-13</v>
      </c>
      <c r="K488" s="2">
        <f t="shared" si="179"/>
        <v>2.3274813593701651E-5</v>
      </c>
      <c r="L488" s="2">
        <f t="shared" si="180"/>
        <v>9.2050982603514964</v>
      </c>
      <c r="M488" s="2">
        <f t="shared" si="181"/>
        <v>2194.0800000000004</v>
      </c>
      <c r="N488">
        <f t="shared" si="182"/>
        <v>1.411162526849546E-8</v>
      </c>
      <c r="O488" s="2">
        <v>54156</v>
      </c>
      <c r="P488" s="2">
        <v>1</v>
      </c>
      <c r="Y488">
        <f t="shared" si="183"/>
        <v>-10441.84787455757</v>
      </c>
      <c r="Z488">
        <f t="shared" si="184"/>
        <v>211502.82029898747</v>
      </c>
    </row>
    <row r="489" spans="1:26" x14ac:dyDescent="0.2">
      <c r="A489" s="2">
        <v>476</v>
      </c>
      <c r="B489" s="2">
        <f t="shared" si="170"/>
        <v>24.910094481979684</v>
      </c>
      <c r="C489" s="2">
        <f t="shared" si="171"/>
        <v>-9.6036789258933722E-5</v>
      </c>
      <c r="D489" s="2">
        <f t="shared" si="172"/>
        <v>7474.809669393605</v>
      </c>
      <c r="E489" s="2">
        <f t="shared" si="173"/>
        <v>-6.8183016059163177E-3</v>
      </c>
      <c r="F489" s="8">
        <f t="shared" si="174"/>
        <v>7241.8126049504435</v>
      </c>
      <c r="G489" s="2">
        <f t="shared" si="175"/>
        <v>1562389.8000515036</v>
      </c>
      <c r="H489" s="2">
        <f t="shared" si="176"/>
        <v>-50.965111882411072</v>
      </c>
      <c r="I489" s="2">
        <f t="shared" si="177"/>
        <v>205051.85518710507</v>
      </c>
      <c r="J489" s="2">
        <f t="shared" si="178"/>
        <v>5.1211041694404547E-13</v>
      </c>
      <c r="K489" s="2">
        <f t="shared" si="179"/>
        <v>2.3596254295147435E-5</v>
      </c>
      <c r="L489" s="2">
        <f t="shared" si="180"/>
        <v>9.2052407901960294</v>
      </c>
      <c r="M489" s="2">
        <f t="shared" si="181"/>
        <v>2179.5500000000002</v>
      </c>
      <c r="N489">
        <f t="shared" si="182"/>
        <v>1.4306516226766023E-8</v>
      </c>
      <c r="O489" s="2">
        <v>54156</v>
      </c>
      <c r="P489" s="2">
        <v>1</v>
      </c>
      <c r="Y489">
        <f t="shared" si="183"/>
        <v>-10652.762342512036</v>
      </c>
      <c r="Z489">
        <f t="shared" si="184"/>
        <v>211451.85518710507</v>
      </c>
    </row>
    <row r="490" spans="1:26" x14ac:dyDescent="0.2">
      <c r="A490" s="3">
        <v>477</v>
      </c>
      <c r="B490" s="3">
        <f t="shared" si="170"/>
        <v>25.07773626403516</v>
      </c>
      <c r="C490" s="3">
        <f t="shared" si="171"/>
        <v>-8.8172907362861193E-5</v>
      </c>
      <c r="D490" s="3">
        <f t="shared" si="172"/>
        <v>7499.7197638755842</v>
      </c>
      <c r="E490" s="3">
        <f t="shared" si="173"/>
        <v>-6.9143383951752518E-3</v>
      </c>
      <c r="F490" s="9">
        <f t="shared" si="174"/>
        <v>7265.9986710670473</v>
      </c>
      <c r="G490" s="3">
        <f t="shared" si="175"/>
        <v>1569655.7987225705</v>
      </c>
      <c r="H490" s="3">
        <f t="shared" si="176"/>
        <v>-51.855187131331959</v>
      </c>
      <c r="I490" s="3">
        <f t="shared" si="177"/>
        <v>204999.99999997375</v>
      </c>
      <c r="J490" s="3">
        <f t="shared" si="178"/>
        <v>5.1581510414621749E-13</v>
      </c>
      <c r="K490" s="3">
        <f t="shared" si="179"/>
        <v>2.3925625852754301E-5</v>
      </c>
      <c r="L490" s="3">
        <f t="shared" si="180"/>
        <v>9.2053858126368002</v>
      </c>
      <c r="M490" s="3">
        <f t="shared" si="181"/>
        <v>2165.02</v>
      </c>
      <c r="N490" s="1">
        <f t="shared" si="182"/>
        <v>1.450621569917368E-8</v>
      </c>
      <c r="O490" s="3">
        <v>54156</v>
      </c>
      <c r="P490" s="2">
        <v>1</v>
      </c>
      <c r="Y490">
        <f t="shared" si="183"/>
        <v>-10853.044878636532</v>
      </c>
      <c r="Z490">
        <f t="shared" si="184"/>
        <v>211399.99999997375</v>
      </c>
    </row>
    <row r="491" spans="1:26" x14ac:dyDescent="0.2">
      <c r="A491" s="2">
        <v>478</v>
      </c>
      <c r="B491" s="2">
        <f t="shared" si="170"/>
        <v>25.247559117650923</v>
      </c>
      <c r="C491" s="2">
        <f t="shared" si="171"/>
        <v>-8.0283379474934159E-5</v>
      </c>
      <c r="D491" s="2">
        <f t="shared" si="172"/>
        <v>7524.7975001396198</v>
      </c>
      <c r="E491" s="2">
        <f t="shared" si="173"/>
        <v>-7.0025113025381129E-3</v>
      </c>
      <c r="F491" s="8">
        <f t="shared" si="174"/>
        <v>7290.3487662010921</v>
      </c>
      <c r="G491" s="2">
        <f t="shared" si="175"/>
        <v>1576946.1474887717</v>
      </c>
      <c r="H491" s="2">
        <f t="shared" si="176"/>
        <v>-52.69204891435993</v>
      </c>
      <c r="I491" s="2">
        <f t="shared" si="177"/>
        <v>204947.3079510594</v>
      </c>
      <c r="J491" s="2">
        <f t="shared" si="178"/>
        <v>5.1960703283537489E-13</v>
      </c>
      <c r="K491" s="2">
        <f t="shared" si="179"/>
        <v>2.4262962962186013E-5</v>
      </c>
      <c r="L491" s="2">
        <f t="shared" si="180"/>
        <v>9.205533179023945</v>
      </c>
      <c r="M491" s="2">
        <f t="shared" si="181"/>
        <v>2150.4900000000002</v>
      </c>
      <c r="N491">
        <f t="shared" si="182"/>
        <v>1.4710744721857063E-8</v>
      </c>
      <c r="O491" s="2">
        <v>54156</v>
      </c>
      <c r="P491" s="2">
        <v>1</v>
      </c>
      <c r="Y491">
        <f t="shared" si="183"/>
        <v>-11042.492975690902</v>
      </c>
      <c r="Z491">
        <f t="shared" si="184"/>
        <v>211347.3079510594</v>
      </c>
    </row>
    <row r="492" spans="1:26" x14ac:dyDescent="0.2">
      <c r="A492" s="2">
        <v>479</v>
      </c>
      <c r="B492" s="2">
        <f t="shared" si="170"/>
        <v>25.41960878997887</v>
      </c>
      <c r="C492" s="2">
        <f t="shared" si="171"/>
        <v>-7.2367779619772542E-5</v>
      </c>
      <c r="D492" s="2">
        <f t="shared" si="172"/>
        <v>7550.0450592572706</v>
      </c>
      <c r="E492" s="2">
        <f t="shared" si="173"/>
        <v>-7.0827946820130475E-3</v>
      </c>
      <c r="F492" s="8">
        <f t="shared" si="174"/>
        <v>7314.8649763636113</v>
      </c>
      <c r="G492" s="2">
        <f t="shared" si="175"/>
        <v>1584261.0124651354</v>
      </c>
      <c r="H492" s="2">
        <f t="shared" si="176"/>
        <v>-53.474971887983273</v>
      </c>
      <c r="I492" s="2">
        <f t="shared" si="177"/>
        <v>204893.83297917142</v>
      </c>
      <c r="J492" s="2">
        <f t="shared" si="178"/>
        <v>5.2348380489487791E-13</v>
      </c>
      <c r="K492" s="2">
        <f t="shared" si="179"/>
        <v>2.4608294631638059E-5</v>
      </c>
      <c r="L492" s="2">
        <f t="shared" si="180"/>
        <v>9.2056827386674289</v>
      </c>
      <c r="M492" s="2">
        <f t="shared" si="181"/>
        <v>2135.96</v>
      </c>
      <c r="N492">
        <f t="shared" si="182"/>
        <v>1.4920120882616949E-8</v>
      </c>
      <c r="O492" s="2">
        <v>54156</v>
      </c>
      <c r="P492" s="2">
        <v>1</v>
      </c>
      <c r="Y492">
        <f t="shared" si="183"/>
        <v>-11220.9016555373</v>
      </c>
      <c r="Z492">
        <f t="shared" si="184"/>
        <v>211293.83297917142</v>
      </c>
    </row>
    <row r="493" spans="1:26" x14ac:dyDescent="0.2">
      <c r="A493" s="2">
        <v>480</v>
      </c>
      <c r="B493" s="2">
        <f t="shared" si="170"/>
        <v>25.593932283945474</v>
      </c>
      <c r="C493" s="2">
        <f t="shared" si="171"/>
        <v>-6.4425673440547096E-5</v>
      </c>
      <c r="D493" s="2">
        <f t="shared" si="172"/>
        <v>7575.4646680472497</v>
      </c>
      <c r="E493" s="2">
        <f t="shared" si="173"/>
        <v>-7.1551624616328201E-3</v>
      </c>
      <c r="F493" s="8">
        <f t="shared" si="174"/>
        <v>7339.5494294284745</v>
      </c>
      <c r="G493" s="2">
        <f t="shared" si="175"/>
        <v>1591600.561894564</v>
      </c>
      <c r="H493" s="2">
        <f t="shared" si="176"/>
        <v>-54.203217918323645</v>
      </c>
      <c r="I493" s="2">
        <f t="shared" si="177"/>
        <v>204839.62976125311</v>
      </c>
      <c r="J493" s="2">
        <f t="shared" si="178"/>
        <v>5.2744289158291774E-13</v>
      </c>
      <c r="K493" s="2">
        <f t="shared" si="179"/>
        <v>2.4961643599326709E-5</v>
      </c>
      <c r="L493" s="2">
        <f t="shared" si="180"/>
        <v>9.2058343388004786</v>
      </c>
      <c r="M493" s="2">
        <f t="shared" si="181"/>
        <v>2121.4300000000003</v>
      </c>
      <c r="N493">
        <f t="shared" si="182"/>
        <v>1.5134357967737207E-8</v>
      </c>
      <c r="O493" s="2">
        <v>54156</v>
      </c>
      <c r="P493" s="2">
        <v>1</v>
      </c>
      <c r="Y493">
        <f t="shared" si="183"/>
        <v>-11388.063422588029</v>
      </c>
      <c r="Z493">
        <f t="shared" si="184"/>
        <v>211239.62976125311</v>
      </c>
    </row>
    <row r="494" spans="1:26" x14ac:dyDescent="0.2">
      <c r="A494" s="2">
        <v>481</v>
      </c>
      <c r="B494" s="2">
        <f t="shared" si="170"/>
        <v>25.770577901627384</v>
      </c>
      <c r="C494" s="2">
        <f t="shared" si="171"/>
        <v>-5.6456617987337535E-5</v>
      </c>
      <c r="D494" s="2">
        <f t="shared" si="172"/>
        <v>7601.0586003311955</v>
      </c>
      <c r="E494" s="2">
        <f t="shared" si="173"/>
        <v>-7.2195881350733673E-3</v>
      </c>
      <c r="F494" s="8">
        <f t="shared" si="174"/>
        <v>7364.404296280416</v>
      </c>
      <c r="G494" s="2">
        <f t="shared" si="175"/>
        <v>1598964.9661908443</v>
      </c>
      <c r="H494" s="2">
        <f t="shared" si="176"/>
        <v>-54.876035769785183</v>
      </c>
      <c r="I494" s="2">
        <f t="shared" si="177"/>
        <v>204784.75372548332</v>
      </c>
      <c r="J494" s="2">
        <f t="shared" si="178"/>
        <v>5.3148162510315544E-13</v>
      </c>
      <c r="K494" s="2">
        <f t="shared" si="179"/>
        <v>2.5323025725111279E-5</v>
      </c>
      <c r="L494" s="2">
        <f t="shared" si="180"/>
        <v>9.2059878245421629</v>
      </c>
      <c r="M494" s="2">
        <f t="shared" si="181"/>
        <v>2106.9</v>
      </c>
      <c r="N494">
        <f t="shared" si="182"/>
        <v>1.535346559312262E-8</v>
      </c>
      <c r="O494" s="2">
        <v>54156</v>
      </c>
      <c r="P494" s="2">
        <v>1</v>
      </c>
      <c r="Y494">
        <f t="shared" si="183"/>
        <v>-11543.768216113804</v>
      </c>
      <c r="Z494">
        <f t="shared" si="184"/>
        <v>211184.75372548332</v>
      </c>
    </row>
    <row r="495" spans="1:26" x14ac:dyDescent="0.2">
      <c r="A495" s="2">
        <v>482</v>
      </c>
      <c r="B495" s="2">
        <f t="shared" si="170"/>
        <v>25.949595289435415</v>
      </c>
      <c r="C495" s="2">
        <f t="shared" si="171"/>
        <v>-4.84601614980813E-5</v>
      </c>
      <c r="D495" s="2">
        <f t="shared" si="172"/>
        <v>7626.8291782328233</v>
      </c>
      <c r="E495" s="2">
        <f t="shared" si="173"/>
        <v>-7.2760447530607047E-3</v>
      </c>
      <c r="F495" s="8">
        <f t="shared" si="174"/>
        <v>7389.431792002948</v>
      </c>
      <c r="G495" s="2">
        <f t="shared" si="175"/>
        <v>1606354.3979828472</v>
      </c>
      <c r="H495" s="2">
        <f t="shared" si="176"/>
        <v>-55.492660783852308</v>
      </c>
      <c r="I495" s="2">
        <f t="shared" si="177"/>
        <v>204729.26106469947</v>
      </c>
      <c r="J495" s="2">
        <f t="shared" si="178"/>
        <v>5.3559719009525327E-13</v>
      </c>
      <c r="K495" s="2">
        <f t="shared" si="179"/>
        <v>2.5692449355780606E-5</v>
      </c>
      <c r="L495" s="2">
        <f t="shared" si="180"/>
        <v>9.206143038859075</v>
      </c>
      <c r="M495" s="2">
        <f t="shared" si="181"/>
        <v>2092.3700000000003</v>
      </c>
      <c r="N495">
        <f t="shared" si="182"/>
        <v>1.5577448819469203E-8</v>
      </c>
      <c r="O495" s="2">
        <v>54156</v>
      </c>
      <c r="P495" s="2">
        <v>1</v>
      </c>
      <c r="Y495">
        <f t="shared" si="183"/>
        <v>-11687.803361365493</v>
      </c>
      <c r="Z495">
        <f t="shared" si="184"/>
        <v>211129.26106469947</v>
      </c>
    </row>
    <row r="496" spans="1:26" x14ac:dyDescent="0.2">
      <c r="A496" s="2">
        <v>483</v>
      </c>
      <c r="B496" s="2">
        <f t="shared" ref="B496:B500" si="185">((O495-K496)/M496)-(L496*SIN(E496))</f>
        <v>26.131035485195714</v>
      </c>
      <c r="C496" s="2">
        <f t="shared" ref="C496:C500" si="186">-((L496/D496)-(D496/(6378000+(I496))))*COS(E496)</f>
        <v>-4.0435843171815918E-5</v>
      </c>
      <c r="D496" s="2">
        <f t="shared" ref="D496:D500" si="187">B495+D495</f>
        <v>7652.7787735222591</v>
      </c>
      <c r="E496" s="2">
        <f t="shared" ref="E496:E500" si="188">E495+C495</f>
        <v>-7.3245049145587863E-3</v>
      </c>
      <c r="F496" s="8">
        <f t="shared" ref="F496:F500" si="189">((6378000/(6378000+(I496)))*D496*COS(E496))</f>
        <v>7414.6341771078087</v>
      </c>
      <c r="G496" s="2">
        <f t="shared" ref="G496:G500" si="190">F496+G495</f>
        <v>1613769.032159955</v>
      </c>
      <c r="H496" s="2">
        <f t="shared" ref="H496:H500" si="191">D496*SIN(E496)</f>
        <v>-56.052314547652024</v>
      </c>
      <c r="I496" s="2">
        <f t="shared" ref="I496:I500" si="192">H496+I495</f>
        <v>204673.20875015183</v>
      </c>
      <c r="J496" s="2">
        <f t="shared" ref="J496:J500" si="193">$J$13*EXP(-I496/7194)</f>
        <v>5.3978661505788724E-13</v>
      </c>
      <c r="K496" s="2">
        <f t="shared" ref="K496:K500" si="194">0.7*(PI()*(0.75))*0.5*J496*(D496)^2</f>
        <v>2.6069914663614475E-5</v>
      </c>
      <c r="L496" s="2">
        <f t="shared" ref="L496:L500" si="195">((9.80665)/(1+(I496/6378000))^2)</f>
        <v>9.2062998225261463</v>
      </c>
      <c r="M496" s="2">
        <f t="shared" ref="M496:M500" si="196">6030-(14.53*A285)</f>
        <v>2077.84</v>
      </c>
      <c r="N496">
        <f t="shared" ref="N496:N500" si="197">(0.5*J496*(D496)^2)/1000</f>
        <v>1.5806307751230971E-8</v>
      </c>
      <c r="O496" s="2">
        <v>54156</v>
      </c>
      <c r="P496" s="2">
        <v>1</v>
      </c>
      <c r="Y496">
        <f t="shared" si="183"/>
        <v>-11819.953519478941</v>
      </c>
      <c r="Z496">
        <f t="shared" si="184"/>
        <v>211073.20875015183</v>
      </c>
    </row>
    <row r="497" spans="1:26" x14ac:dyDescent="0.2">
      <c r="A497" s="2">
        <v>484</v>
      </c>
      <c r="B497" s="2">
        <f t="shared" si="185"/>
        <v>26.314950967221371</v>
      </c>
      <c r="C497" s="2">
        <f t="shared" si="186"/>
        <v>-3.2383192933891761E-5</v>
      </c>
      <c r="D497" s="2">
        <f t="shared" si="187"/>
        <v>7678.9098090074549</v>
      </c>
      <c r="E497" s="2">
        <f t="shared" si="188"/>
        <v>-7.3649407577306026E-3</v>
      </c>
      <c r="F497" s="8">
        <f t="shared" si="189"/>
        <v>7440.0137588076841</v>
      </c>
      <c r="G497" s="2">
        <f t="shared" si="190"/>
        <v>1621209.0459187627</v>
      </c>
      <c r="H497" s="2">
        <f t="shared" si="191"/>
        <v>-56.554204551878996</v>
      </c>
      <c r="I497" s="2">
        <f t="shared" si="192"/>
        <v>204616.65454559994</v>
      </c>
      <c r="J497" s="2">
        <f t="shared" si="193"/>
        <v>5.440467637188637E-13</v>
      </c>
      <c r="K497" s="2">
        <f t="shared" si="194"/>
        <v>2.6455412957920108E-5</v>
      </c>
      <c r="L497" s="2">
        <f t="shared" si="195"/>
        <v>9.2064580140865058</v>
      </c>
      <c r="M497" s="2">
        <f t="shared" si="196"/>
        <v>2063.3100000000004</v>
      </c>
      <c r="N497">
        <f t="shared" si="197"/>
        <v>1.604003711920139E-8</v>
      </c>
      <c r="O497" s="2">
        <v>54156</v>
      </c>
      <c r="P497" s="2">
        <v>1</v>
      </c>
      <c r="Y497">
        <f t="shared" si="183"/>
        <v>-11940.000636118375</v>
      </c>
      <c r="Z497">
        <f t="shared" si="184"/>
        <v>211016.65454559994</v>
      </c>
    </row>
    <row r="498" spans="1:26" x14ac:dyDescent="0.2">
      <c r="A498" s="2">
        <v>485</v>
      </c>
      <c r="B498" s="2">
        <f t="shared" si="185"/>
        <v>26.501395705473556</v>
      </c>
      <c r="C498" s="2">
        <f t="shared" si="186"/>
        <v>-2.430173119281632E-5</v>
      </c>
      <c r="D498" s="2">
        <f t="shared" si="187"/>
        <v>7705.2247599746761</v>
      </c>
      <c r="E498" s="2">
        <f t="shared" si="188"/>
        <v>-7.3973239506644941E-3</v>
      </c>
      <c r="F498" s="8">
        <f t="shared" si="189"/>
        <v>7465.5728923340657</v>
      </c>
      <c r="G498" s="2">
        <f t="shared" si="190"/>
        <v>1628674.6188110968</v>
      </c>
      <c r="H498" s="2">
        <f t="shared" si="191"/>
        <v>-56.997523837662442</v>
      </c>
      <c r="I498" s="2">
        <f t="shared" si="192"/>
        <v>204559.65702176228</v>
      </c>
      <c r="J498" s="2">
        <f t="shared" si="193"/>
        <v>5.4837432636909204E-13</v>
      </c>
      <c r="K498" s="2">
        <f t="shared" si="194"/>
        <v>2.6848925969343168E-5</v>
      </c>
      <c r="L498" s="2">
        <f t="shared" si="195"/>
        <v>9.2066174498103912</v>
      </c>
      <c r="M498" s="2">
        <f t="shared" si="196"/>
        <v>2048.7800000000002</v>
      </c>
      <c r="N498">
        <f t="shared" si="197"/>
        <v>1.6278625846587897E-8</v>
      </c>
      <c r="O498" s="2">
        <v>54156</v>
      </c>
      <c r="P498" s="2">
        <v>1</v>
      </c>
      <c r="Y498">
        <f t="shared" si="183"/>
        <v>-12047.723888820645</v>
      </c>
      <c r="Z498">
        <f t="shared" si="184"/>
        <v>210959.65702176228</v>
      </c>
    </row>
    <row r="499" spans="1:26" x14ac:dyDescent="0.2">
      <c r="A499" s="2">
        <v>486</v>
      </c>
      <c r="B499" s="2">
        <f t="shared" si="185"/>
        <v>26.690425214916484</v>
      </c>
      <c r="C499" s="2">
        <f t="shared" si="186"/>
        <v>-1.6190968588379054E-5</v>
      </c>
      <c r="D499" s="2">
        <f t="shared" si="187"/>
        <v>7731.7261556801495</v>
      </c>
      <c r="E499" s="2">
        <f t="shared" si="188"/>
        <v>-7.4216256818573105E-3</v>
      </c>
      <c r="F499" s="8">
        <f t="shared" si="189"/>
        <v>7491.3139823021747</v>
      </c>
      <c r="G499" s="2">
        <f t="shared" si="190"/>
        <v>1636165.9327933989</v>
      </c>
      <c r="H499" s="2">
        <f t="shared" si="191"/>
        <v>-57.381450631934548</v>
      </c>
      <c r="I499" s="2">
        <f t="shared" si="192"/>
        <v>204502.27557113033</v>
      </c>
      <c r="J499" s="2">
        <f t="shared" si="193"/>
        <v>5.5276581117943703E-13</v>
      </c>
      <c r="K499" s="2">
        <f t="shared" si="194"/>
        <v>2.7250425106865293E-5</v>
      </c>
      <c r="L499" s="2">
        <f t="shared" si="195"/>
        <v>9.2067779636530567</v>
      </c>
      <c r="M499" s="2">
        <f t="shared" si="196"/>
        <v>2034.25</v>
      </c>
      <c r="N499">
        <f t="shared" si="197"/>
        <v>1.6522056598526102E-8</v>
      </c>
      <c r="O499" s="2">
        <v>54156</v>
      </c>
      <c r="P499" s="2">
        <v>1</v>
      </c>
      <c r="Y499">
        <f t="shared" si="183"/>
        <v>-12142.899632996394</v>
      </c>
      <c r="Z499">
        <f t="shared" si="184"/>
        <v>210902.27557113033</v>
      </c>
    </row>
    <row r="500" spans="1:26" x14ac:dyDescent="0.2">
      <c r="A500" s="2">
        <v>487</v>
      </c>
      <c r="B500" s="2">
        <f t="shared" si="185"/>
        <v>26.882096611176888</v>
      </c>
      <c r="C500" s="2">
        <f t="shared" si="186"/>
        <v>-8.0504057306895537E-6</v>
      </c>
      <c r="D500" s="2">
        <f t="shared" si="187"/>
        <v>7758.4165808950656</v>
      </c>
      <c r="E500" s="2">
        <f t="shared" si="188"/>
        <v>-7.4378166504456894E-3</v>
      </c>
      <c r="F500" s="8">
        <f t="shared" si="189"/>
        <v>7517.2394841249579</v>
      </c>
      <c r="G500" s="2">
        <f t="shared" si="190"/>
        <v>1643683.1722775239</v>
      </c>
      <c r="H500" s="2">
        <f t="shared" si="191"/>
        <v>-57.70514797083878</v>
      </c>
      <c r="I500" s="2">
        <f t="shared" si="192"/>
        <v>204444.57042315949</v>
      </c>
      <c r="J500" s="2">
        <f t="shared" si="193"/>
        <v>5.572175355218719E-13</v>
      </c>
      <c r="K500" s="2">
        <f t="shared" si="194"/>
        <v>2.7659870687525561E-5</v>
      </c>
      <c r="L500" s="2">
        <f t="shared" si="195"/>
        <v>9.2069393872116656</v>
      </c>
      <c r="M500" s="2">
        <f t="shared" si="196"/>
        <v>2019.7200000000003</v>
      </c>
      <c r="N500">
        <f t="shared" si="197"/>
        <v>1.6770305315056441E-8</v>
      </c>
      <c r="O500" s="2">
        <v>54156</v>
      </c>
      <c r="P500" s="2">
        <v>1</v>
      </c>
      <c r="Y500">
        <f t="shared" si="183"/>
        <v>-12225.301346542054</v>
      </c>
      <c r="Z500">
        <f>6400+(I500)</f>
        <v>210844.57042315949</v>
      </c>
    </row>
    <row r="501" spans="1:26" x14ac:dyDescent="0.2">
      <c r="F501" s="8"/>
    </row>
    <row r="502" spans="1:26" x14ac:dyDescent="0.2">
      <c r="F502" s="8"/>
    </row>
    <row r="503" spans="1:26" x14ac:dyDescent="0.2">
      <c r="F503" s="8"/>
    </row>
    <row r="504" spans="1:26" x14ac:dyDescent="0.2">
      <c r="F504" s="8"/>
    </row>
    <row r="505" spans="1:26" x14ac:dyDescent="0.2">
      <c r="F505" s="8"/>
    </row>
    <row r="506" spans="1:26" x14ac:dyDescent="0.2">
      <c r="F506" s="8"/>
    </row>
    <row r="507" spans="1:26" x14ac:dyDescent="0.2">
      <c r="F507" s="8"/>
    </row>
    <row r="508" spans="1:26" x14ac:dyDescent="0.2">
      <c r="F508" s="8"/>
    </row>
    <row r="509" spans="1:26" x14ac:dyDescent="0.2">
      <c r="F509" s="8"/>
    </row>
    <row r="510" spans="1:26" x14ac:dyDescent="0.2">
      <c r="F510" s="8"/>
    </row>
    <row r="511" spans="1:26" x14ac:dyDescent="0.2">
      <c r="F511" s="8"/>
    </row>
    <row r="512" spans="1:26" x14ac:dyDescent="0.2">
      <c r="F512" s="8"/>
    </row>
    <row r="513" spans="6:6" x14ac:dyDescent="0.2">
      <c r="F513" s="8"/>
    </row>
    <row r="514" spans="6:6" x14ac:dyDescent="0.2">
      <c r="F514" s="8"/>
    </row>
    <row r="515" spans="6:6" x14ac:dyDescent="0.2">
      <c r="F515" s="8"/>
    </row>
    <row r="516" spans="6:6" x14ac:dyDescent="0.2">
      <c r="F516" s="8"/>
    </row>
    <row r="517" spans="6:6" x14ac:dyDescent="0.2">
      <c r="F517" s="8"/>
    </row>
    <row r="518" spans="6:6" x14ac:dyDescent="0.2">
      <c r="F518" s="8"/>
    </row>
    <row r="519" spans="6:6" x14ac:dyDescent="0.2">
      <c r="F519" s="8"/>
    </row>
    <row r="520" spans="6:6" x14ac:dyDescent="0.2">
      <c r="F520" s="8"/>
    </row>
    <row r="521" spans="6:6" x14ac:dyDescent="0.2">
      <c r="F521" s="8"/>
    </row>
  </sheetData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</vt:lpstr>
      <vt:lpstr>Problem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Alec Guy Philippe</cp:lastModifiedBy>
  <cp:lastPrinted>2022-02-26T01:59:01Z</cp:lastPrinted>
  <dcterms:created xsi:type="dcterms:W3CDTF">2022-02-25T17:05:56Z</dcterms:created>
  <dcterms:modified xsi:type="dcterms:W3CDTF">2024-06-25T14:37:59Z</dcterms:modified>
</cp:coreProperties>
</file>