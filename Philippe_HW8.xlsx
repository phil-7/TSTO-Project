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hilippe/Library/Mobile Documents/com~apple~CloudDocs/ASTE-574/HW8/"/>
    </mc:Choice>
  </mc:AlternateContent>
  <xr:revisionPtr revIDLastSave="0" documentId="13_ncr:1_{AF3DFAFF-BAF7-9741-9C0A-77CCE5A986E8}" xr6:coauthVersionLast="47" xr6:coauthVersionMax="47" xr10:uidLastSave="{00000000-0000-0000-0000-000000000000}"/>
  <bookViews>
    <workbookView xWindow="0" yWindow="500" windowWidth="28800" windowHeight="15880" activeTab="1" xr2:uid="{EF681D21-EA6A-C244-A16B-3C4C8BE97875}"/>
  </bookViews>
  <sheets>
    <sheet name="Vehicle Characteristics" sheetId="1" r:id="rId1"/>
    <sheet name="Tank Volume" sheetId="2" r:id="rId2"/>
    <sheet name="Engine Performance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2" l="1"/>
  <c r="H76" i="2" s="1"/>
  <c r="U79" i="2"/>
  <c r="E2" i="3"/>
  <c r="E20" i="3" s="1"/>
  <c r="Y43" i="2"/>
  <c r="U78" i="2" s="1"/>
  <c r="U43" i="2"/>
  <c r="U33" i="2"/>
  <c r="E3" i="2"/>
  <c r="B64" i="2" l="1"/>
  <c r="B65" i="2"/>
  <c r="B5" i="2"/>
  <c r="F3" i="2"/>
  <c r="E2" i="2" s="1"/>
  <c r="B63" i="2" l="1"/>
  <c r="B9" i="2"/>
  <c r="F2" i="2"/>
  <c r="B15" i="2"/>
  <c r="B9" i="1" l="1"/>
  <c r="B23" i="1"/>
  <c r="H60" i="2" l="1"/>
  <c r="I25" i="2"/>
  <c r="I27" i="2" s="1"/>
  <c r="I24" i="2"/>
  <c r="I26" i="2" s="1"/>
  <c r="H61" i="2"/>
  <c r="H62" i="2"/>
  <c r="H59" i="2"/>
  <c r="T43" i="2" s="1"/>
  <c r="V43" i="2" s="1"/>
  <c r="W43" i="2" s="1"/>
  <c r="X43" i="2" s="1"/>
  <c r="D68" i="2" l="1"/>
  <c r="B68" i="2"/>
  <c r="D67" i="2"/>
  <c r="B58" i="2"/>
  <c r="B60" i="2"/>
  <c r="G59" i="2" s="1"/>
  <c r="D57" i="2"/>
  <c r="G33" i="2" s="1"/>
  <c r="M33" i="2" s="1"/>
  <c r="B41" i="2"/>
  <c r="U39" i="2" s="1"/>
  <c r="D33" i="2"/>
  <c r="D38" i="2" s="1"/>
  <c r="B33" i="2"/>
  <c r="B38" i="2" s="1"/>
  <c r="B24" i="3"/>
  <c r="B23" i="3"/>
  <c r="B18" i="3"/>
  <c r="E8" i="3"/>
  <c r="E14" i="3"/>
  <c r="B8" i="3"/>
  <c r="B2" i="3"/>
  <c r="B4" i="3" s="1"/>
  <c r="B26" i="3" s="1"/>
  <c r="D16" i="2"/>
  <c r="D17" i="2" s="1"/>
  <c r="B16" i="2"/>
  <c r="B17" i="2" s="1"/>
  <c r="B21" i="1"/>
  <c r="B14" i="1"/>
  <c r="B24" i="1" s="1"/>
  <c r="G58" i="2" l="1"/>
  <c r="G67" i="2"/>
  <c r="G34" i="2"/>
  <c r="M34" i="2" s="1"/>
  <c r="V69" i="2"/>
  <c r="G60" i="2"/>
  <c r="I60" i="2" s="1"/>
  <c r="B25" i="3"/>
  <c r="G49" i="2"/>
  <c r="M49" i="2" s="1"/>
  <c r="G50" i="2"/>
  <c r="M50" i="2" s="1"/>
  <c r="G65" i="2"/>
  <c r="G44" i="2"/>
  <c r="M59" i="2"/>
  <c r="I59" i="2"/>
  <c r="G36" i="2"/>
  <c r="M36" i="2" s="1"/>
  <c r="B20" i="2"/>
  <c r="B26" i="2" s="1"/>
  <c r="D20" i="2"/>
  <c r="D26" i="2" s="1"/>
  <c r="D65" i="2"/>
  <c r="G47" i="2" s="1"/>
  <c r="D61" i="2"/>
  <c r="D60" i="2"/>
  <c r="G45" i="2" s="1"/>
  <c r="M45" i="2" s="1"/>
  <c r="D59" i="2"/>
  <c r="G41" i="2" s="1"/>
  <c r="M41" i="2" s="1"/>
  <c r="D64" i="2"/>
  <c r="D37" i="2"/>
  <c r="B37" i="2"/>
  <c r="B8" i="2"/>
  <c r="B11" i="2" s="1"/>
  <c r="E18" i="3"/>
  <c r="E21" i="3"/>
  <c r="B15" i="3"/>
  <c r="B16" i="3" s="1"/>
  <c r="B17" i="3" s="1"/>
  <c r="B14" i="3"/>
  <c r="G14" i="3" s="1"/>
  <c r="B18" i="2"/>
  <c r="D18" i="2"/>
  <c r="G54" i="2" l="1"/>
  <c r="G66" i="2"/>
  <c r="M60" i="2"/>
  <c r="U38" i="2"/>
  <c r="U34" i="2"/>
  <c r="B23" i="2"/>
  <c r="D63" i="2"/>
  <c r="G48" i="2" s="1"/>
  <c r="G18" i="2"/>
  <c r="I16" i="2"/>
  <c r="G61" i="2"/>
  <c r="I61" i="2" s="1"/>
  <c r="G62" i="2"/>
  <c r="I62" i="2" s="1"/>
  <c r="G35" i="2"/>
  <c r="M35" i="2" s="1"/>
  <c r="G40" i="2"/>
  <c r="G64" i="2"/>
  <c r="G46" i="2"/>
  <c r="M46" i="2" s="1"/>
  <c r="B40" i="2"/>
  <c r="U41" i="2" s="1"/>
  <c r="H58" i="2"/>
  <c r="I58" i="2" s="1"/>
  <c r="D40" i="2"/>
  <c r="U36" i="2" s="1"/>
  <c r="D23" i="2"/>
  <c r="D29" i="2" s="1"/>
  <c r="D21" i="2"/>
  <c r="D27" i="2" s="1"/>
  <c r="B21" i="2"/>
  <c r="B27" i="2" s="1"/>
  <c r="B29" i="2"/>
  <c r="B48" i="2" s="1"/>
  <c r="D48" i="2" l="1"/>
  <c r="G42" i="2" s="1"/>
  <c r="M42" i="2" s="1"/>
  <c r="D34" i="2"/>
  <c r="D24" i="2"/>
  <c r="D30" i="2" s="1"/>
  <c r="D49" i="2" s="1"/>
  <c r="G38" i="2" s="1"/>
  <c r="M38" i="2" s="1"/>
  <c r="B24" i="2"/>
  <c r="B30" i="2" s="1"/>
  <c r="B49" i="2" s="1"/>
  <c r="G56" i="2"/>
  <c r="M56" i="2" s="1"/>
  <c r="B59" i="2"/>
  <c r="G55" i="2" s="1"/>
  <c r="B34" i="2"/>
  <c r="U42" i="2" l="1"/>
  <c r="Y42" i="2"/>
  <c r="D51" i="2"/>
  <c r="D54" i="2" s="1"/>
  <c r="U37" i="2"/>
  <c r="H54" i="2"/>
  <c r="I54" i="2" s="1"/>
  <c r="G43" i="2"/>
  <c r="M43" i="2" s="1"/>
  <c r="D35" i="2"/>
  <c r="G52" i="2"/>
  <c r="M52" i="2" s="1"/>
  <c r="B35" i="2"/>
  <c r="M55" i="2"/>
  <c r="B51" i="2"/>
  <c r="B54" i="2" s="1"/>
  <c r="G57" i="2" s="1"/>
  <c r="H55" i="2"/>
  <c r="T41" i="2" s="1"/>
  <c r="V41" i="2" s="1"/>
  <c r="W41" i="2" s="1"/>
  <c r="X41" i="2" s="1"/>
  <c r="H56" i="2"/>
  <c r="Y41" i="2" l="1"/>
  <c r="U76" i="2" s="1"/>
  <c r="U77" i="2"/>
  <c r="Y40" i="2"/>
  <c r="D43" i="2"/>
  <c r="G25" i="2" s="1"/>
  <c r="U35" i="2"/>
  <c r="H67" i="2"/>
  <c r="I67" i="2" s="1"/>
  <c r="T42" i="2"/>
  <c r="V42" i="2" s="1"/>
  <c r="W42" i="2" s="1"/>
  <c r="X42" i="2" s="1"/>
  <c r="H50" i="2"/>
  <c r="I50" i="2" s="1"/>
  <c r="U40" i="2"/>
  <c r="D52" i="2"/>
  <c r="D55" i="2" s="1"/>
  <c r="G17" i="2"/>
  <c r="B52" i="2"/>
  <c r="B55" i="2" s="1"/>
  <c r="G53" i="2" s="1"/>
  <c r="H52" i="2"/>
  <c r="G16" i="2"/>
  <c r="B43" i="2"/>
  <c r="G24" i="2" s="1"/>
  <c r="H38" i="2" s="1"/>
  <c r="M57" i="2"/>
  <c r="I55" i="2"/>
  <c r="H57" i="2"/>
  <c r="I57" i="2" s="1"/>
  <c r="I56" i="2"/>
  <c r="D45" i="2" l="1"/>
  <c r="Y39" i="2"/>
  <c r="U75" i="2"/>
  <c r="H64" i="2"/>
  <c r="I64" i="2" s="1"/>
  <c r="T35" i="2"/>
  <c r="V35" i="2" s="1"/>
  <c r="W35" i="2" s="1"/>
  <c r="X35" i="2" s="1"/>
  <c r="I52" i="2"/>
  <c r="T40" i="2"/>
  <c r="V40" i="2" s="1"/>
  <c r="W40" i="2" s="1"/>
  <c r="X40" i="2" s="1"/>
  <c r="H35" i="2"/>
  <c r="H44" i="2"/>
  <c r="I44" i="2" s="1"/>
  <c r="B69" i="2"/>
  <c r="G51" i="2" s="1"/>
  <c r="H41" i="2"/>
  <c r="D69" i="2"/>
  <c r="H48" i="2"/>
  <c r="I48" i="2" s="1"/>
  <c r="B45" i="2"/>
  <c r="H51" i="2"/>
  <c r="H66" i="2"/>
  <c r="I66" i="2" s="1"/>
  <c r="H46" i="2"/>
  <c r="I46" i="2" s="1"/>
  <c r="H40" i="2"/>
  <c r="I40" i="2" s="1"/>
  <c r="H53" i="2"/>
  <c r="I53" i="2" s="1"/>
  <c r="G39" i="2"/>
  <c r="M39" i="2" s="1"/>
  <c r="H42" i="2"/>
  <c r="I38" i="2"/>
  <c r="H47" i="2"/>
  <c r="I47" i="2" s="1"/>
  <c r="H39" i="2"/>
  <c r="G26" i="2"/>
  <c r="H49" i="2"/>
  <c r="H45" i="2"/>
  <c r="H36" i="2"/>
  <c r="I36" i="2" s="1"/>
  <c r="H37" i="2"/>
  <c r="M53" i="2"/>
  <c r="Y38" i="2" l="1"/>
  <c r="U74" i="2"/>
  <c r="H33" i="2"/>
  <c r="I33" i="2" s="1"/>
  <c r="Y33" i="2"/>
  <c r="G37" i="2"/>
  <c r="M37" i="2" s="1"/>
  <c r="V70" i="2"/>
  <c r="V71" i="2" s="1"/>
  <c r="V72" i="2" s="1"/>
  <c r="V73" i="2" s="1"/>
  <c r="V74" i="2" s="1"/>
  <c r="V75" i="2" s="1"/>
  <c r="V76" i="2" s="1"/>
  <c r="V77" i="2" s="1"/>
  <c r="V78" i="2" s="1"/>
  <c r="V79" i="2" s="1"/>
  <c r="I49" i="2"/>
  <c r="T39" i="2"/>
  <c r="V39" i="2" s="1"/>
  <c r="W39" i="2" s="1"/>
  <c r="X39" i="2" s="1"/>
  <c r="I45" i="2"/>
  <c r="T38" i="2"/>
  <c r="V38" i="2" s="1"/>
  <c r="W38" i="2" s="1"/>
  <c r="X38" i="2" s="1"/>
  <c r="H65" i="2"/>
  <c r="I65" i="2" s="1"/>
  <c r="T37" i="2"/>
  <c r="V37" i="2" s="1"/>
  <c r="W37" i="2" s="1"/>
  <c r="X37" i="2" s="1"/>
  <c r="I41" i="2"/>
  <c r="T36" i="2"/>
  <c r="V36" i="2" s="1"/>
  <c r="W36" i="2" s="1"/>
  <c r="X36" i="2" s="1"/>
  <c r="I35" i="2"/>
  <c r="T34" i="2"/>
  <c r="V34" i="2" s="1"/>
  <c r="W34" i="2" s="1"/>
  <c r="X34" i="2" s="1"/>
  <c r="I39" i="2"/>
  <c r="B71" i="2"/>
  <c r="B72" i="2" s="1"/>
  <c r="D71" i="2"/>
  <c r="H43" i="2"/>
  <c r="I43" i="2" s="1"/>
  <c r="I42" i="2"/>
  <c r="H34" i="2"/>
  <c r="I34" i="2" s="1"/>
  <c r="I51" i="2"/>
  <c r="M51" i="2"/>
  <c r="Y34" i="2" l="1"/>
  <c r="U69" i="2" s="1"/>
  <c r="Y37" i="2"/>
  <c r="U73" i="2"/>
  <c r="M68" i="2"/>
  <c r="T33" i="2"/>
  <c r="V33" i="2" s="1"/>
  <c r="W33" i="2" s="1"/>
  <c r="X33" i="2" s="1"/>
  <c r="I37" i="2"/>
  <c r="I68" i="2" s="1"/>
  <c r="G68" i="2"/>
  <c r="D72" i="2"/>
  <c r="D79" i="2"/>
  <c r="B74" i="2"/>
  <c r="G69" i="2" l="1"/>
  <c r="Z34" i="2"/>
  <c r="Z35" i="2" s="1"/>
  <c r="Z36" i="2" s="1"/>
  <c r="Z37" i="2" s="1"/>
  <c r="Z38" i="2" s="1"/>
  <c r="Z39" i="2" s="1"/>
  <c r="Z40" i="2" s="1"/>
  <c r="Z41" i="2" s="1"/>
  <c r="Z42" i="2" s="1"/>
  <c r="Z43" i="2" s="1"/>
  <c r="Z44" i="2" s="1"/>
  <c r="AA34" i="2"/>
  <c r="Y36" i="2"/>
  <c r="U72" i="2"/>
  <c r="J47" i="2"/>
  <c r="K47" i="2" s="1"/>
  <c r="L47" i="2" s="1"/>
  <c r="B75" i="2"/>
  <c r="B76" i="2"/>
  <c r="D76" i="2" s="1"/>
  <c r="J57" i="2" l="1"/>
  <c r="K57" i="2" s="1"/>
  <c r="L57" i="2" s="1"/>
  <c r="J38" i="2"/>
  <c r="K38" i="2" s="1"/>
  <c r="L38" i="2" s="1"/>
  <c r="J33" i="2"/>
  <c r="K33" i="2" s="1"/>
  <c r="L33" i="2" s="1"/>
  <c r="J54" i="2"/>
  <c r="K54" i="2" s="1"/>
  <c r="L54" i="2" s="1"/>
  <c r="J48" i="2"/>
  <c r="K48" i="2" s="1"/>
  <c r="L48" i="2" s="1"/>
  <c r="J64" i="2"/>
  <c r="K64" i="2" s="1"/>
  <c r="L64" i="2" s="1"/>
  <c r="J49" i="2"/>
  <c r="K49" i="2" s="1"/>
  <c r="L49" i="2" s="1"/>
  <c r="J35" i="2"/>
  <c r="K35" i="2" s="1"/>
  <c r="L35" i="2" s="1"/>
  <c r="J36" i="2"/>
  <c r="K36" i="2" s="1"/>
  <c r="L36" i="2" s="1"/>
  <c r="J45" i="2"/>
  <c r="K45" i="2" s="1"/>
  <c r="L45" i="2" s="1"/>
  <c r="J41" i="2"/>
  <c r="K41" i="2" s="1"/>
  <c r="L41" i="2" s="1"/>
  <c r="J67" i="2"/>
  <c r="K67" i="2" s="1"/>
  <c r="L67" i="2" s="1"/>
  <c r="J39" i="2"/>
  <c r="K39" i="2" s="1"/>
  <c r="L39" i="2" s="1"/>
  <c r="J66" i="2"/>
  <c r="K66" i="2" s="1"/>
  <c r="L66" i="2" s="1"/>
  <c r="J65" i="2"/>
  <c r="K65" i="2" s="1"/>
  <c r="L65" i="2" s="1"/>
  <c r="J34" i="2"/>
  <c r="K34" i="2" s="1"/>
  <c r="L34" i="2" s="1"/>
  <c r="J51" i="2"/>
  <c r="K51" i="2" s="1"/>
  <c r="L51" i="2" s="1"/>
  <c r="J50" i="2"/>
  <c r="K50" i="2" s="1"/>
  <c r="L50" i="2" s="1"/>
  <c r="J37" i="2"/>
  <c r="K37" i="2" s="1"/>
  <c r="L37" i="2" s="1"/>
  <c r="J42" i="2"/>
  <c r="K42" i="2" s="1"/>
  <c r="L42" i="2" s="1"/>
  <c r="J61" i="2"/>
  <c r="K61" i="2" s="1"/>
  <c r="L61" i="2" s="1"/>
  <c r="J52" i="2"/>
  <c r="K52" i="2" s="1"/>
  <c r="L52" i="2" s="1"/>
  <c r="J56" i="2"/>
  <c r="K56" i="2" s="1"/>
  <c r="L56" i="2" s="1"/>
  <c r="U71" i="2"/>
  <c r="Y35" i="2"/>
  <c r="J58" i="2"/>
  <c r="K58" i="2" s="1"/>
  <c r="L58" i="2" s="1"/>
  <c r="J40" i="2"/>
  <c r="K40" i="2" s="1"/>
  <c r="L40" i="2" s="1"/>
  <c r="J55" i="2"/>
  <c r="K55" i="2" s="1"/>
  <c r="L55" i="2" s="1"/>
  <c r="J44" i="2"/>
  <c r="K44" i="2" s="1"/>
  <c r="L44" i="2" s="1"/>
  <c r="J53" i="2"/>
  <c r="K53" i="2" s="1"/>
  <c r="L53" i="2" s="1"/>
  <c r="J46" i="2"/>
  <c r="K46" i="2" s="1"/>
  <c r="L46" i="2" s="1"/>
  <c r="J60" i="2"/>
  <c r="K60" i="2" s="1"/>
  <c r="L60" i="2" s="1"/>
  <c r="J62" i="2"/>
  <c r="K62" i="2" s="1"/>
  <c r="L62" i="2" s="1"/>
  <c r="J59" i="2"/>
  <c r="K59" i="2" s="1"/>
  <c r="L59" i="2" s="1"/>
  <c r="J43" i="2"/>
  <c r="K43" i="2" s="1"/>
  <c r="L43" i="2" s="1"/>
  <c r="V81" i="2"/>
  <c r="V82" i="2" s="1"/>
  <c r="B78" i="2"/>
  <c r="U70" i="2" l="1"/>
  <c r="AA35" i="2"/>
  <c r="AA36" i="2" s="1"/>
  <c r="AA37" i="2" s="1"/>
  <c r="AA38" i="2" s="1"/>
  <c r="AA39" i="2" s="1"/>
  <c r="AA40" i="2" s="1"/>
  <c r="AA41" i="2" s="1"/>
  <c r="AA42" i="2" s="1"/>
  <c r="AA43" i="2" s="1"/>
  <c r="AA44" i="2" s="1"/>
  <c r="K68" i="2"/>
  <c r="L68" i="2" s="1"/>
</calcChain>
</file>

<file path=xl/sharedStrings.xml><?xml version="1.0" encoding="utf-8"?>
<sst xmlns="http://schemas.openxmlformats.org/spreadsheetml/2006/main" count="234" uniqueCount="188">
  <si>
    <t>Step No.</t>
  </si>
  <si>
    <t>Propellant</t>
  </si>
  <si>
    <t>Isp_eff</t>
  </si>
  <si>
    <t>Struct. Mass Fraction</t>
  </si>
  <si>
    <t>Methalox</t>
  </si>
  <si>
    <t>Step 1 %deltaV</t>
  </si>
  <si>
    <t>required deltaV_1</t>
  </si>
  <si>
    <t>mass ratio, u1</t>
  </si>
  <si>
    <t>mp1</t>
  </si>
  <si>
    <t>ms1</t>
  </si>
  <si>
    <t>m01</t>
  </si>
  <si>
    <t>Step 2 %deltaV</t>
  </si>
  <si>
    <t>required deltaV_2</t>
  </si>
  <si>
    <t>mass ratio, u2</t>
  </si>
  <si>
    <t>mp2</t>
  </si>
  <si>
    <t>ms2</t>
  </si>
  <si>
    <t>m02</t>
  </si>
  <si>
    <t>m00 (with PL)</t>
  </si>
  <si>
    <t>payload</t>
  </si>
  <si>
    <t>m/s</t>
  </si>
  <si>
    <t>kg</t>
  </si>
  <si>
    <t>Propellant Mass</t>
  </si>
  <si>
    <t>t/w</t>
  </si>
  <si>
    <t>Thrust</t>
  </si>
  <si>
    <t>mass flow rate</t>
  </si>
  <si>
    <t>mp_startup</t>
  </si>
  <si>
    <t>mp_residual</t>
  </si>
  <si>
    <t>Step</t>
  </si>
  <si>
    <t>mp_total</t>
  </si>
  <si>
    <t>Ratio</t>
  </si>
  <si>
    <t>m_f</t>
  </si>
  <si>
    <t>m_ox</t>
  </si>
  <si>
    <t>Vol_f</t>
  </si>
  <si>
    <t>Vol_ox</t>
  </si>
  <si>
    <t>Burn time</t>
  </si>
  <si>
    <t>Vol_f_ullage</t>
  </si>
  <si>
    <t>Vol_ox_ullage</t>
  </si>
  <si>
    <t>Vol_f_shrinkage</t>
  </si>
  <si>
    <t>Vol_ox_shrinkage</t>
  </si>
  <si>
    <t>Vol_f_total</t>
  </si>
  <si>
    <t>Vol_ox_total</t>
  </si>
  <si>
    <t>Diameter</t>
  </si>
  <si>
    <t>AR</t>
  </si>
  <si>
    <t>Cylinder Height_f</t>
  </si>
  <si>
    <t>Cylinder Height_ox</t>
  </si>
  <si>
    <t>Step 1</t>
  </si>
  <si>
    <t>Step 2</t>
  </si>
  <si>
    <t>Slenderness Ratio</t>
  </si>
  <si>
    <t>Dome Height_f</t>
  </si>
  <si>
    <t>Dome Height_ox</t>
  </si>
  <si>
    <t>Intertank length</t>
  </si>
  <si>
    <t>Interstage Length</t>
  </si>
  <si>
    <t>Stage Height</t>
  </si>
  <si>
    <t>Scale factor</t>
  </si>
  <si>
    <t>Raptor Engine Specs</t>
  </si>
  <si>
    <t>Scaled to Designed LV</t>
  </si>
  <si>
    <t>Area</t>
  </si>
  <si>
    <t>Raptor 1 Engine</t>
  </si>
  <si>
    <t>Thrust Requirement Step 1</t>
  </si>
  <si>
    <t>Thrust Requirement Step 2</t>
  </si>
  <si>
    <t>Existing Engine (Step 1)</t>
  </si>
  <si>
    <t>Exisitng Engine (Step 2)</t>
  </si>
  <si>
    <t>T/W Step 2</t>
  </si>
  <si>
    <t>Raptor Vacuum Engine Specs</t>
  </si>
  <si>
    <t>burn time</t>
  </si>
  <si>
    <t>Throttle %</t>
  </si>
  <si>
    <t>Height</t>
  </si>
  <si>
    <t>Nozzle Length</t>
  </si>
  <si>
    <t>Throat Diameter</t>
  </si>
  <si>
    <t>Chamber Diameter</t>
  </si>
  <si>
    <t>L_chamb+L_conv</t>
  </si>
  <si>
    <t>Tank Mass_f</t>
  </si>
  <si>
    <t>Tank Mass_ox</t>
  </si>
  <si>
    <t>Tank Area_ox</t>
  </si>
  <si>
    <t>Tank Area_f</t>
  </si>
  <si>
    <t>Insulation mass_f</t>
  </si>
  <si>
    <t>Insulation mass_ox</t>
  </si>
  <si>
    <t>Payload Fairing</t>
  </si>
  <si>
    <t>Interstage</t>
  </si>
  <si>
    <t>Intertank</t>
  </si>
  <si>
    <t>Aft Skirt</t>
  </si>
  <si>
    <t>Fwd Skirt</t>
  </si>
  <si>
    <t>Engine Mass</t>
  </si>
  <si>
    <t>Thrust Structure Mass</t>
  </si>
  <si>
    <t>Gimbal Mass</t>
  </si>
  <si>
    <t>Payload Attach Fitting</t>
  </si>
  <si>
    <t>Avionics Mass</t>
  </si>
  <si>
    <t>Wiring Mass</t>
  </si>
  <si>
    <t>Total Inert Mass by Step</t>
  </si>
  <si>
    <t>TOTAL INERT MASS (no PL)</t>
  </si>
  <si>
    <t>TOTAL LOADED MASS</t>
  </si>
  <si>
    <t>Item</t>
  </si>
  <si>
    <t>Mass (kg)</t>
  </si>
  <si>
    <t>Moment (kg*m)</t>
  </si>
  <si>
    <t>Payload + PAF</t>
  </si>
  <si>
    <t>Avionics 1</t>
  </si>
  <si>
    <t>Avionics 2</t>
  </si>
  <si>
    <t>Length1</t>
  </si>
  <si>
    <t>length2</t>
  </si>
  <si>
    <t>total length</t>
  </si>
  <si>
    <t>Forward Skirt 2</t>
  </si>
  <si>
    <t>Intertank 2</t>
  </si>
  <si>
    <t>Fuel Tank 2</t>
  </si>
  <si>
    <t>Aft Skirt 2</t>
  </si>
  <si>
    <t>Thrust Structure 2</t>
  </si>
  <si>
    <t>Gimbals 2</t>
  </si>
  <si>
    <t>Engines 2</t>
  </si>
  <si>
    <t>Wiring 1</t>
  </si>
  <si>
    <t>Wiring 2</t>
  </si>
  <si>
    <t>Ox Tank 1</t>
  </si>
  <si>
    <t>Ox Tank 2</t>
  </si>
  <si>
    <t>Ox Insulation 2</t>
  </si>
  <si>
    <t>Fuel Insulation 2</t>
  </si>
  <si>
    <t>Fuel Residual 2</t>
  </si>
  <si>
    <t>Ox Insulation 1</t>
  </si>
  <si>
    <t>Intertank 1</t>
  </si>
  <si>
    <t>Fuel Tank 1</t>
  </si>
  <si>
    <t>Fuel Insulation 1</t>
  </si>
  <si>
    <t>Aft Skirt 1</t>
  </si>
  <si>
    <t>Thrust Structure 1</t>
  </si>
  <si>
    <t>Gimbals 1</t>
  </si>
  <si>
    <t>Engines 1</t>
  </si>
  <si>
    <t>Propellant Y(1)/N(0)</t>
  </si>
  <si>
    <t>LOx 2</t>
  </si>
  <si>
    <t>Fuel 2</t>
  </si>
  <si>
    <t>LOx 1</t>
  </si>
  <si>
    <t>Fuel 1</t>
  </si>
  <si>
    <t>Totals</t>
  </si>
  <si>
    <t>CM Location</t>
  </si>
  <si>
    <t>m</t>
  </si>
  <si>
    <t>Fuel Residual 1</t>
  </si>
  <si>
    <t>LOx Residual 1</t>
  </si>
  <si>
    <t>LOx Residual 2</t>
  </si>
  <si>
    <t>Distance from CM</t>
  </si>
  <si>
    <t xml:space="preserve">kg*m^2 (CM) </t>
  </si>
  <si>
    <t>J_pitch</t>
  </si>
  <si>
    <t>J_roll</t>
  </si>
  <si>
    <t>R</t>
  </si>
  <si>
    <t>r</t>
  </si>
  <si>
    <t>R^2</t>
  </si>
  <si>
    <t>r^2</t>
  </si>
  <si>
    <t>Step Design Margin</t>
  </si>
  <si>
    <t>Total Design Margin</t>
  </si>
  <si>
    <t>Yes/No Step 2</t>
  </si>
  <si>
    <t>Yes/No Step 1</t>
  </si>
  <si>
    <t>total deltaV</t>
  </si>
  <si>
    <t>Losses</t>
  </si>
  <si>
    <t>V_LS</t>
  </si>
  <si>
    <t>Staging Speed</t>
  </si>
  <si>
    <t>Structural Mass</t>
  </si>
  <si>
    <t>coefficient</t>
  </si>
  <si>
    <t>engine mass eq.</t>
  </si>
  <si>
    <t>External Component</t>
  </si>
  <si>
    <t>Forward Skirt</t>
  </si>
  <si>
    <t>Upper LOx Tank</t>
  </si>
  <si>
    <t>Upper Fuel Tank</t>
  </si>
  <si>
    <t>Upper Intertank</t>
  </si>
  <si>
    <t>Lower Intertank</t>
  </si>
  <si>
    <t>Lower Fuel Tank</t>
  </si>
  <si>
    <t xml:space="preserve">Lower LOx Tank </t>
  </si>
  <si>
    <t>Upper Aft Skirt</t>
  </si>
  <si>
    <t>Lower Aft Skirt</t>
  </si>
  <si>
    <t>Side Area (m^2)</t>
  </si>
  <si>
    <t>Wind Speed (m/s)</t>
  </si>
  <si>
    <t>Pressure (Pa)</t>
  </si>
  <si>
    <t>Force (kN)</t>
  </si>
  <si>
    <t>Elevation at Top (m)</t>
  </si>
  <si>
    <t>Bottom</t>
  </si>
  <si>
    <t>Centroid Location AGL (m)</t>
  </si>
  <si>
    <t>Shear (kN)</t>
  </si>
  <si>
    <t>Moment (kNm)</t>
  </si>
  <si>
    <t>Margin</t>
  </si>
  <si>
    <t>GLOM Weight</t>
  </si>
  <si>
    <t>Axial Force (N)</t>
  </si>
  <si>
    <t>T/W</t>
  </si>
  <si>
    <t>CM Location (x, y, z) [m]</t>
  </si>
  <si>
    <t>1st Stage Dry Mass (kg)</t>
  </si>
  <si>
    <t>(1, 1, 5.06)</t>
  </si>
  <si>
    <t>Total Time to 0 Rotational Displacement and 0 Rotational Rate (s)</t>
  </si>
  <si>
    <t>Value</t>
  </si>
  <si>
    <t>Thrust (N)</t>
  </si>
  <si>
    <t>Exit Area (m^2)</t>
  </si>
  <si>
    <t>Radius (m)</t>
  </si>
  <si>
    <t>Exit Diameter (m)</t>
  </si>
  <si>
    <t>Height (m)</t>
  </si>
  <si>
    <t>Area (m^2)</t>
  </si>
  <si>
    <t>Diameter (m)</t>
  </si>
  <si>
    <t>Ref. Distance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</si>
</sst>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/>
    <xf numFmtId="0" fontId="0" fillId="4" borderId="1" xfId="0" applyFill="1" applyBorder="1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0" borderId="0" xfId="0" applyAlignment="1">
      <alignment horizontal="right"/>
    </xf>
    <xf numFmtId="0" fontId="2" fillId="0" borderId="0" xfId="0" applyFont="1"/>
    <xf numFmtId="164" fontId="0" fillId="0" borderId="0" xfId="0" applyNumberFormat="1"/>
    <xf numFmtId="0" fontId="2" fillId="0" borderId="0" xfId="0" applyFont="1" applyAlignment="1">
      <alignment horizontal="right"/>
    </xf>
    <xf numFmtId="2" fontId="0" fillId="0" borderId="0" xfId="0" applyNumberFormat="1"/>
    <xf numFmtId="0" fontId="3" fillId="0" borderId="0" xfId="0" applyFont="1"/>
    <xf numFmtId="164" fontId="0" fillId="0" borderId="0" xfId="0" applyNumberFormat="1" applyAlignment="1">
      <alignment horizontal="center"/>
    </xf>
    <xf numFmtId="9" fontId="0" fillId="0" borderId="0" xfId="1" applyFont="1"/>
    <xf numFmtId="0" fontId="2" fillId="2" borderId="0" xfId="0" applyFont="1" applyFill="1" applyAlignment="1">
      <alignment horizontal="right"/>
    </xf>
    <xf numFmtId="2" fontId="2" fillId="2" borderId="0" xfId="0" applyNumberFormat="1" applyFont="1" applyFill="1"/>
    <xf numFmtId="0" fontId="2" fillId="2" borderId="0" xfId="0" applyFont="1" applyFill="1"/>
    <xf numFmtId="2" fontId="2" fillId="0" borderId="0" xfId="0" applyNumberFormat="1" applyFont="1"/>
    <xf numFmtId="0" fontId="0" fillId="4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165" fontId="0" fillId="0" borderId="0" xfId="0" applyNumberFormat="1"/>
    <xf numFmtId="2" fontId="0" fillId="5" borderId="0" xfId="0" applyNumberFormat="1" applyFill="1"/>
    <xf numFmtId="165" fontId="0" fillId="0" borderId="0" xfId="0" applyNumberFormat="1" applyAlignment="1">
      <alignment horizontal="center"/>
    </xf>
    <xf numFmtId="166" fontId="0" fillId="0" borderId="0" xfId="0" applyNumberFormat="1"/>
    <xf numFmtId="0" fontId="0" fillId="0" borderId="0" xfId="0" applyAlignment="1">
      <alignment vertical="top" wrapText="1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2" fontId="0" fillId="0" borderId="1" xfId="0" applyNumberFormat="1" applyBorder="1"/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Maximum</a:t>
            </a:r>
            <a:r>
              <a:rPr lang="en-US" baseline="0"/>
              <a:t> Axial Load vs. Length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6A6-AC47-A019-1456D04B56A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6A6-AC47-A019-1456D04B56A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6A6-AC47-A019-1456D04B56A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6A6-AC47-A019-1456D04B56A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6A6-AC47-A019-1456D04B56A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6A6-AC47-A019-1456D04B56A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6A6-AC47-A019-1456D04B56A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A6-AC47-A019-1456D04B56A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A6-AC47-A019-1456D04B56A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A6-AC47-A019-1456D04B56A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A6-AC47-A019-1456D04B56A9}"/>
                </c:ext>
              </c:extLst>
            </c:dLbl>
            <c:dLbl>
              <c:idx val="11"/>
              <c:layout>
                <c:manualLayout>
                  <c:x val="-0.15579941149739882"/>
                  <c:y val="0.26476679617040577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2C9D546-6A39-C043-A19E-C98E69BEF219}" type="XVALUE">
                      <a:rPr lang="en-US"/>
                      <a:pPr>
                        <a:defRPr/>
                      </a:pPr>
                      <a:t>[X VALUE]</a:t>
                    </a:fld>
                    <a:r>
                      <a:rPr lang="en-US" baseline="0"/>
                      <a:t>, </a:t>
                    </a:r>
                    <a:fld id="{A09C1186-CD6B-3243-BC5C-3596DC9FB66B}" type="YVALUE">
                      <a:rPr lang="en-US" baseline="0"/>
                      <a:pPr>
                        <a:defRPr/>
                      </a:pPr>
                      <a:t>[Y VALUE]</a:t>
                    </a:fld>
                    <a:endParaRPr lang="en-US" baseline="0"/>
                  </a:p>
                  <a:p>
                    <a:pPr>
                      <a:defRPr/>
                    </a:pPr>
                    <a:r>
                      <a:rPr lang="en-US" baseline="0"/>
                      <a:t>GLOM Weight = 417.3 kN</a:t>
                    </a:r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2292948508614149"/>
                      <c:h val="0.1897113639245458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C6A6-AC47-A019-1456D04B56A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'Tank Volume'!$U$68:$U$79</c:f>
              <c:numCache>
                <c:formatCode>0.00</c:formatCode>
                <c:ptCount val="12"/>
                <c:pt idx="0">
                  <c:v>27.86</c:v>
                </c:pt>
                <c:pt idx="1">
                  <c:v>25.860325558826744</c:v>
                </c:pt>
                <c:pt idx="2">
                  <c:v>25.173438834900136</c:v>
                </c:pt>
                <c:pt idx="3">
                  <c:v>21.693086481623787</c:v>
                </c:pt>
                <c:pt idx="4">
                  <c:v>20.735979700437241</c:v>
                </c:pt>
                <c:pt idx="5">
                  <c:v>18.129489762131627</c:v>
                </c:pt>
                <c:pt idx="6">
                  <c:v>17.442603038205018</c:v>
                </c:pt>
                <c:pt idx="7">
                  <c:v>15.442603038205018</c:v>
                </c:pt>
                <c:pt idx="8">
                  <c:v>9.1471117079806117</c:v>
                </c:pt>
                <c:pt idx="9">
                  <c:v>7.2328981456075168</c:v>
                </c:pt>
                <c:pt idx="10">
                  <c:v>2</c:v>
                </c:pt>
                <c:pt idx="11">
                  <c:v>0</c:v>
                </c:pt>
              </c:numCache>
            </c:numRef>
          </c:xVal>
          <c:yVal>
            <c:numRef>
              <c:f>'Tank Volume'!$V$68:$V$79</c:f>
              <c:numCache>
                <c:formatCode>0.00</c:formatCode>
                <c:ptCount val="12"/>
                <c:pt idx="0">
                  <c:v>0</c:v>
                </c:pt>
                <c:pt idx="1">
                  <c:v>5.6044336540070541</c:v>
                </c:pt>
                <c:pt idx="2">
                  <c:v>7.6778539583916992</c:v>
                </c:pt>
                <c:pt idx="3">
                  <c:v>43.142945570901318</c:v>
                </c:pt>
                <c:pt idx="4">
                  <c:v>43.751591681186049</c:v>
                </c:pt>
                <c:pt idx="5">
                  <c:v>54.426074545762035</c:v>
                </c:pt>
                <c:pt idx="6">
                  <c:v>55.094023317304675</c:v>
                </c:pt>
                <c:pt idx="7">
                  <c:v>62.644696683910574</c:v>
                </c:pt>
                <c:pt idx="8">
                  <c:v>320.60117074752117</c:v>
                </c:pt>
                <c:pt idx="9">
                  <c:v>322.4115056848961</c:v>
                </c:pt>
                <c:pt idx="10">
                  <c:v>406.11322364750202</c:v>
                </c:pt>
                <c:pt idx="11">
                  <c:v>412.34293161868504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A6-AC47-A019-1456D04B5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718592"/>
        <c:axId val="2105813520"/>
      </c:scatterChart>
      <c:valAx>
        <c:axId val="2105718592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Elevation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813520"/>
        <c:crosses val="autoZero"/>
        <c:crossBetween val="midCat"/>
      </c:valAx>
      <c:valAx>
        <c:axId val="210581352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Axial</a:t>
                </a:r>
                <a:r>
                  <a:rPr lang="en-US" baseline="0"/>
                  <a:t> Force (kN)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718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Wind</a:t>
            </a:r>
            <a:r>
              <a:rPr lang="en-US" baseline="0"/>
              <a:t> Shear vs. Length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Shear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'Tank Volume'!$Y$33:$Y$44</c:f>
              <c:numCache>
                <c:formatCode>0.00</c:formatCode>
                <c:ptCount val="12"/>
                <c:pt idx="0">
                  <c:v>27.860325558826744</c:v>
                </c:pt>
                <c:pt idx="1">
                  <c:v>25.860325558826744</c:v>
                </c:pt>
                <c:pt idx="2">
                  <c:v>25.173438834900136</c:v>
                </c:pt>
                <c:pt idx="3">
                  <c:v>21.693086481623787</c:v>
                </c:pt>
                <c:pt idx="4">
                  <c:v>20.735979700437241</c:v>
                </c:pt>
                <c:pt idx="5">
                  <c:v>18.129489762131627</c:v>
                </c:pt>
                <c:pt idx="6">
                  <c:v>17.442603038205018</c:v>
                </c:pt>
                <c:pt idx="7">
                  <c:v>15.442603038205018</c:v>
                </c:pt>
                <c:pt idx="8">
                  <c:v>9.1471117079806117</c:v>
                </c:pt>
                <c:pt idx="9">
                  <c:v>7.2328981456075168</c:v>
                </c:pt>
                <c:pt idx="10">
                  <c:v>2</c:v>
                </c:pt>
                <c:pt idx="11">
                  <c:v>0</c:v>
                </c:pt>
              </c:numCache>
            </c:numRef>
          </c:xVal>
          <c:yVal>
            <c:numRef>
              <c:f>'Tank Volume'!$Z$33:$Z$44</c:f>
              <c:numCache>
                <c:formatCode>0.00</c:formatCode>
                <c:ptCount val="12"/>
                <c:pt idx="0">
                  <c:v>0</c:v>
                </c:pt>
                <c:pt idx="1">
                  <c:v>3.2831361050713475</c:v>
                </c:pt>
                <c:pt idx="2">
                  <c:v>4.9537821975139673</c:v>
                </c:pt>
                <c:pt idx="3">
                  <c:v>10.466260282438846</c:v>
                </c:pt>
                <c:pt idx="4">
                  <c:v>11.948166558660516</c:v>
                </c:pt>
                <c:pt idx="5">
                  <c:v>15.907015042705082</c:v>
                </c:pt>
                <c:pt idx="6">
                  <c:v>16.935097514087037</c:v>
                </c:pt>
                <c:pt idx="7">
                  <c:v>21.343044914435382</c:v>
                </c:pt>
                <c:pt idx="8">
                  <c:v>38.85828557034948</c:v>
                </c:pt>
                <c:pt idx="9">
                  <c:v>43.79147165142534</c:v>
                </c:pt>
                <c:pt idx="10">
                  <c:v>56.668749785276731</c:v>
                </c:pt>
                <c:pt idx="11">
                  <c:v>61.238804153670984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6B-5C4F-B129-6FEFC22A1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301488"/>
        <c:axId val="569303136"/>
      </c:scatterChart>
      <c:valAx>
        <c:axId val="569301488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Elevation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303136"/>
        <c:crosses val="autoZero"/>
        <c:crossBetween val="midCat"/>
      </c:valAx>
      <c:valAx>
        <c:axId val="56930313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Force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301488"/>
        <c:crosses val="autoZero"/>
        <c:crossBetween val="midCat"/>
      </c:valAx>
      <c:spPr>
        <a:noFill/>
        <a:ln>
          <a:solidFill>
            <a:schemeClr val="accent1"/>
          </a:solidFill>
          <a:prstDash val="lgDash"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Bending Moment vs. Length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'Tank Volume'!$AA$32</c:f>
              <c:strCache>
                <c:ptCount val="1"/>
                <c:pt idx="0">
                  <c:v>Moment (kNm)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'Tank Volume'!$Y$33:$Y$44</c:f>
              <c:numCache>
                <c:formatCode>0.00</c:formatCode>
                <c:ptCount val="12"/>
                <c:pt idx="0">
                  <c:v>27.860325558826744</c:v>
                </c:pt>
                <c:pt idx="1">
                  <c:v>25.860325558826744</c:v>
                </c:pt>
                <c:pt idx="2">
                  <c:v>25.173438834900136</c:v>
                </c:pt>
                <c:pt idx="3">
                  <c:v>21.693086481623787</c:v>
                </c:pt>
                <c:pt idx="4">
                  <c:v>20.735979700437241</c:v>
                </c:pt>
                <c:pt idx="5">
                  <c:v>18.129489762131627</c:v>
                </c:pt>
                <c:pt idx="6">
                  <c:v>17.442603038205018</c:v>
                </c:pt>
                <c:pt idx="7">
                  <c:v>15.442603038205018</c:v>
                </c:pt>
                <c:pt idx="8">
                  <c:v>9.1471117079806117</c:v>
                </c:pt>
                <c:pt idx="9">
                  <c:v>7.2328981456075168</c:v>
                </c:pt>
                <c:pt idx="10">
                  <c:v>2</c:v>
                </c:pt>
                <c:pt idx="11">
                  <c:v>0</c:v>
                </c:pt>
              </c:numCache>
            </c:numRef>
          </c:xVal>
          <c:yVal>
            <c:numRef>
              <c:f>'Tank Volume'!$AA$33:$AA$44</c:f>
              <c:numCache>
                <c:formatCode>0.00</c:formatCode>
                <c:ptCount val="12"/>
                <c:pt idx="0">
                  <c:v>0</c:v>
                </c:pt>
                <c:pt idx="1">
                  <c:v>2.1887574033808983</c:v>
                </c:pt>
                <c:pt idx="2">
                  <c:v>5.0814247963978003</c:v>
                </c:pt>
                <c:pt idx="3">
                  <c:v>31.915015362760318</c:v>
                </c:pt>
                <c:pt idx="4">
                  <c:v>42.641515325773284</c:v>
                </c:pt>
                <c:pt idx="5">
                  <c:v>78.943640612590841</c:v>
                </c:pt>
                <c:pt idx="6">
                  <c:v>90.22304616307278</c:v>
                </c:pt>
                <c:pt idx="7">
                  <c:v>125.94951462729421</c:v>
                </c:pt>
                <c:pt idx="8">
                  <c:v>315.44799169476289</c:v>
                </c:pt>
                <c:pt idx="9">
                  <c:v>394.55263479514537</c:v>
                </c:pt>
                <c:pt idx="10">
                  <c:v>657.40168802686469</c:v>
                </c:pt>
                <c:pt idx="11">
                  <c:v>775.30924196581236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B8-5647-B95A-C7138480F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661568"/>
        <c:axId val="551663216"/>
      </c:scatterChart>
      <c:valAx>
        <c:axId val="551661568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Elevation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663216"/>
        <c:crosses val="autoZero"/>
        <c:crossBetween val="midCat"/>
      </c:valAx>
      <c:valAx>
        <c:axId val="55166321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Bending Moment (kNm)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66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925285</xdr:colOff>
      <xdr:row>65</xdr:row>
      <xdr:rowOff>145142</xdr:rowOff>
    </xdr:from>
    <xdr:to>
      <xdr:col>31</xdr:col>
      <xdr:colOff>163286</xdr:colOff>
      <xdr:row>85</xdr:row>
      <xdr:rowOff>199571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79F4E9-C617-F344-843F-369C211C9A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326572</xdr:colOff>
      <xdr:row>45</xdr:row>
      <xdr:rowOff>18144</xdr:rowOff>
    </xdr:from>
    <xdr:to>
      <xdr:col>30</xdr:col>
      <xdr:colOff>471714</xdr:colOff>
      <xdr:row>64</xdr:row>
      <xdr:rowOff>127001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AF4799-0357-7442-BFAF-3A74F20482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1614715</xdr:colOff>
      <xdr:row>45</xdr:row>
      <xdr:rowOff>72572</xdr:rowOff>
    </xdr:from>
    <xdr:to>
      <xdr:col>23</xdr:col>
      <xdr:colOff>254000</xdr:colOff>
      <xdr:row>61</xdr:row>
      <xdr:rowOff>165099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FD5629-5DF9-1A05-8A72-A2F0B0FF17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4E750-667D-914A-AF95-5E1F8C54059C}">
  <dimension ref="A1:H38"/>
  <sheetViews>
    <sheetView workbookViewId="0">
      <selection activeCell="B7" sqref="B7"/>
    </sheetView>
  </sheetViews>
  <sheetFormatPr baseColWidth="10" defaultRowHeight="16" x14ac:dyDescent="0.2"/>
  <cols>
    <col min="1" max="1" width="16.1640625" customWidth="1"/>
    <col min="4" max="4" width="21.83203125" customWidth="1"/>
    <col min="5" max="5" width="18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</v>
      </c>
      <c r="B2" s="2" t="s">
        <v>4</v>
      </c>
      <c r="C2" s="3">
        <v>363.33</v>
      </c>
      <c r="D2" s="28">
        <v>7.8854628550515699E-2</v>
      </c>
    </row>
    <row r="3" spans="1:4" x14ac:dyDescent="0.2">
      <c r="A3" s="2">
        <v>2</v>
      </c>
      <c r="B3" s="2" t="s">
        <v>4</v>
      </c>
      <c r="C3" s="2">
        <v>380</v>
      </c>
      <c r="D3" s="2">
        <v>0.2205</v>
      </c>
    </row>
    <row r="6" spans="1:4" x14ac:dyDescent="0.2">
      <c r="A6" s="22" t="s">
        <v>5</v>
      </c>
      <c r="B6" s="6">
        <v>0.4</v>
      </c>
      <c r="C6" s="6"/>
    </row>
    <row r="7" spans="1:4" x14ac:dyDescent="0.2">
      <c r="A7" s="22" t="s">
        <v>6</v>
      </c>
      <c r="B7" s="6">
        <v>5283.6</v>
      </c>
      <c r="C7" s="6" t="s">
        <v>19</v>
      </c>
    </row>
    <row r="8" spans="1:4" x14ac:dyDescent="0.2">
      <c r="A8" s="22" t="s">
        <v>146</v>
      </c>
      <c r="B8" s="6">
        <v>1759.6</v>
      </c>
      <c r="C8" s="6" t="s">
        <v>19</v>
      </c>
    </row>
    <row r="9" spans="1:4" x14ac:dyDescent="0.2">
      <c r="A9" s="22" t="s">
        <v>148</v>
      </c>
      <c r="B9" s="6">
        <f>B7-B8</f>
        <v>3524.0000000000005</v>
      </c>
      <c r="C9" s="6" t="s">
        <v>19</v>
      </c>
    </row>
    <row r="10" spans="1:4" x14ac:dyDescent="0.2">
      <c r="A10" s="22" t="s">
        <v>147</v>
      </c>
      <c r="B10" s="6">
        <v>261</v>
      </c>
      <c r="C10" s="6" t="s">
        <v>19</v>
      </c>
    </row>
    <row r="11" spans="1:4" x14ac:dyDescent="0.2">
      <c r="A11" s="22" t="s">
        <v>7</v>
      </c>
      <c r="B11" s="6">
        <v>4.43</v>
      </c>
      <c r="C11" s="6"/>
    </row>
    <row r="12" spans="1:4" x14ac:dyDescent="0.2">
      <c r="A12" s="22" t="s">
        <v>8</v>
      </c>
      <c r="B12" s="6">
        <v>7306.86</v>
      </c>
      <c r="C12" s="6" t="s">
        <v>20</v>
      </c>
    </row>
    <row r="13" spans="1:4" x14ac:dyDescent="0.2">
      <c r="A13" s="22" t="s">
        <v>9</v>
      </c>
      <c r="B13" s="6">
        <v>386.85</v>
      </c>
      <c r="C13" s="6" t="s">
        <v>20</v>
      </c>
    </row>
    <row r="14" spans="1:4" x14ac:dyDescent="0.2">
      <c r="A14" s="22" t="s">
        <v>10</v>
      </c>
      <c r="B14" s="6">
        <f>B12+B13+B22</f>
        <v>8068.71</v>
      </c>
      <c r="C14" s="6" t="s">
        <v>20</v>
      </c>
    </row>
    <row r="15" spans="1:4" x14ac:dyDescent="0.2">
      <c r="A15" s="23"/>
      <c r="B15" s="7"/>
      <c r="C15" s="7"/>
    </row>
    <row r="16" spans="1:4" x14ac:dyDescent="0.2">
      <c r="A16" s="24" t="s">
        <v>11</v>
      </c>
      <c r="B16" s="8">
        <v>0.6</v>
      </c>
      <c r="C16" s="8"/>
    </row>
    <row r="17" spans="1:8" x14ac:dyDescent="0.2">
      <c r="A17" s="24" t="s">
        <v>12</v>
      </c>
      <c r="B17" s="8">
        <v>4894.4399999999996</v>
      </c>
      <c r="C17" s="8" t="s">
        <v>19</v>
      </c>
    </row>
    <row r="18" spans="1:8" x14ac:dyDescent="0.2">
      <c r="A18" s="24" t="s">
        <v>13</v>
      </c>
      <c r="B18" s="8">
        <v>3.74</v>
      </c>
      <c r="C18" s="8"/>
    </row>
    <row r="19" spans="1:8" x14ac:dyDescent="0.2">
      <c r="A19" s="24" t="s">
        <v>14</v>
      </c>
      <c r="B19" s="8">
        <v>1277.72</v>
      </c>
      <c r="C19" s="8" t="s">
        <v>20</v>
      </c>
    </row>
    <row r="20" spans="1:8" x14ac:dyDescent="0.2">
      <c r="A20" s="24" t="s">
        <v>15</v>
      </c>
      <c r="B20" s="8">
        <v>90.51</v>
      </c>
      <c r="C20" s="8" t="s">
        <v>20</v>
      </c>
    </row>
    <row r="21" spans="1:8" x14ac:dyDescent="0.2">
      <c r="A21" s="24" t="s">
        <v>16</v>
      </c>
      <c r="B21" s="8">
        <f>B19+B20+B22</f>
        <v>1743.23</v>
      </c>
      <c r="C21" s="8" t="s">
        <v>20</v>
      </c>
    </row>
    <row r="22" spans="1:8" x14ac:dyDescent="0.2">
      <c r="A22" s="24" t="s">
        <v>18</v>
      </c>
      <c r="B22" s="8">
        <v>375</v>
      </c>
      <c r="C22" s="8" t="s">
        <v>20</v>
      </c>
      <c r="F22" s="2"/>
    </row>
    <row r="23" spans="1:8" x14ac:dyDescent="0.2">
      <c r="A23" s="24" t="s">
        <v>145</v>
      </c>
      <c r="B23" s="8">
        <f>B7+B17-B10</f>
        <v>9917.0400000000009</v>
      </c>
      <c r="C23" s="8"/>
      <c r="F23" s="2"/>
    </row>
    <row r="24" spans="1:8" x14ac:dyDescent="0.2">
      <c r="A24" s="25" t="s">
        <v>17</v>
      </c>
      <c r="B24" s="9">
        <f>B14+B21-B22</f>
        <v>9436.94</v>
      </c>
      <c r="C24" s="9" t="s">
        <v>20</v>
      </c>
      <c r="D24" s="2"/>
      <c r="E24" s="4"/>
    </row>
    <row r="25" spans="1:8" x14ac:dyDescent="0.2">
      <c r="E25" s="10"/>
      <c r="F25" s="2"/>
      <c r="H25" s="2"/>
    </row>
    <row r="26" spans="1:8" x14ac:dyDescent="0.2">
      <c r="E26" s="10"/>
      <c r="F26" s="2"/>
      <c r="H26" s="2"/>
    </row>
    <row r="27" spans="1:8" x14ac:dyDescent="0.2">
      <c r="E27" s="10"/>
      <c r="F27" s="2"/>
      <c r="H27" s="2"/>
    </row>
    <row r="28" spans="1:8" x14ac:dyDescent="0.2">
      <c r="E28" s="10"/>
      <c r="F28" s="2"/>
      <c r="H28" s="2"/>
    </row>
    <row r="29" spans="1:8" x14ac:dyDescent="0.2">
      <c r="E29" s="10"/>
      <c r="F29" s="2"/>
      <c r="H29" s="2"/>
    </row>
    <row r="30" spans="1:8" x14ac:dyDescent="0.2">
      <c r="E30" s="10"/>
      <c r="F30" s="2"/>
      <c r="H30" s="2"/>
    </row>
    <row r="31" spans="1:8" x14ac:dyDescent="0.2">
      <c r="E31" s="10"/>
      <c r="F31" s="2"/>
      <c r="H31" s="2"/>
    </row>
    <row r="32" spans="1:8" x14ac:dyDescent="0.2">
      <c r="E32" s="10"/>
      <c r="F32" s="2"/>
      <c r="H32" s="2"/>
    </row>
    <row r="33" spans="5:8" x14ac:dyDescent="0.2">
      <c r="E33" s="10"/>
      <c r="F33" s="2"/>
      <c r="H33" s="2"/>
    </row>
    <row r="34" spans="5:8" x14ac:dyDescent="0.2">
      <c r="E34" s="10"/>
      <c r="F34" s="2"/>
      <c r="H34" s="2"/>
    </row>
    <row r="35" spans="5:8" x14ac:dyDescent="0.2">
      <c r="E35" s="10"/>
      <c r="F35" s="2"/>
      <c r="H35" s="2"/>
    </row>
    <row r="36" spans="5:8" x14ac:dyDescent="0.2">
      <c r="E36" s="10"/>
      <c r="F36" s="2"/>
      <c r="H36" s="2"/>
    </row>
    <row r="37" spans="5:8" x14ac:dyDescent="0.2">
      <c r="E37" s="10"/>
      <c r="F37" s="2"/>
      <c r="H37" s="2"/>
    </row>
    <row r="38" spans="5:8" x14ac:dyDescent="0.2">
      <c r="E38" s="10"/>
      <c r="F38" s="2"/>
      <c r="H38" s="2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E4D39-CBF5-E847-BD80-E68CD7EB60EB}">
  <dimension ref="A1:AB111"/>
  <sheetViews>
    <sheetView tabSelected="1" topLeftCell="A30" zoomScale="70" zoomScaleNormal="70" workbookViewId="0">
      <selection activeCell="M54" sqref="M54"/>
    </sheetView>
  </sheetViews>
  <sheetFormatPr baseColWidth="10" defaultRowHeight="16" x14ac:dyDescent="0.2"/>
  <cols>
    <col min="1" max="1" width="23.6640625" customWidth="1"/>
    <col min="2" max="2" width="13.1640625" customWidth="1"/>
    <col min="4" max="4" width="12.33203125" customWidth="1"/>
    <col min="5" max="5" width="14.33203125" customWidth="1"/>
    <col min="6" max="6" width="16.5" customWidth="1"/>
    <col min="7" max="7" width="14.5" customWidth="1"/>
    <col min="8" max="8" width="15.83203125" customWidth="1"/>
    <col min="9" max="9" width="16.33203125" customWidth="1"/>
    <col min="10" max="10" width="15.6640625" customWidth="1"/>
    <col min="11" max="11" width="13.5" customWidth="1"/>
    <col min="12" max="12" width="13.33203125" customWidth="1"/>
    <col min="13" max="13" width="12" customWidth="1"/>
    <col min="19" max="19" width="17.33203125" customWidth="1"/>
    <col min="20" max="20" width="21.83203125" customWidth="1"/>
    <col min="21" max="21" width="19.83203125" customWidth="1"/>
    <col min="22" max="22" width="17.1640625" customWidth="1"/>
    <col min="23" max="23" width="14.6640625" customWidth="1"/>
    <col min="24" max="24" width="12" customWidth="1"/>
    <col min="25" max="25" width="18.6640625" customWidth="1"/>
    <col min="26" max="26" width="14.5" customWidth="1"/>
    <col min="27" max="27" width="13.5" customWidth="1"/>
    <col min="28" max="28" width="14.33203125" customWidth="1"/>
  </cols>
  <sheetData>
    <row r="1" spans="1:14" x14ac:dyDescent="0.2">
      <c r="A1" s="10" t="s">
        <v>22</v>
      </c>
      <c r="B1">
        <v>20</v>
      </c>
      <c r="E1" s="11" t="s">
        <v>21</v>
      </c>
      <c r="F1" s="1" t="s">
        <v>149</v>
      </c>
      <c r="H1" s="1" t="s">
        <v>150</v>
      </c>
    </row>
    <row r="2" spans="1:14" x14ac:dyDescent="0.2">
      <c r="A2" s="10"/>
      <c r="D2" s="11" t="s">
        <v>45</v>
      </c>
      <c r="E2">
        <f>((E3+F3+375)*((1/4.4055)-1))/((1/((1/H2)-1))+((1/(H2-1)))/4.4055)</f>
        <v>32901.971849120207</v>
      </c>
      <c r="F2">
        <f>E2/((1/H2)-1)</f>
        <v>3620.5951058244746</v>
      </c>
      <c r="H2" s="26">
        <v>9.9133095170746005E-2</v>
      </c>
    </row>
    <row r="3" spans="1:14" x14ac:dyDescent="0.2">
      <c r="A3" s="10"/>
      <c r="D3" s="11" t="s">
        <v>46</v>
      </c>
      <c r="E3">
        <f>(375*((1/3.719)-1))/((1/((1/H3)-1))+((1/(H3-1)))/3.719)</f>
        <v>4416.5118873308311</v>
      </c>
      <c r="F3">
        <f>E3/((1/H3)-1)</f>
        <v>1249.3147801878747</v>
      </c>
      <c r="H3">
        <v>0.2205</v>
      </c>
    </row>
    <row r="4" spans="1:14" x14ac:dyDescent="0.2">
      <c r="A4" s="10" t="s">
        <v>23</v>
      </c>
      <c r="B4" s="14">
        <f>185089*3</f>
        <v>555267</v>
      </c>
    </row>
    <row r="5" spans="1:14" x14ac:dyDescent="0.2">
      <c r="A5" s="10" t="s">
        <v>24</v>
      </c>
      <c r="B5" s="14">
        <f>(B4/(9.80665*363.3))</f>
        <v>155.85322390080245</v>
      </c>
      <c r="D5" s="15"/>
    </row>
    <row r="6" spans="1:14" x14ac:dyDescent="0.2">
      <c r="A6" s="10"/>
      <c r="B6" s="14"/>
    </row>
    <row r="7" spans="1:14" x14ac:dyDescent="0.2">
      <c r="A7" s="10"/>
      <c r="B7" s="14"/>
    </row>
    <row r="8" spans="1:14" x14ac:dyDescent="0.2">
      <c r="A8" s="10" t="s">
        <v>25</v>
      </c>
      <c r="B8" s="14">
        <f>B5*1</f>
        <v>155.85322390080245</v>
      </c>
    </row>
    <row r="9" spans="1:14" x14ac:dyDescent="0.2">
      <c r="A9" s="10" t="s">
        <v>26</v>
      </c>
      <c r="B9" s="14">
        <f>0.025*(E2+E3)</f>
        <v>932.96209341127599</v>
      </c>
    </row>
    <row r="10" spans="1:14" x14ac:dyDescent="0.2">
      <c r="A10" s="10"/>
      <c r="B10" s="14"/>
    </row>
    <row r="11" spans="1:14" x14ac:dyDescent="0.2">
      <c r="A11" s="10" t="s">
        <v>28</v>
      </c>
      <c r="B11" s="14">
        <f>B8+B9+E2+E3</f>
        <v>38407.299053763119</v>
      </c>
    </row>
    <row r="12" spans="1:14" x14ac:dyDescent="0.2">
      <c r="A12" s="10"/>
    </row>
    <row r="13" spans="1:14" x14ac:dyDescent="0.2">
      <c r="A13" s="10"/>
    </row>
    <row r="14" spans="1:14" x14ac:dyDescent="0.2">
      <c r="A14" s="13" t="s">
        <v>27</v>
      </c>
      <c r="B14" s="1">
        <v>1</v>
      </c>
      <c r="C14" s="1"/>
      <c r="D14" s="1">
        <v>2</v>
      </c>
    </row>
    <row r="15" spans="1:14" x14ac:dyDescent="0.2">
      <c r="A15" s="10" t="s">
        <v>34</v>
      </c>
      <c r="B15" s="12">
        <f>E2/B5</f>
        <v>211.10870231379798</v>
      </c>
      <c r="D15" s="16"/>
    </row>
    <row r="16" spans="1:14" x14ac:dyDescent="0.2">
      <c r="A16" s="10" t="s">
        <v>29</v>
      </c>
      <c r="B16" s="12">
        <f>1/3.21</f>
        <v>0.3115264797507788</v>
      </c>
      <c r="D16" s="12">
        <f>1/3.45</f>
        <v>0.28985507246376813</v>
      </c>
      <c r="G16" s="12">
        <f>B34+B35+(0.25*B32)+(2*B37)+B32</f>
        <v>15.442603038205018</v>
      </c>
      <c r="I16">
        <f>(D32/3)+D37</f>
        <v>0.68688672392660699</v>
      </c>
      <c r="M16">
        <v>12.43</v>
      </c>
      <c r="N16">
        <v>1</v>
      </c>
    </row>
    <row r="17" spans="1:28" x14ac:dyDescent="0.2">
      <c r="A17" s="10" t="s">
        <v>30</v>
      </c>
      <c r="B17" s="12">
        <f>E2*(B16/(1+B16))</f>
        <v>7815.1952135677448</v>
      </c>
      <c r="D17" s="12">
        <f>E3*(D16/(1+D16))</f>
        <v>992.47458142265873</v>
      </c>
      <c r="G17">
        <f>(D32/3)+(2*D37)+(D34+D35+(D40))</f>
        <v>8.0843891872883908</v>
      </c>
      <c r="M17">
        <v>27.86</v>
      </c>
      <c r="N17">
        <v>2.241352</v>
      </c>
    </row>
    <row r="18" spans="1:28" x14ac:dyDescent="0.2">
      <c r="A18" s="10" t="s">
        <v>31</v>
      </c>
      <c r="B18" s="12">
        <f>E2*(1/(1+B16))</f>
        <v>25086.776635552462</v>
      </c>
      <c r="D18" s="12">
        <f>E3*(1/(1+D16))</f>
        <v>3424.0373059081726</v>
      </c>
      <c r="G18">
        <f>(D32/3)+D37</f>
        <v>0.68688672392660699</v>
      </c>
    </row>
    <row r="19" spans="1:28" x14ac:dyDescent="0.2">
      <c r="A19" s="10"/>
      <c r="B19" s="12"/>
      <c r="D19" s="12"/>
    </row>
    <row r="20" spans="1:28" x14ac:dyDescent="0.2">
      <c r="A20" s="10" t="s">
        <v>32</v>
      </c>
      <c r="B20" s="12">
        <f>B17/416</f>
        <v>18.786526955691695</v>
      </c>
      <c r="D20" s="12">
        <f t="shared" ref="D20" si="0">D17/424</f>
        <v>2.3407419373175915</v>
      </c>
    </row>
    <row r="21" spans="1:28" x14ac:dyDescent="0.2">
      <c r="A21" s="10" t="s">
        <v>33</v>
      </c>
      <c r="B21" s="12">
        <f>B18/1141</f>
        <v>21.986657875155533</v>
      </c>
      <c r="D21" s="12">
        <f t="shared" ref="D21" si="1">D18/1141</f>
        <v>3.0009091199896343</v>
      </c>
    </row>
    <row r="22" spans="1:28" x14ac:dyDescent="0.2">
      <c r="A22" s="10"/>
      <c r="B22" s="12"/>
      <c r="D22" s="12"/>
    </row>
    <row r="23" spans="1:28" x14ac:dyDescent="0.2">
      <c r="A23" s="10" t="s">
        <v>35</v>
      </c>
      <c r="B23" s="12">
        <f>B20*0.02</f>
        <v>0.37573053911383392</v>
      </c>
      <c r="D23" s="12">
        <f>D20*0.02</f>
        <v>4.6814838746351832E-2</v>
      </c>
    </row>
    <row r="24" spans="1:28" x14ac:dyDescent="0.2">
      <c r="A24" s="10" t="s">
        <v>36</v>
      </c>
      <c r="B24" s="12">
        <f>B21*0.02</f>
        <v>0.43973315750311065</v>
      </c>
      <c r="D24" s="12">
        <f t="shared" ref="D24" si="2">D21*0.02</f>
        <v>6.0018182399792688E-2</v>
      </c>
      <c r="F24" t="s">
        <v>97</v>
      </c>
      <c r="G24" s="12">
        <f>B43</f>
        <v>17.442603038205018</v>
      </c>
      <c r="H24" s="10" t="s">
        <v>137</v>
      </c>
      <c r="I24">
        <f>B32/2</f>
        <v>1</v>
      </c>
    </row>
    <row r="25" spans="1:28" x14ac:dyDescent="0.2">
      <c r="A25" s="10"/>
      <c r="B25" s="12"/>
      <c r="D25" s="12"/>
      <c r="F25" t="s">
        <v>98</v>
      </c>
      <c r="G25" s="12">
        <f>D43</f>
        <v>10.417722520621725</v>
      </c>
      <c r="H25" s="10" t="s">
        <v>138</v>
      </c>
      <c r="I25">
        <f>D32/2</f>
        <v>0.5</v>
      </c>
    </row>
    <row r="26" spans="1:28" x14ac:dyDescent="0.2">
      <c r="A26" s="10" t="s">
        <v>37</v>
      </c>
      <c r="B26" s="12">
        <f>B20*(3*(23.4*10^-6)*(111.7-293.15))*-1</f>
        <v>0.23929883519094006</v>
      </c>
      <c r="D26" s="12">
        <f>D20*(3*(23.4*10^-6)*(111.7-293.15))*-1</f>
        <v>2.9815879241744638E-2</v>
      </c>
      <c r="F26" t="s">
        <v>99</v>
      </c>
      <c r="G26" s="12">
        <f>G24+G25</f>
        <v>27.860325558826744</v>
      </c>
      <c r="H26" s="10" t="s">
        <v>139</v>
      </c>
      <c r="I26">
        <f>I24^2</f>
        <v>1</v>
      </c>
    </row>
    <row r="27" spans="1:28" x14ac:dyDescent="0.2">
      <c r="A27" s="10" t="s">
        <v>38</v>
      </c>
      <c r="B27" s="12">
        <f>B21*(3*(23.4*10^-6)*(90.1-293.15))*-1</f>
        <v>0.31340023988483312</v>
      </c>
      <c r="D27" s="12">
        <f t="shared" ref="D27" si="3">D21*(3*(23.4*10^-6)*(90.1-293.15))*-1</f>
        <v>4.2775288696335428E-2</v>
      </c>
      <c r="H27" s="10" t="s">
        <v>140</v>
      </c>
      <c r="I27">
        <f>I25^2</f>
        <v>0.25</v>
      </c>
    </row>
    <row r="28" spans="1:28" x14ac:dyDescent="0.2">
      <c r="A28" s="10"/>
      <c r="B28" s="12"/>
      <c r="D28" s="12"/>
    </row>
    <row r="29" spans="1:28" x14ac:dyDescent="0.2">
      <c r="A29" s="10" t="s">
        <v>39</v>
      </c>
      <c r="B29" s="12">
        <f>B20+B23+B26</f>
        <v>19.40155632999647</v>
      </c>
      <c r="D29" s="12">
        <f>D20+D23+D26</f>
        <v>2.4173726553056878</v>
      </c>
      <c r="F29" t="s">
        <v>143</v>
      </c>
      <c r="G29">
        <v>1</v>
      </c>
    </row>
    <row r="30" spans="1:28" x14ac:dyDescent="0.2">
      <c r="A30" s="10" t="s">
        <v>40</v>
      </c>
      <c r="B30" s="12">
        <f>B21+B24+B27</f>
        <v>22.739791272543474</v>
      </c>
      <c r="D30" s="12">
        <f t="shared" ref="D30" si="4">D21+D24+D27</f>
        <v>3.1037025910857623</v>
      </c>
      <c r="F30" t="s">
        <v>144</v>
      </c>
      <c r="G30">
        <v>1</v>
      </c>
    </row>
    <row r="31" spans="1:28" x14ac:dyDescent="0.2">
      <c r="A31" s="10"/>
      <c r="F31" s="2"/>
      <c r="G31" s="2"/>
      <c r="H31" s="2"/>
      <c r="I31" s="2"/>
    </row>
    <row r="32" spans="1:28" x14ac:dyDescent="0.2">
      <c r="A32" s="10" t="s">
        <v>41</v>
      </c>
      <c r="B32">
        <v>2</v>
      </c>
      <c r="D32">
        <v>1</v>
      </c>
      <c r="F32" s="1" t="s">
        <v>91</v>
      </c>
      <c r="G32" s="1" t="s">
        <v>92</v>
      </c>
      <c r="H32" s="1" t="s">
        <v>187</v>
      </c>
      <c r="I32" s="1" t="s">
        <v>93</v>
      </c>
      <c r="J32" s="1" t="s">
        <v>133</v>
      </c>
      <c r="K32" s="1" t="s">
        <v>134</v>
      </c>
      <c r="L32" s="1" t="s">
        <v>135</v>
      </c>
      <c r="M32" s="1" t="s">
        <v>136</v>
      </c>
      <c r="S32" s="1" t="s">
        <v>152</v>
      </c>
      <c r="T32" s="1" t="s">
        <v>168</v>
      </c>
      <c r="U32" s="1" t="s">
        <v>162</v>
      </c>
      <c r="V32" s="1" t="s">
        <v>163</v>
      </c>
      <c r="W32" s="1" t="s">
        <v>164</v>
      </c>
      <c r="X32" s="1" t="s">
        <v>165</v>
      </c>
      <c r="Y32" s="1" t="s">
        <v>166</v>
      </c>
      <c r="Z32" s="1" t="s">
        <v>169</v>
      </c>
      <c r="AA32" s="1" t="s">
        <v>170</v>
      </c>
      <c r="AB32" s="2"/>
    </row>
    <row r="33" spans="1:27" x14ac:dyDescent="0.2">
      <c r="A33" s="10" t="s">
        <v>42</v>
      </c>
      <c r="B33">
        <f>SQRT(2)</f>
        <v>1.4142135623730951</v>
      </c>
      <c r="D33">
        <f>SQRT(2)</f>
        <v>1.4142135623730951</v>
      </c>
      <c r="F33" t="s">
        <v>77</v>
      </c>
      <c r="G33" s="14">
        <f>D57*G29</f>
        <v>118.18068615501255</v>
      </c>
      <c r="H33" s="14">
        <f>G26-(2/3)*D32</f>
        <v>27.193658892160077</v>
      </c>
      <c r="I33" s="14">
        <f>H33*G33</f>
        <v>3213.7652669408362</v>
      </c>
      <c r="J33" s="14">
        <f t="shared" ref="J33:J62" si="5">H33-($G$69)</f>
        <v>15.464940158011469</v>
      </c>
      <c r="K33" s="14">
        <f>G33*(J33)^2</f>
        <v>28264.60983389381</v>
      </c>
      <c r="L33" s="14">
        <f t="shared" ref="L33:L62" si="6">K33</f>
        <v>28264.60983389381</v>
      </c>
      <c r="M33" s="14">
        <f>G33*((B32/2)^2) /2</f>
        <v>59.090343077506276</v>
      </c>
      <c r="S33" s="10" t="s">
        <v>77</v>
      </c>
      <c r="T33" s="14">
        <f>H33+16.764</f>
        <v>43.957658892160076</v>
      </c>
      <c r="U33" s="14">
        <f>0.5*B32*2*D32</f>
        <v>2</v>
      </c>
      <c r="V33" s="14">
        <f>9.5*(T33)^0.2</f>
        <v>20.245593666276946</v>
      </c>
      <c r="W33" s="14">
        <f>0.5*1.2807*(2.85*V33)^2</f>
        <v>2131.9065617346414</v>
      </c>
      <c r="X33" s="14">
        <f>0.77*W33*U33/1000</f>
        <v>3.2831361050713475</v>
      </c>
      <c r="Y33" s="14">
        <f>G26</f>
        <v>27.860325558826744</v>
      </c>
      <c r="Z33" s="14">
        <v>0</v>
      </c>
      <c r="AA33" s="14">
        <v>0</v>
      </c>
    </row>
    <row r="34" spans="1:27" x14ac:dyDescent="0.2">
      <c r="A34" s="10" t="s">
        <v>43</v>
      </c>
      <c r="B34" s="12">
        <f>(4*B29/(PI()*$B$32^2))-(2*$B$32/(3*$B$33))</f>
        <v>5.2328981456075168</v>
      </c>
      <c r="C34" s="12"/>
      <c r="D34" s="12">
        <f>(4*D29/(PI()*$D$32^2))-(2*$D$32/(3*$D$33))</f>
        <v>2.6064899383056135</v>
      </c>
      <c r="F34" t="s">
        <v>94</v>
      </c>
      <c r="G34" s="14">
        <f>(375+D67)*G29</f>
        <v>453.3125</v>
      </c>
      <c r="H34" s="14">
        <f>G26-(B32/4)</f>
        <v>27.360325558826744</v>
      </c>
      <c r="I34" s="14">
        <f>H34*G34</f>
        <v>12402.777579885649</v>
      </c>
      <c r="J34" s="14">
        <f t="shared" si="5"/>
        <v>15.631606824678137</v>
      </c>
      <c r="K34" s="14">
        <f t="shared" ref="K34:K67" si="7">G34*(J34)^2</f>
        <v>110765.60923908524</v>
      </c>
      <c r="L34" s="14">
        <f t="shared" si="6"/>
        <v>110765.60923908524</v>
      </c>
      <c r="M34" s="14">
        <f>G34*I27</f>
        <v>113.328125</v>
      </c>
      <c r="S34" s="10" t="s">
        <v>153</v>
      </c>
      <c r="T34" s="14">
        <f>H35+16.764</f>
        <v>42.62432555882674</v>
      </c>
      <c r="U34" s="14">
        <f>0.5*(D32+B32)*((D32/3)+D37)</f>
        <v>1.0303300858899105</v>
      </c>
      <c r="V34" s="14">
        <f t="shared" ref="V34:V43" si="8">9.5*(T34)^0.2</f>
        <v>20.121257055125767</v>
      </c>
      <c r="W34" s="14">
        <f t="shared" ref="W34:W43" si="9">0.5*1.2807*(2.85*V34)^2</f>
        <v>2105.8011210567588</v>
      </c>
      <c r="X34" s="14">
        <f t="shared" ref="X34:X43" si="10">0.77*W34*U34/1000</f>
        <v>1.6706460924426196</v>
      </c>
      <c r="Y34" s="14">
        <f>Y33-2</f>
        <v>25.860325558826744</v>
      </c>
      <c r="Z34" s="14">
        <f>X33</f>
        <v>3.2831361050713475</v>
      </c>
      <c r="AA34" s="14">
        <f>(X33/3)*(Y33-Y34)</f>
        <v>2.1887574033808983</v>
      </c>
    </row>
    <row r="35" spans="1:27" x14ac:dyDescent="0.2">
      <c r="A35" s="10" t="s">
        <v>44</v>
      </c>
      <c r="B35" s="12">
        <f>(4*B30/(PI()*$B$32^2))-(2*$B$32/(3*$B$33))</f>
        <v>6.2954913302244062</v>
      </c>
      <c r="C35" s="12"/>
      <c r="D35" s="12">
        <f>(4*D30/(PI()*$D$32^2))-(2*$D$32/(3*$D$33))</f>
        <v>3.480352353276349</v>
      </c>
      <c r="F35" t="s">
        <v>100</v>
      </c>
      <c r="G35" s="14">
        <f>D61*G29</f>
        <v>53.24823712057966</v>
      </c>
      <c r="H35" s="14">
        <f>(D32/3)+D38+D35+D40+D34+(D32/3)+D37+G24</f>
        <v>25.860325558826741</v>
      </c>
      <c r="I35" s="14">
        <f>H35*G35</f>
        <v>1377.0167473717929</v>
      </c>
      <c r="J35" s="14">
        <f t="shared" si="5"/>
        <v>14.131606824678133</v>
      </c>
      <c r="K35" s="14">
        <f t="shared" si="7"/>
        <v>10633.796033473125</v>
      </c>
      <c r="L35" s="14">
        <f t="shared" si="6"/>
        <v>10633.796033473125</v>
      </c>
      <c r="M35" s="14">
        <f>G35*(I26+I27)/2</f>
        <v>33.280148200362291</v>
      </c>
      <c r="S35" s="10" t="s">
        <v>154</v>
      </c>
      <c r="T35" s="14">
        <f>H38+16.764</f>
        <v>40.197262658261963</v>
      </c>
      <c r="U35" s="14">
        <f>D32*D35</f>
        <v>3.480352353276349</v>
      </c>
      <c r="V35" s="14">
        <f t="shared" si="8"/>
        <v>19.886708194717496</v>
      </c>
      <c r="W35" s="14">
        <f t="shared" si="9"/>
        <v>2056.9935803238313</v>
      </c>
      <c r="X35" s="14">
        <f t="shared" si="10"/>
        <v>5.5124780849248793</v>
      </c>
      <c r="Y35" s="14">
        <f>Y36+D35</f>
        <v>25.173438834900136</v>
      </c>
      <c r="Z35" s="14">
        <f>Z34+X34</f>
        <v>4.9537821975139673</v>
      </c>
      <c r="AA35" s="14">
        <f>AA34+(Z34*(Y34-Y35))+X34*((Y34-Y35)*((D32+2*B32)/(3*(B32+D32))))</f>
        <v>5.0814247963978003</v>
      </c>
    </row>
    <row r="36" spans="1:27" x14ac:dyDescent="0.2">
      <c r="A36" s="10"/>
      <c r="F36" t="s">
        <v>96</v>
      </c>
      <c r="G36" s="14">
        <f>D68*G29</f>
        <v>136.10812939889587</v>
      </c>
      <c r="H36" s="14">
        <f>(2*D32/3)+D35+D40+D34+(D32/3)+D37+G24</f>
        <v>25.8401055015668</v>
      </c>
      <c r="I36" s="14">
        <f t="shared" ref="I36:I66" si="11">H36*G36</f>
        <v>3517.048423288375</v>
      </c>
      <c r="J36" s="14">
        <f t="shared" si="5"/>
        <v>14.111386767418193</v>
      </c>
      <c r="K36" s="14">
        <f t="shared" si="7"/>
        <v>27103.380104858577</v>
      </c>
      <c r="L36" s="14">
        <f t="shared" si="6"/>
        <v>27103.380104858577</v>
      </c>
      <c r="M36" s="14">
        <f>G36*I27</f>
        <v>34.027032349723967</v>
      </c>
      <c r="S36" s="10" t="s">
        <v>156</v>
      </c>
      <c r="T36" s="14">
        <f>H41+16.764</f>
        <v>37.978533091030513</v>
      </c>
      <c r="U36" s="14">
        <f>D32*D40</f>
        <v>0.95710678118654746</v>
      </c>
      <c r="V36" s="14">
        <f t="shared" si="8"/>
        <v>19.662160756191739</v>
      </c>
      <c r="W36" s="14">
        <f t="shared" si="9"/>
        <v>2010.8034373100706</v>
      </c>
      <c r="X36" s="14">
        <f t="shared" si="10"/>
        <v>1.4819062762216693</v>
      </c>
      <c r="Y36" s="14">
        <f>Y37+D40</f>
        <v>21.693086481623787</v>
      </c>
      <c r="Z36" s="14">
        <f t="shared" ref="Z36:Z44" si="12">Z35+X35</f>
        <v>10.466260282438846</v>
      </c>
      <c r="AA36" s="14">
        <f>AA35+(Z35*(Y35-Y36))+(X35/2)*(Y35-Y36)</f>
        <v>31.915015362760318</v>
      </c>
    </row>
    <row r="37" spans="1:27" x14ac:dyDescent="0.2">
      <c r="A37" s="10" t="s">
        <v>48</v>
      </c>
      <c r="B37" s="12">
        <f>($B$32/2)/$B$33</f>
        <v>0.70710678118654746</v>
      </c>
      <c r="C37" s="12"/>
      <c r="D37" s="12">
        <f>($D$32/2)/$D$33</f>
        <v>0.35355339059327373</v>
      </c>
      <c r="F37" t="s">
        <v>108</v>
      </c>
      <c r="G37" s="14">
        <f>D69*G29</f>
        <v>88.29465420155924</v>
      </c>
      <c r="H37" s="14">
        <f>G24+(G25/2)</f>
        <v>22.651464298515879</v>
      </c>
      <c r="I37" s="14">
        <f t="shared" si="11"/>
        <v>2000.0032073964242</v>
      </c>
      <c r="J37" s="14">
        <f t="shared" si="5"/>
        <v>10.922745564367272</v>
      </c>
      <c r="K37" s="14">
        <f t="shared" si="7"/>
        <v>10534.114741812537</v>
      </c>
      <c r="L37" s="14">
        <f t="shared" si="6"/>
        <v>10534.114741812537</v>
      </c>
      <c r="M37" s="14">
        <f>G37*I27</f>
        <v>22.07366355038981</v>
      </c>
      <c r="S37" s="10" t="s">
        <v>155</v>
      </c>
      <c r="T37" s="14">
        <f>H42+16.764</f>
        <v>36.19673473128443</v>
      </c>
      <c r="U37" s="14">
        <f>D32*D34</f>
        <v>2.6064899383056135</v>
      </c>
      <c r="V37" s="14">
        <f t="shared" si="8"/>
        <v>19.474103968924791</v>
      </c>
      <c r="W37" s="14">
        <f t="shared" si="9"/>
        <v>1972.5231208575321</v>
      </c>
      <c r="X37" s="14">
        <f t="shared" si="10"/>
        <v>3.9588484840445659</v>
      </c>
      <c r="Y37" s="14">
        <f>Y38+D34</f>
        <v>20.735979700437241</v>
      </c>
      <c r="Z37" s="14">
        <f t="shared" si="12"/>
        <v>11.948166558660516</v>
      </c>
      <c r="AA37" s="14">
        <f t="shared" ref="AA37:AA44" si="13">AA36+(Z36*(Y36-Y37))+(X36/2)*(Y36-Y37)</f>
        <v>42.641515325773284</v>
      </c>
    </row>
    <row r="38" spans="1:27" x14ac:dyDescent="0.2">
      <c r="A38" s="10" t="s">
        <v>49</v>
      </c>
      <c r="B38" s="12">
        <f>($B$32/2)/$B$33</f>
        <v>0.70710678118654746</v>
      </c>
      <c r="C38" s="12"/>
      <c r="D38" s="12">
        <f>($D$32/2)/$D$33</f>
        <v>0.35355339059327373</v>
      </c>
      <c r="F38" t="s">
        <v>110</v>
      </c>
      <c r="G38" s="14">
        <f>D49*G29</f>
        <v>37.892173823788745</v>
      </c>
      <c r="H38" s="14">
        <f>(D35/2)+D40+D34+(D32/3)+D37+G24</f>
        <v>23.43326265826196</v>
      </c>
      <c r="I38" s="14">
        <f t="shared" si="11"/>
        <v>887.93726190536006</v>
      </c>
      <c r="J38" s="14">
        <f t="shared" si="5"/>
        <v>11.704543924113352</v>
      </c>
      <c r="K38" s="14">
        <f t="shared" si="7"/>
        <v>5191.0894495063676</v>
      </c>
      <c r="L38" s="14">
        <f t="shared" si="6"/>
        <v>5191.0894495063676</v>
      </c>
      <c r="M38" s="14">
        <f>G38*I27</f>
        <v>9.4730434559471863</v>
      </c>
      <c r="S38" s="10" t="s">
        <v>160</v>
      </c>
      <c r="T38" s="14">
        <f>H45+16.764</f>
        <v>34.893489762131622</v>
      </c>
      <c r="U38" s="14">
        <f>D32*((D32/3)+D37)</f>
        <v>0.68688672392660699</v>
      </c>
      <c r="V38" s="14">
        <f t="shared" si="8"/>
        <v>19.33180859543015</v>
      </c>
      <c r="W38" s="14">
        <f t="shared" si="9"/>
        <v>1943.8023683486499</v>
      </c>
      <c r="X38" s="14">
        <f t="shared" si="10"/>
        <v>1.0280824713819536</v>
      </c>
      <c r="Y38" s="14">
        <f>Y39+((D32/3)+D37)</f>
        <v>18.129489762131627</v>
      </c>
      <c r="Z38" s="14">
        <f t="shared" si="12"/>
        <v>15.907015042705082</v>
      </c>
      <c r="AA38" s="14">
        <f t="shared" si="13"/>
        <v>78.943640612590841</v>
      </c>
    </row>
    <row r="39" spans="1:27" x14ac:dyDescent="0.2">
      <c r="A39" s="10"/>
      <c r="B39" s="12"/>
      <c r="C39" s="12"/>
      <c r="D39" s="12"/>
      <c r="F39" t="s">
        <v>111</v>
      </c>
      <c r="G39" s="14">
        <f>D55*G29</f>
        <v>15.142397399326478</v>
      </c>
      <c r="H39" s="14">
        <f>H38</f>
        <v>23.43326265826196</v>
      </c>
      <c r="I39" s="14">
        <f t="shared" si="11"/>
        <v>354.8357755342002</v>
      </c>
      <c r="J39" s="14">
        <f t="shared" si="5"/>
        <v>11.704543924113352</v>
      </c>
      <c r="K39" s="14">
        <f t="shared" si="7"/>
        <v>2074.4531508120472</v>
      </c>
      <c r="L39" s="14">
        <f t="shared" si="6"/>
        <v>2074.4531508120472</v>
      </c>
      <c r="M39" s="14">
        <f>G39*I27</f>
        <v>3.7855993498316196</v>
      </c>
      <c r="S39" s="10" t="s">
        <v>78</v>
      </c>
      <c r="T39" s="14">
        <f>H49+16.764</f>
        <v>33.317714149316132</v>
      </c>
      <c r="U39" s="14">
        <f>0.5*(D32+B32)*B41</f>
        <v>3</v>
      </c>
      <c r="V39" s="14">
        <f t="shared" si="8"/>
        <v>19.153963030973017</v>
      </c>
      <c r="W39" s="14">
        <f t="shared" si="9"/>
        <v>1908.2023378131353</v>
      </c>
      <c r="X39" s="14">
        <f t="shared" si="10"/>
        <v>4.407947400348343</v>
      </c>
      <c r="Y39" s="14">
        <f>Y40+B32</f>
        <v>17.442603038205018</v>
      </c>
      <c r="Z39" s="14">
        <f t="shared" si="12"/>
        <v>16.935097514087037</v>
      </c>
      <c r="AA39" s="14">
        <f t="shared" si="13"/>
        <v>90.22304616307278</v>
      </c>
    </row>
    <row r="40" spans="1:27" x14ac:dyDescent="0.2">
      <c r="A40" s="10" t="s">
        <v>50</v>
      </c>
      <c r="B40" s="12">
        <f>0.25*$B$32+2*B37</f>
        <v>1.9142135623730949</v>
      </c>
      <c r="C40" s="12"/>
      <c r="D40" s="12">
        <f>0.25*$D$32+2*D37</f>
        <v>0.95710678118654746</v>
      </c>
      <c r="F40" t="s">
        <v>132</v>
      </c>
      <c r="G40" s="14">
        <f>D18*0.025*G29</f>
        <v>85.600932647704326</v>
      </c>
      <c r="H40" s="14">
        <f>(D40-D38)+G24+(D32/3)+D37+D34</f>
        <v>21.339533091030511</v>
      </c>
      <c r="I40" s="14">
        <f t="shared" si="11"/>
        <v>1826.6839348587605</v>
      </c>
      <c r="J40" s="14">
        <f t="shared" si="5"/>
        <v>9.6108143568819031</v>
      </c>
      <c r="K40" s="14">
        <f t="shared" si="7"/>
        <v>7906.7657693419078</v>
      </c>
      <c r="L40" s="14">
        <f t="shared" si="6"/>
        <v>7906.7657693419078</v>
      </c>
      <c r="M40" s="14">
        <v>0</v>
      </c>
      <c r="S40" s="10" t="s">
        <v>159</v>
      </c>
      <c r="T40" s="14">
        <f>H52+16.764</f>
        <v>29.058857373092813</v>
      </c>
      <c r="U40" s="14">
        <f>B32*B35</f>
        <v>12.590982660448812</v>
      </c>
      <c r="V40" s="14">
        <f t="shared" si="8"/>
        <v>18.637141903895554</v>
      </c>
      <c r="W40" s="14">
        <f t="shared" si="9"/>
        <v>1806.6156074025278</v>
      </c>
      <c r="X40" s="14">
        <f t="shared" si="10"/>
        <v>17.515240655914099</v>
      </c>
      <c r="Y40" s="14">
        <f>Y41+B35</f>
        <v>15.442603038205018</v>
      </c>
      <c r="Z40" s="14">
        <f t="shared" si="12"/>
        <v>21.343044914435382</v>
      </c>
      <c r="AA40" s="14">
        <f>AA39+(Z39*(Y39-Y40))+X34*((Y39-Y40)*((D32+2*B32)/(3*(B32+D32))))</f>
        <v>125.94951462729421</v>
      </c>
    </row>
    <row r="41" spans="1:27" x14ac:dyDescent="0.2">
      <c r="A41" s="10" t="s">
        <v>51</v>
      </c>
      <c r="B41" s="12">
        <f>$B$32</f>
        <v>2</v>
      </c>
      <c r="C41" s="12"/>
      <c r="D41" s="12"/>
      <c r="F41" t="s">
        <v>101</v>
      </c>
      <c r="G41" s="14">
        <f>D59*G29</f>
        <v>39.990967111939199</v>
      </c>
      <c r="H41" s="14">
        <f>G24+D34+(D32/3)+D37+(D32/8)+D38</f>
        <v>21.214533091030511</v>
      </c>
      <c r="I41" s="14">
        <f t="shared" si="11"/>
        <v>848.38969513854693</v>
      </c>
      <c r="J41" s="14">
        <f t="shared" si="5"/>
        <v>9.4858143568819031</v>
      </c>
      <c r="K41" s="14">
        <f t="shared" si="7"/>
        <v>3598.4141751730763</v>
      </c>
      <c r="L41" s="14">
        <f t="shared" si="6"/>
        <v>3598.4141751730763</v>
      </c>
      <c r="M41" s="14">
        <f>G41*I27</f>
        <v>9.9977417779847997</v>
      </c>
      <c r="S41" s="10" t="s">
        <v>157</v>
      </c>
      <c r="T41" s="14">
        <f>H55+16.764</f>
        <v>23.996898145607517</v>
      </c>
      <c r="U41" s="14">
        <f>B32*B40</f>
        <v>3.8284271247461898</v>
      </c>
      <c r="V41" s="14">
        <f t="shared" si="8"/>
        <v>17.937199023815147</v>
      </c>
      <c r="W41" s="14">
        <f t="shared" si="9"/>
        <v>1673.4640523301409</v>
      </c>
      <c r="X41" s="14">
        <f t="shared" si="10"/>
        <v>4.933186081075859</v>
      </c>
      <c r="Y41" s="14">
        <f>Y42+B40</f>
        <v>9.1471117079806117</v>
      </c>
      <c r="Z41" s="14">
        <f t="shared" si="12"/>
        <v>38.85828557034948</v>
      </c>
      <c r="AA41" s="14">
        <f t="shared" si="13"/>
        <v>315.44799169476289</v>
      </c>
    </row>
    <row r="42" spans="1:27" x14ac:dyDescent="0.2">
      <c r="A42" s="10"/>
      <c r="B42" s="12"/>
      <c r="C42" s="12"/>
      <c r="D42" s="12"/>
      <c r="F42" t="s">
        <v>102</v>
      </c>
      <c r="G42" s="14">
        <f>D48*G29</f>
        <v>29.395251488517165</v>
      </c>
      <c r="H42" s="14">
        <f>G24+(D32/3)+D37+(D34/2)</f>
        <v>19.43273473128443</v>
      </c>
      <c r="I42" s="14">
        <f t="shared" si="11"/>
        <v>571.2301245357479</v>
      </c>
      <c r="J42" s="14">
        <f t="shared" si="5"/>
        <v>7.7040159971358229</v>
      </c>
      <c r="K42" s="14">
        <f t="shared" si="7"/>
        <v>1744.6629240327316</v>
      </c>
      <c r="L42" s="14">
        <f t="shared" si="6"/>
        <v>1744.6629240327316</v>
      </c>
      <c r="M42" s="14">
        <f>G42*I27</f>
        <v>7.3488128721292911</v>
      </c>
      <c r="S42" s="10" t="s">
        <v>158</v>
      </c>
      <c r="T42" s="14">
        <f>H56+16.764</f>
        <v>21.380449072803756</v>
      </c>
      <c r="U42" s="14">
        <f>B32*B34</f>
        <v>10.465796291215034</v>
      </c>
      <c r="V42" s="14">
        <f t="shared" si="8"/>
        <v>17.527782273036205</v>
      </c>
      <c r="W42" s="14">
        <f t="shared" si="9"/>
        <v>1597.9422273113134</v>
      </c>
      <c r="X42" s="14">
        <f t="shared" si="10"/>
        <v>12.877278133851387</v>
      </c>
      <c r="Y42" s="14">
        <f>B32+B34</f>
        <v>7.2328981456075168</v>
      </c>
      <c r="Z42" s="14">
        <f t="shared" si="12"/>
        <v>43.79147165142534</v>
      </c>
      <c r="AA42" s="14">
        <f t="shared" si="13"/>
        <v>394.55263479514537</v>
      </c>
    </row>
    <row r="43" spans="1:27" x14ac:dyDescent="0.2">
      <c r="A43" s="10" t="s">
        <v>52</v>
      </c>
      <c r="B43" s="12">
        <f>$B$32 + B34+B35+B40+B41</f>
        <v>17.442603038205018</v>
      </c>
      <c r="C43" s="12"/>
      <c r="D43" s="12">
        <f>((1/3)*D32 + D38)+D34+D35+(0.25*$D$32 + 2*D38)+((1/3)*D32 + D38)+(2*D32)</f>
        <v>10.417722520621725</v>
      </c>
      <c r="F43" t="s">
        <v>112</v>
      </c>
      <c r="G43" s="14">
        <f>D54*G29</f>
        <v>12.059403327802386</v>
      </c>
      <c r="H43" s="14">
        <f>H42</f>
        <v>19.43273473128443</v>
      </c>
      <c r="I43" s="14">
        <f t="shared" si="11"/>
        <v>234.34718588675247</v>
      </c>
      <c r="J43" s="14">
        <f t="shared" si="5"/>
        <v>7.7040159971358229</v>
      </c>
      <c r="K43" s="14">
        <f t="shared" si="7"/>
        <v>715.74804795232262</v>
      </c>
      <c r="L43" s="14">
        <f t="shared" si="6"/>
        <v>715.74804795232262</v>
      </c>
      <c r="M43" s="14">
        <f>G43*I27</f>
        <v>3.0148508319505964</v>
      </c>
      <c r="S43" s="10" t="s">
        <v>161</v>
      </c>
      <c r="T43" s="14">
        <f>H59+16.764</f>
        <v>17.763999999999999</v>
      </c>
      <c r="U43" s="14">
        <f>B32*B32</f>
        <v>4</v>
      </c>
      <c r="V43" s="14">
        <f t="shared" si="8"/>
        <v>16.890082005755957</v>
      </c>
      <c r="W43" s="14">
        <f t="shared" si="9"/>
        <v>1483.7838858422897</v>
      </c>
      <c r="X43" s="14">
        <f t="shared" si="10"/>
        <v>4.5700543683942527</v>
      </c>
      <c r="Y43" s="14">
        <f>B32</f>
        <v>2</v>
      </c>
      <c r="Z43" s="14">
        <f t="shared" si="12"/>
        <v>56.668749785276731</v>
      </c>
      <c r="AA43" s="14">
        <f t="shared" si="13"/>
        <v>657.40168802686469</v>
      </c>
    </row>
    <row r="44" spans="1:27" x14ac:dyDescent="0.2">
      <c r="A44" s="10"/>
      <c r="B44" s="12"/>
      <c r="C44" s="12"/>
      <c r="D44" s="12"/>
      <c r="F44" t="s">
        <v>113</v>
      </c>
      <c r="G44" s="14">
        <f>D17*0.025*G29</f>
        <v>24.811864535566471</v>
      </c>
      <c r="H44" s="14">
        <f>((D32/3)+D37)+G24-D37</f>
        <v>17.775936371538354</v>
      </c>
      <c r="I44" s="14">
        <f t="shared" si="11"/>
        <v>441.0541252434586</v>
      </c>
      <c r="J44" s="14">
        <f t="shared" si="5"/>
        <v>6.0472176373897462</v>
      </c>
      <c r="K44" s="14">
        <f t="shared" si="7"/>
        <v>907.34113293464475</v>
      </c>
      <c r="L44" s="14">
        <f t="shared" si="6"/>
        <v>907.34113293464475</v>
      </c>
      <c r="M44" s="14">
        <v>0</v>
      </c>
      <c r="S44" s="10" t="s">
        <v>167</v>
      </c>
      <c r="T44" s="14">
        <v>16.763999999999999</v>
      </c>
      <c r="Y44" s="14">
        <v>0</v>
      </c>
      <c r="Z44" s="14">
        <f t="shared" si="12"/>
        <v>61.238804153670984</v>
      </c>
      <c r="AA44" s="14">
        <f t="shared" si="13"/>
        <v>775.30924196581236</v>
      </c>
    </row>
    <row r="45" spans="1:27" x14ac:dyDescent="0.2">
      <c r="A45" s="10" t="s">
        <v>47</v>
      </c>
      <c r="B45" s="12">
        <f>B43/$B$32</f>
        <v>8.7213015191025089</v>
      </c>
      <c r="C45" s="12"/>
      <c r="D45" s="12">
        <f>D43/$B$32</f>
        <v>5.2088612603108624</v>
      </c>
      <c r="F45" t="s">
        <v>103</v>
      </c>
      <c r="G45" s="14">
        <f>D60*G29</f>
        <v>43.472898969667881</v>
      </c>
      <c r="H45" s="14">
        <f>G24+(D32/3)+D37</f>
        <v>18.129489762131623</v>
      </c>
      <c r="I45" s="14">
        <f t="shared" si="11"/>
        <v>788.14147680077622</v>
      </c>
      <c r="J45" s="14">
        <f t="shared" si="5"/>
        <v>6.4007710279830157</v>
      </c>
      <c r="K45" s="14">
        <f t="shared" si="7"/>
        <v>1781.0790085581339</v>
      </c>
      <c r="L45" s="14">
        <f t="shared" si="6"/>
        <v>1781.0790085581339</v>
      </c>
      <c r="M45" s="14">
        <f>G45*I27</f>
        <v>10.86822474241697</v>
      </c>
    </row>
    <row r="46" spans="1:27" x14ac:dyDescent="0.2">
      <c r="A46" s="10"/>
      <c r="F46" t="s">
        <v>104</v>
      </c>
      <c r="G46" s="14">
        <f>D64*G29</f>
        <v>141.593085</v>
      </c>
      <c r="H46" s="14">
        <f>G24+(D32/16)</f>
        <v>17.505103038205018</v>
      </c>
      <c r="I46" s="14">
        <f t="shared" si="11"/>
        <v>2478.6015424223215</v>
      </c>
      <c r="J46" s="14">
        <f t="shared" si="5"/>
        <v>5.7763843040564105</v>
      </c>
      <c r="K46" s="14">
        <f t="shared" si="7"/>
        <v>4724.482042798867</v>
      </c>
      <c r="L46" s="14">
        <f t="shared" si="6"/>
        <v>4724.482042798867</v>
      </c>
      <c r="M46" s="14">
        <f>G46*I27</f>
        <v>35.398271250000001</v>
      </c>
    </row>
    <row r="47" spans="1:27" x14ac:dyDescent="0.2">
      <c r="A47" s="10"/>
      <c r="F47" t="s">
        <v>105</v>
      </c>
      <c r="G47" s="14">
        <f>D65*G29</f>
        <v>6.2341725513119419</v>
      </c>
      <c r="H47" s="14">
        <f>G24+(D32/16)</f>
        <v>17.505103038205018</v>
      </c>
      <c r="I47" s="14">
        <f t="shared" si="11"/>
        <v>109.12983286866501</v>
      </c>
      <c r="J47" s="14">
        <f t="shared" si="5"/>
        <v>5.7763843040564105</v>
      </c>
      <c r="K47" s="14">
        <f t="shared" si="7"/>
        <v>208.01323927918421</v>
      </c>
      <c r="L47" s="14">
        <f t="shared" si="6"/>
        <v>208.01323927918421</v>
      </c>
      <c r="M47" s="14">
        <v>0</v>
      </c>
    </row>
    <row r="48" spans="1:27" x14ac:dyDescent="0.2">
      <c r="A48" s="10" t="s">
        <v>71</v>
      </c>
      <c r="B48" s="14">
        <f>12.16*B29</f>
        <v>235.92292497275707</v>
      </c>
      <c r="C48" s="14"/>
      <c r="D48" s="14">
        <f t="shared" ref="D48" si="14">12.16*D29</f>
        <v>29.395251488517165</v>
      </c>
      <c r="F48" t="s">
        <v>106</v>
      </c>
      <c r="G48" s="14">
        <f>D63*G29</f>
        <v>332.1727424486881</v>
      </c>
      <c r="H48" s="14">
        <f>G24+(D32/8)</f>
        <v>17.567603038205018</v>
      </c>
      <c r="I48" s="14">
        <f t="shared" si="11"/>
        <v>5835.4788794504657</v>
      </c>
      <c r="J48" s="14">
        <f t="shared" si="5"/>
        <v>5.8388843040564105</v>
      </c>
      <c r="K48" s="14">
        <f t="shared" si="7"/>
        <v>11324.622446173284</v>
      </c>
      <c r="L48" s="14">
        <f t="shared" si="6"/>
        <v>11324.622446173284</v>
      </c>
      <c r="M48" s="14">
        <v>0</v>
      </c>
    </row>
    <row r="49" spans="1:25" x14ac:dyDescent="0.2">
      <c r="A49" s="10" t="s">
        <v>72</v>
      </c>
      <c r="B49" s="14">
        <f>0.0107*(B30*1141)</f>
        <v>277.62328970910147</v>
      </c>
      <c r="C49" s="14"/>
      <c r="D49" s="14">
        <f t="shared" ref="D49" si="15">0.0107*(D30*1141)</f>
        <v>37.892173823788745</v>
      </c>
      <c r="F49" s="7" t="s">
        <v>78</v>
      </c>
      <c r="G49" s="36">
        <f>B58*G30</f>
        <v>129.20735547556654</v>
      </c>
      <c r="H49" s="36">
        <f>G24-((B41/3)*((D32+(B32/2))/((D32/2)+(B32/2))))</f>
        <v>16.553714149316129</v>
      </c>
      <c r="I49" s="36">
        <f t="shared" si="11"/>
        <v>2138.8616285316048</v>
      </c>
      <c r="J49" s="36">
        <f t="shared" si="5"/>
        <v>4.8249954151675212</v>
      </c>
      <c r="K49" s="36">
        <f t="shared" si="7"/>
        <v>3008.0222734682065</v>
      </c>
      <c r="L49" s="36">
        <f t="shared" si="6"/>
        <v>3008.0222734682065</v>
      </c>
      <c r="M49" s="36">
        <f>G49*(1+(D32/2)^2)/2</f>
        <v>80.754597172229097</v>
      </c>
    </row>
    <row r="50" spans="1:25" x14ac:dyDescent="0.2">
      <c r="A50" s="10"/>
      <c r="F50" s="7" t="s">
        <v>95</v>
      </c>
      <c r="G50" s="36">
        <f>B68*G30</f>
        <v>136.10812939889587</v>
      </c>
      <c r="H50" s="36">
        <f>(B32/3)+B35+B40+B34+B32</f>
        <v>16.109269704871686</v>
      </c>
      <c r="I50" s="36">
        <f t="shared" si="11"/>
        <v>2192.6025655123885</v>
      </c>
      <c r="J50" s="36">
        <f t="shared" si="5"/>
        <v>4.3805509707230783</v>
      </c>
      <c r="K50" s="36">
        <f t="shared" si="7"/>
        <v>2611.8097653259238</v>
      </c>
      <c r="L50" s="36">
        <f t="shared" si="6"/>
        <v>2611.8097653259238</v>
      </c>
      <c r="M50" s="36">
        <f>G50*I26</f>
        <v>136.10812939889587</v>
      </c>
      <c r="Y50" s="1"/>
    </row>
    <row r="51" spans="1:25" x14ac:dyDescent="0.2">
      <c r="A51" s="10" t="s">
        <v>74</v>
      </c>
      <c r="B51" s="14">
        <f>(PI()*B32*B34)+(3.2468*PI()*(B32/2)^2)</f>
        <v>43.079391770123792</v>
      </c>
      <c r="C51" s="14"/>
      <c r="D51" s="14">
        <f>(PI()*D32*D34)+(3.2468*PI()*(D32/2)^2)</f>
        <v>10.738560398755464</v>
      </c>
      <c r="F51" s="7" t="s">
        <v>107</v>
      </c>
      <c r="G51" s="36">
        <f>B69*G30</f>
        <v>147.83352125042654</v>
      </c>
      <c r="H51" s="36">
        <f>(0.5*G24)</f>
        <v>8.7213015191025089</v>
      </c>
      <c r="I51" s="36">
        <f t="shared" si="11"/>
        <v>1289.3007134556181</v>
      </c>
      <c r="J51" s="36">
        <f t="shared" si="5"/>
        <v>-3.0074172150460985</v>
      </c>
      <c r="K51" s="36">
        <f t="shared" si="7"/>
        <v>1337.0889024355135</v>
      </c>
      <c r="L51" s="36">
        <f t="shared" si="6"/>
        <v>1337.0889024355135</v>
      </c>
      <c r="M51" s="36">
        <f>G51*I26</f>
        <v>147.83352125042654</v>
      </c>
      <c r="Y51" s="14"/>
    </row>
    <row r="52" spans="1:25" x14ac:dyDescent="0.2">
      <c r="A52" s="10" t="s">
        <v>73</v>
      </c>
      <c r="B52" s="14">
        <f>(PI()*B32*B35)+(3.2468*PI()*(B32/2)^2)</f>
        <v>49.755861655217799</v>
      </c>
      <c r="C52" s="14"/>
      <c r="D52" s="14">
        <f>(PI()*D32*D35)+(3.2468*PI()*(D32/2)^2)</f>
        <v>13.48388014187576</v>
      </c>
      <c r="F52" s="7" t="s">
        <v>109</v>
      </c>
      <c r="G52" s="36">
        <f>B49*G30</f>
        <v>277.62328970910147</v>
      </c>
      <c r="H52" s="36">
        <f>(B35/2)+B32+B34+B40</f>
        <v>12.294857373092814</v>
      </c>
      <c r="I52" s="36">
        <f t="shared" si="11"/>
        <v>3413.3387504222287</v>
      </c>
      <c r="J52" s="36">
        <f t="shared" si="5"/>
        <v>0.56613863894420646</v>
      </c>
      <c r="K52" s="36">
        <f t="shared" si="7"/>
        <v>88.98186193472101</v>
      </c>
      <c r="L52" s="36">
        <f t="shared" si="6"/>
        <v>88.98186193472101</v>
      </c>
      <c r="M52" s="36">
        <f>G52*I26</f>
        <v>277.62328970910147</v>
      </c>
      <c r="Y52" s="14"/>
    </row>
    <row r="53" spans="1:25" x14ac:dyDescent="0.2">
      <c r="A53" s="10"/>
      <c r="B53" s="14"/>
      <c r="C53" s="14"/>
      <c r="D53" s="14"/>
      <c r="F53" s="7" t="s">
        <v>114</v>
      </c>
      <c r="G53" s="36">
        <f>B55*G30</f>
        <v>55.875832638809591</v>
      </c>
      <c r="H53" s="36">
        <f>H52</f>
        <v>12.294857373092814</v>
      </c>
      <c r="I53" s="36">
        <f t="shared" si="11"/>
        <v>686.98539289696816</v>
      </c>
      <c r="J53" s="36">
        <f t="shared" si="5"/>
        <v>0.56613863894420646</v>
      </c>
      <c r="K53" s="36">
        <f t="shared" si="7"/>
        <v>17.908928428028549</v>
      </c>
      <c r="L53" s="36">
        <f t="shared" si="6"/>
        <v>17.908928428028549</v>
      </c>
      <c r="M53" s="36">
        <f>G53*I26</f>
        <v>55.875832638809591</v>
      </c>
      <c r="Y53" s="14"/>
    </row>
    <row r="54" spans="1:25" x14ac:dyDescent="0.2">
      <c r="A54" s="10" t="s">
        <v>75</v>
      </c>
      <c r="B54" s="14">
        <f>1.123*B51</f>
        <v>48.378156957849015</v>
      </c>
      <c r="C54" s="14"/>
      <c r="D54" s="14">
        <f>1.123*D51</f>
        <v>12.059403327802386</v>
      </c>
      <c r="F54" s="7" t="s">
        <v>131</v>
      </c>
      <c r="G54" s="36">
        <f>0.025*B18*G30</f>
        <v>627.16941588881161</v>
      </c>
      <c r="H54" s="36">
        <f>(B40-B38)+B32+B34</f>
        <v>8.4400049267940638</v>
      </c>
      <c r="I54" s="36">
        <f t="shared" si="11"/>
        <v>5293.3129600361253</v>
      </c>
      <c r="J54" s="36">
        <f t="shared" si="5"/>
        <v>-3.2887138073545437</v>
      </c>
      <c r="K54" s="36">
        <f t="shared" si="7"/>
        <v>6783.2376847018058</v>
      </c>
      <c r="L54" s="36">
        <f t="shared" si="6"/>
        <v>6783.2376847018058</v>
      </c>
      <c r="M54" s="36">
        <v>0</v>
      </c>
      <c r="Y54" s="14"/>
    </row>
    <row r="55" spans="1:25" x14ac:dyDescent="0.2">
      <c r="A55" s="10" t="s">
        <v>76</v>
      </c>
      <c r="B55" s="14">
        <f>1.123*B52</f>
        <v>55.875832638809591</v>
      </c>
      <c r="C55" s="14"/>
      <c r="D55" s="14">
        <f t="shared" ref="D55" si="16">1.123*D52</f>
        <v>15.142397399326478</v>
      </c>
      <c r="F55" s="7" t="s">
        <v>115</v>
      </c>
      <c r="G55" s="36">
        <f>B59*G30</f>
        <v>159.96386844775679</v>
      </c>
      <c r="H55" s="36">
        <f>B32+B34</f>
        <v>7.2328981456075168</v>
      </c>
      <c r="I55" s="36">
        <f t="shared" si="11"/>
        <v>1157.002367459985</v>
      </c>
      <c r="J55" s="36">
        <f t="shared" si="5"/>
        <v>-4.4958205885410907</v>
      </c>
      <c r="K55" s="36">
        <f t="shared" si="7"/>
        <v>3233.2541368095526</v>
      </c>
      <c r="L55" s="36">
        <f t="shared" si="6"/>
        <v>3233.2541368095526</v>
      </c>
      <c r="M55" s="36">
        <f>G55*I26</f>
        <v>159.96386844775679</v>
      </c>
      <c r="Y55" s="14"/>
    </row>
    <row r="56" spans="1:25" x14ac:dyDescent="0.2">
      <c r="A56" s="10"/>
      <c r="B56" s="14"/>
      <c r="C56" s="14"/>
      <c r="D56" s="14"/>
      <c r="F56" s="7" t="s">
        <v>116</v>
      </c>
      <c r="G56" s="36">
        <f>B48*G30</f>
        <v>235.92292497275707</v>
      </c>
      <c r="H56" s="36">
        <f>B32+(B34/2)</f>
        <v>4.6164490728037588</v>
      </c>
      <c r="I56" s="36">
        <f t="shared" si="11"/>
        <v>1089.1261682436352</v>
      </c>
      <c r="J56" s="36">
        <f t="shared" si="5"/>
        <v>-7.1122696613448486</v>
      </c>
      <c r="K56" s="36">
        <f t="shared" si="7"/>
        <v>11934.014825175789</v>
      </c>
      <c r="L56" s="36">
        <f t="shared" si="6"/>
        <v>11934.014825175789</v>
      </c>
      <c r="M56" s="36">
        <f>G56*I26</f>
        <v>235.92292497275707</v>
      </c>
      <c r="Y56" s="14"/>
    </row>
    <row r="57" spans="1:25" x14ac:dyDescent="0.2">
      <c r="A57" s="10" t="s">
        <v>77</v>
      </c>
      <c r="B57" s="14">
        <v>0</v>
      </c>
      <c r="C57" s="14"/>
      <c r="D57" s="14">
        <f>13.3*PI()*(2/2)*SQRT((2^2)+(2)^2)</f>
        <v>118.18068615501255</v>
      </c>
      <c r="F57" s="7" t="s">
        <v>117</v>
      </c>
      <c r="G57" s="36">
        <f>B54*G30</f>
        <v>48.378156957849015</v>
      </c>
      <c r="H57" s="36">
        <f>H56</f>
        <v>4.6164490728037588</v>
      </c>
      <c r="I57" s="36">
        <f t="shared" si="11"/>
        <v>223.33529783201681</v>
      </c>
      <c r="J57" s="36">
        <f t="shared" si="5"/>
        <v>-7.1122696613448486</v>
      </c>
      <c r="K57" s="36">
        <f t="shared" si="7"/>
        <v>2447.1790624684722</v>
      </c>
      <c r="L57" s="36">
        <f t="shared" si="6"/>
        <v>2447.1790624684722</v>
      </c>
      <c r="M57" s="36">
        <f>G57*I26</f>
        <v>48.378156957849015</v>
      </c>
      <c r="Y57" s="14"/>
    </row>
    <row r="58" spans="1:25" x14ac:dyDescent="0.2">
      <c r="A58" s="10" t="s">
        <v>78</v>
      </c>
      <c r="B58" s="14">
        <f>13.3*PI()*((D32/2)+1)*SQRT((1-(D32/2))^2 +2^2)</f>
        <v>129.20735547556654</v>
      </c>
      <c r="C58" s="14"/>
      <c r="D58" s="14">
        <v>0</v>
      </c>
      <c r="F58" s="7" t="s">
        <v>130</v>
      </c>
      <c r="G58" s="36">
        <f>0.025*B17*G30</f>
        <v>195.37988033919362</v>
      </c>
      <c r="H58" s="36">
        <f>B32-B37</f>
        <v>1.2928932188134525</v>
      </c>
      <c r="I58" s="36">
        <f t="shared" si="11"/>
        <v>252.60532238312723</v>
      </c>
      <c r="J58" s="36">
        <f t="shared" si="5"/>
        <v>-10.435825515335155</v>
      </c>
      <c r="K58" s="36">
        <f t="shared" si="7"/>
        <v>21278.129987128203</v>
      </c>
      <c r="L58" s="36">
        <f t="shared" si="6"/>
        <v>21278.129987128203</v>
      </c>
      <c r="M58" s="36">
        <v>0</v>
      </c>
      <c r="Y58" s="14"/>
    </row>
    <row r="59" spans="1:25" x14ac:dyDescent="0.2">
      <c r="A59" s="10" t="s">
        <v>79</v>
      </c>
      <c r="B59" s="14">
        <f>13.3*2*PI()*1*B40</f>
        <v>159.96386844775679</v>
      </c>
      <c r="C59" s="14"/>
      <c r="D59" s="14">
        <f>13.3*2*PI()*(D32/2)*(0.25*D32 + 2*D38)</f>
        <v>39.990967111939199</v>
      </c>
      <c r="F59" s="7" t="s">
        <v>118</v>
      </c>
      <c r="G59" s="36">
        <f>B60*G30</f>
        <v>167.132729170977</v>
      </c>
      <c r="H59" s="36">
        <f>B32/2</f>
        <v>1</v>
      </c>
      <c r="I59" s="36">
        <f t="shared" si="11"/>
        <v>167.132729170977</v>
      </c>
      <c r="J59" s="36">
        <f t="shared" si="5"/>
        <v>-10.728718734148607</v>
      </c>
      <c r="K59" s="36">
        <f t="shared" si="7"/>
        <v>19237.880593041114</v>
      </c>
      <c r="L59" s="36">
        <f t="shared" si="6"/>
        <v>19237.880593041114</v>
      </c>
      <c r="M59" s="36">
        <f>G59*I26</f>
        <v>167.132729170977</v>
      </c>
      <c r="Y59" s="14"/>
    </row>
    <row r="60" spans="1:25" x14ac:dyDescent="0.2">
      <c r="A60" s="10" t="s">
        <v>80</v>
      </c>
      <c r="B60" s="14">
        <f>13.3*2*PI()*1*2</f>
        <v>167.132729170977</v>
      </c>
      <c r="C60" s="14"/>
      <c r="D60" s="14">
        <f>13.3*2*PI()*(D32/2)*((1/3)*D32 + 2*D38)</f>
        <v>43.472898969667881</v>
      </c>
      <c r="F60" s="7" t="s">
        <v>119</v>
      </c>
      <c r="G60" s="36">
        <f>B64*G30</f>
        <v>424.77925500000003</v>
      </c>
      <c r="H60" s="36">
        <f>B32/16</f>
        <v>0.125</v>
      </c>
      <c r="I60" s="36">
        <f t="shared" si="11"/>
        <v>53.097406875000004</v>
      </c>
      <c r="J60" s="36">
        <f t="shared" si="5"/>
        <v>-11.603718734148607</v>
      </c>
      <c r="K60" s="36">
        <f t="shared" si="7"/>
        <v>57194.95010107696</v>
      </c>
      <c r="L60" s="36">
        <f t="shared" si="6"/>
        <v>57194.95010107696</v>
      </c>
      <c r="M60" s="36">
        <f>G60*I26</f>
        <v>424.77925500000003</v>
      </c>
      <c r="Y60" s="14"/>
    </row>
    <row r="61" spans="1:25" x14ac:dyDescent="0.2">
      <c r="A61" s="10" t="s">
        <v>81</v>
      </c>
      <c r="B61" s="14">
        <v>0</v>
      </c>
      <c r="C61" s="14"/>
      <c r="D61" s="14">
        <f>13.3*PI()*((D32/2)+1)*SQRT((1-(D32/2))^2 +((1/3)*D32+D38)^2)</f>
        <v>53.24823712057966</v>
      </c>
      <c r="F61" s="7" t="s">
        <v>120</v>
      </c>
      <c r="G61" s="36">
        <f>B65*G30</f>
        <v>18.702517653935825</v>
      </c>
      <c r="H61" s="36">
        <f>B32/16</f>
        <v>0.125</v>
      </c>
      <c r="I61" s="36">
        <f t="shared" si="11"/>
        <v>2.3378147067419781</v>
      </c>
      <c r="J61" s="36">
        <f t="shared" si="5"/>
        <v>-11.603718734148607</v>
      </c>
      <c r="K61" s="36">
        <f t="shared" si="7"/>
        <v>2518.2245869831149</v>
      </c>
      <c r="L61" s="36">
        <f t="shared" si="6"/>
        <v>2518.2245869831149</v>
      </c>
      <c r="M61" s="36">
        <v>0</v>
      </c>
      <c r="Y61" s="14"/>
    </row>
    <row r="62" spans="1:25" x14ac:dyDescent="0.2">
      <c r="A62" s="10"/>
      <c r="F62" s="7" t="s">
        <v>121</v>
      </c>
      <c r="G62" s="36">
        <f>B63*G30</f>
        <v>996.51822734606412</v>
      </c>
      <c r="H62" s="36">
        <f>B32/8</f>
        <v>0.25</v>
      </c>
      <c r="I62" s="36">
        <f t="shared" si="11"/>
        <v>249.12955683651603</v>
      </c>
      <c r="J62" s="36">
        <f t="shared" si="5"/>
        <v>-11.478718734148607</v>
      </c>
      <c r="K62" s="36">
        <f t="shared" si="7"/>
        <v>131302.22198752133</v>
      </c>
      <c r="L62" s="36">
        <f t="shared" si="6"/>
        <v>131302.22198752133</v>
      </c>
      <c r="M62" s="36">
        <v>0</v>
      </c>
    </row>
    <row r="63" spans="1:25" x14ac:dyDescent="0.2">
      <c r="A63" s="10" t="s">
        <v>82</v>
      </c>
      <c r="B63" s="14">
        <f>(1440-B64-B65)</f>
        <v>996.51822734606412</v>
      </c>
      <c r="C63" s="14"/>
      <c r="D63" s="14">
        <f>480-D64-D65</f>
        <v>332.1727424486881</v>
      </c>
      <c r="F63" s="5" t="s">
        <v>122</v>
      </c>
      <c r="G63" s="5">
        <v>1</v>
      </c>
      <c r="H63" s="5">
        <v>1</v>
      </c>
      <c r="I63" s="14"/>
      <c r="J63" s="14"/>
      <c r="K63" s="14"/>
      <c r="L63" s="14"/>
      <c r="M63" s="14"/>
    </row>
    <row r="64" spans="1:25" x14ac:dyDescent="0.2">
      <c r="A64" s="10" t="s">
        <v>83</v>
      </c>
      <c r="B64" s="14">
        <f>B4*(2.55*10^-4)*3</f>
        <v>424.77925500000003</v>
      </c>
      <c r="C64" s="14"/>
      <c r="D64" s="14">
        <f>B4*(2.55*10^-4)</f>
        <v>141.593085</v>
      </c>
      <c r="F64" t="s">
        <v>123</v>
      </c>
      <c r="G64" s="14">
        <f>IF(H63=1,D18,0)</f>
        <v>3424.0373059081726</v>
      </c>
      <c r="H64" s="14">
        <f>H38</f>
        <v>23.43326265826196</v>
      </c>
      <c r="I64" s="14">
        <f t="shared" si="11"/>
        <v>80236.365541033869</v>
      </c>
      <c r="J64" s="14">
        <f>H64-($G$69)</f>
        <v>11.704543924113352</v>
      </c>
      <c r="K64" s="14">
        <f t="shared" si="7"/>
        <v>469080.60793960787</v>
      </c>
      <c r="L64" s="14">
        <f>K64</f>
        <v>469080.60793960787</v>
      </c>
      <c r="M64" s="14">
        <v>0</v>
      </c>
    </row>
    <row r="65" spans="1:25" x14ac:dyDescent="0.2">
      <c r="A65" s="10" t="s">
        <v>84</v>
      </c>
      <c r="B65" s="14">
        <f>(237.8*(B4/(27*10^6))^0.9375)*3</f>
        <v>18.702517653935825</v>
      </c>
      <c r="C65" s="14"/>
      <c r="D65" s="14">
        <f>237.8*(B4/(27*10^6))^0.9375</f>
        <v>6.2341725513119419</v>
      </c>
      <c r="F65" t="s">
        <v>124</v>
      </c>
      <c r="G65" s="14">
        <f>IF(H63=1,D17,0)</f>
        <v>992.47458142265873</v>
      </c>
      <c r="H65" s="14">
        <f>H42</f>
        <v>19.43273473128443</v>
      </c>
      <c r="I65" s="14">
        <f t="shared" si="11"/>
        <v>19286.495268329076</v>
      </c>
      <c r="J65" s="14">
        <f>H65-($G$69)</f>
        <v>7.7040159971358229</v>
      </c>
      <c r="K65" s="14">
        <f t="shared" si="7"/>
        <v>58905.214875586833</v>
      </c>
      <c r="L65" s="14">
        <f>K65</f>
        <v>58905.214875586833</v>
      </c>
      <c r="M65" s="14">
        <v>0</v>
      </c>
      <c r="V65" s="1"/>
    </row>
    <row r="66" spans="1:25" x14ac:dyDescent="0.2">
      <c r="A66" s="10"/>
      <c r="B66" s="14"/>
      <c r="C66" s="14"/>
      <c r="D66" s="14"/>
      <c r="F66" t="s">
        <v>125</v>
      </c>
      <c r="G66" s="14">
        <f>B18*G63</f>
        <v>25086.776635552462</v>
      </c>
      <c r="H66" s="14">
        <f>H52</f>
        <v>12.294857373092814</v>
      </c>
      <c r="I66" s="14">
        <f t="shared" si="11"/>
        <v>308438.34068475472</v>
      </c>
      <c r="J66" s="14">
        <f>H66-($G$69)</f>
        <v>0.56613863894420646</v>
      </c>
      <c r="K66" s="14">
        <f t="shared" si="7"/>
        <v>8040.6369988300457</v>
      </c>
      <c r="L66" s="14">
        <f>K66</f>
        <v>8040.6369988300457</v>
      </c>
      <c r="M66" s="14">
        <v>0</v>
      </c>
      <c r="V66" s="14"/>
    </row>
    <row r="67" spans="1:25" x14ac:dyDescent="0.2">
      <c r="A67" s="10" t="s">
        <v>85</v>
      </c>
      <c r="B67" s="14">
        <v>0</v>
      </c>
      <c r="C67" s="14"/>
      <c r="D67" s="14">
        <f>0.0755*375 + 50</f>
        <v>78.3125</v>
      </c>
      <c r="F67" t="s">
        <v>126</v>
      </c>
      <c r="G67" s="14">
        <f>B17*G63</f>
        <v>7815.1952135677448</v>
      </c>
      <c r="H67" s="14">
        <f>H56</f>
        <v>4.6164490728037588</v>
      </c>
      <c r="I67" s="14">
        <f>H67*G67</f>
        <v>36078.450697455191</v>
      </c>
      <c r="J67" s="14">
        <f>H67-($G$69)</f>
        <v>-7.1122696613448486</v>
      </c>
      <c r="K67" s="14">
        <f t="shared" si="7"/>
        <v>395326.80239162932</v>
      </c>
      <c r="L67" s="14">
        <f>K67</f>
        <v>395326.80239162932</v>
      </c>
      <c r="M67" s="14">
        <v>0</v>
      </c>
      <c r="T67" s="1" t="s">
        <v>152</v>
      </c>
      <c r="U67" s="1" t="s">
        <v>166</v>
      </c>
      <c r="V67" s="1" t="s">
        <v>173</v>
      </c>
      <c r="W67" s="14"/>
      <c r="Y67" s="1"/>
    </row>
    <row r="68" spans="1:25" x14ac:dyDescent="0.2">
      <c r="A68" s="10" t="s">
        <v>86</v>
      </c>
      <c r="B68" s="14">
        <f>(10*(9436.94)^0.361)/2</f>
        <v>136.10812939889587</v>
      </c>
      <c r="C68" s="14"/>
      <c r="D68" s="14">
        <f>(10*(9436.94)^0.361)/2</f>
        <v>136.10812939889587</v>
      </c>
      <c r="F68" s="18" t="s">
        <v>127</v>
      </c>
      <c r="G68" s="19">
        <f>SUM(G33:G67)-G63</f>
        <v>42556.588936881541</v>
      </c>
      <c r="H68" s="20" t="s">
        <v>20</v>
      </c>
      <c r="I68" s="19">
        <f>SUM(I33:I67)</f>
        <v>499134.26192546391</v>
      </c>
      <c r="J68" s="19"/>
      <c r="K68" s="19">
        <f t="shared" ref="K68:M68" si="17">SUM(K33:K67)</f>
        <v>1421824.3482418386</v>
      </c>
      <c r="L68" s="14">
        <f>K68</f>
        <v>1421824.3482418386</v>
      </c>
      <c r="M68" s="19">
        <f t="shared" si="17"/>
        <v>2076.0581611770453</v>
      </c>
      <c r="T68" s="10" t="s">
        <v>77</v>
      </c>
      <c r="U68" s="14">
        <v>27.86</v>
      </c>
      <c r="V68" s="14">
        <v>0</v>
      </c>
      <c r="W68" s="14"/>
      <c r="Y68" s="14"/>
    </row>
    <row r="69" spans="1:25" x14ac:dyDescent="0.2">
      <c r="A69" s="10" t="s">
        <v>87</v>
      </c>
      <c r="B69" s="14">
        <f>((1.058*SQRT(9436.94))*(B43+D43)^0.25)*(B43/(B43+D43))</f>
        <v>147.83352125042654</v>
      </c>
      <c r="C69" s="14"/>
      <c r="D69" s="14">
        <f>((1.058*SQRT(9436.94))*(B43+D43)^0.25)*(D43/(B43+D43))</f>
        <v>88.29465420155924</v>
      </c>
      <c r="F69" s="18" t="s">
        <v>128</v>
      </c>
      <c r="G69" s="19">
        <f>I68/G68</f>
        <v>11.728718734148607</v>
      </c>
      <c r="H69" s="20" t="s">
        <v>129</v>
      </c>
      <c r="T69" s="10" t="s">
        <v>153</v>
      </c>
      <c r="U69" s="14">
        <f t="shared" ref="U69" si="18">Y34</f>
        <v>25.860325558826744</v>
      </c>
      <c r="V69" s="14">
        <f>9.80665*(375+D67+D57)/1000</f>
        <v>5.6044336540070541</v>
      </c>
      <c r="W69" s="14"/>
      <c r="Y69" s="14"/>
    </row>
    <row r="70" spans="1:25" x14ac:dyDescent="0.2">
      <c r="A70" s="10"/>
      <c r="T70" s="10" t="s">
        <v>154</v>
      </c>
      <c r="U70" s="14">
        <f t="shared" ref="U70:U79" si="19">Y35</f>
        <v>25.173438834900136</v>
      </c>
      <c r="V70" s="14">
        <f>V69+(9.80665*(D61+(D69/4)+D68))/1000</f>
        <v>7.6778539583916992</v>
      </c>
      <c r="W70" s="14"/>
      <c r="Y70" s="14"/>
    </row>
    <row r="71" spans="1:25" x14ac:dyDescent="0.2">
      <c r="A71" s="10" t="s">
        <v>88</v>
      </c>
      <c r="B71" s="14">
        <f>SUM(B48:B69)+(0.025*E2)-B51-B52</f>
        <v>3620.5951042501447</v>
      </c>
      <c r="D71" s="14">
        <f>(0.025*E3)+SUM(D48:D69)-D51-D52</f>
        <v>1242.5100961803603</v>
      </c>
      <c r="T71" s="10" t="s">
        <v>156</v>
      </c>
      <c r="U71" s="14">
        <f t="shared" si="19"/>
        <v>21.693086481623787</v>
      </c>
      <c r="V71" s="14">
        <f>V70+(9.80665*(D49+D55+(D30*1141)+(D69/4)))/1000</f>
        <v>43.142945570901318</v>
      </c>
      <c r="W71" s="14"/>
      <c r="Y71" s="14"/>
    </row>
    <row r="72" spans="1:25" x14ac:dyDescent="0.2">
      <c r="A72" s="10" t="s">
        <v>141</v>
      </c>
      <c r="B72" s="27">
        <f>F2-B71</f>
        <v>1.5743298718007281E-6</v>
      </c>
      <c r="D72" s="27">
        <f>F3-D71</f>
        <v>6.8046840075144246</v>
      </c>
      <c r="T72" s="10" t="s">
        <v>155</v>
      </c>
      <c r="U72" s="14">
        <f t="shared" si="19"/>
        <v>20.735979700437241</v>
      </c>
      <c r="V72" s="14">
        <f>V71+(9.80665*(D59+(D69/4)))/1000</f>
        <v>43.751591681186049</v>
      </c>
      <c r="W72" s="14"/>
      <c r="Y72" s="14"/>
    </row>
    <row r="73" spans="1:25" x14ac:dyDescent="0.2">
      <c r="A73" s="10"/>
      <c r="T73" s="10" t="s">
        <v>160</v>
      </c>
      <c r="U73" s="14">
        <f t="shared" si="19"/>
        <v>18.129489762131627</v>
      </c>
      <c r="V73" s="14">
        <f>V72+(9.80665*(D48+D54+(D29*424)+(D69/4)))/1000</f>
        <v>54.426074545762035</v>
      </c>
      <c r="W73" s="14"/>
      <c r="Y73" s="14"/>
    </row>
    <row r="74" spans="1:25" x14ac:dyDescent="0.2">
      <c r="A74" s="13" t="s">
        <v>89</v>
      </c>
      <c r="B74" s="21">
        <f>B71+D71</f>
        <v>4863.1052004305047</v>
      </c>
      <c r="T74" s="10" t="s">
        <v>78</v>
      </c>
      <c r="U74" s="14">
        <f t="shared" si="19"/>
        <v>17.442603038205018</v>
      </c>
      <c r="V74" s="14">
        <f>V73+(9.80665*(D60+(B69/6)))/1000</f>
        <v>55.094023317304675</v>
      </c>
      <c r="W74" s="14"/>
      <c r="Y74" s="14"/>
    </row>
    <row r="75" spans="1:25" x14ac:dyDescent="0.2">
      <c r="A75" s="10" t="s">
        <v>142</v>
      </c>
      <c r="B75" s="27">
        <f>F2+F3-B74</f>
        <v>6.8046855818447511</v>
      </c>
      <c r="T75" s="10" t="s">
        <v>159</v>
      </c>
      <c r="U75" s="14">
        <f t="shared" si="19"/>
        <v>15.442603038205018</v>
      </c>
      <c r="V75" s="14">
        <f>V74+(9.80665*(B58+(B69/6)+B68+D63+D64+D65))/1000</f>
        <v>62.644696683910574</v>
      </c>
      <c r="W75" s="14"/>
      <c r="Y75" s="14"/>
    </row>
    <row r="76" spans="1:25" x14ac:dyDescent="0.2">
      <c r="A76" s="13" t="s">
        <v>90</v>
      </c>
      <c r="B76" s="21">
        <f>B74+E2+E3+(375)</f>
        <v>42556.588936881541</v>
      </c>
      <c r="D76">
        <f>B76*9.80665</f>
        <v>417337.57289786934</v>
      </c>
      <c r="G76" t="s">
        <v>151</v>
      </c>
      <c r="H76">
        <f>(B4*(7.81*10^-4)+SQRT(0.14/0.0153938)*(3.37*10^-5))+59</f>
        <v>492.66362862978309</v>
      </c>
      <c r="T76" s="10" t="s">
        <v>157</v>
      </c>
      <c r="U76" s="14">
        <f t="shared" si="19"/>
        <v>9.1471117079806117</v>
      </c>
      <c r="V76" s="14">
        <f>V75+(9.80665*(B49+B55+(B30*1141)+(B69/6)))/1000</f>
        <v>320.60117074752117</v>
      </c>
      <c r="W76" s="14"/>
      <c r="Y76" s="14"/>
    </row>
    <row r="77" spans="1:25" x14ac:dyDescent="0.2">
      <c r="A77" s="10"/>
      <c r="T77" s="10" t="s">
        <v>158</v>
      </c>
      <c r="U77" s="14">
        <f t="shared" si="19"/>
        <v>7.2328981456075168</v>
      </c>
      <c r="V77" s="14">
        <f>V76+(9.80665*(B59+(B69/6)))/1000</f>
        <v>322.4115056848961</v>
      </c>
      <c r="Y77" s="14"/>
    </row>
    <row r="78" spans="1:25" x14ac:dyDescent="0.2">
      <c r="A78" s="10" t="s">
        <v>174</v>
      </c>
      <c r="B78">
        <f>B4/(B76*9.80665)</f>
        <v>1.3304984646946338</v>
      </c>
      <c r="T78" s="10" t="s">
        <v>161</v>
      </c>
      <c r="U78" s="14">
        <f t="shared" si="19"/>
        <v>2</v>
      </c>
      <c r="V78" s="14">
        <f>V77+(9.80665*(B48+B54+(B29*424)+(B69/6)))/1000</f>
        <v>406.11322364750202</v>
      </c>
      <c r="Y78" s="14"/>
    </row>
    <row r="79" spans="1:25" x14ac:dyDescent="0.2">
      <c r="A79" s="10"/>
      <c r="D79" s="29">
        <f>D71+(D29*424)+(D30*1141)</f>
        <v>5808.8007584588267</v>
      </c>
      <c r="T79" s="10" t="s">
        <v>167</v>
      </c>
      <c r="U79" s="14">
        <f t="shared" si="19"/>
        <v>0</v>
      </c>
      <c r="V79" s="14">
        <f>V78+(9.80665*(B60+(B69/6)+B64+B65))/1000</f>
        <v>412.34293161868504</v>
      </c>
    </row>
    <row r="80" spans="1:25" x14ac:dyDescent="0.2">
      <c r="A80" s="10"/>
    </row>
    <row r="81" spans="1:22" x14ac:dyDescent="0.2">
      <c r="A81" s="10"/>
      <c r="U81" s="10" t="s">
        <v>172</v>
      </c>
      <c r="V81" s="14">
        <f>B76*9.80665/1000</f>
        <v>417.33757289786934</v>
      </c>
    </row>
    <row r="82" spans="1:22" x14ac:dyDescent="0.2">
      <c r="A82" s="10"/>
      <c r="U82" s="10" t="s">
        <v>171</v>
      </c>
      <c r="V82" s="14">
        <f>V81-V79</f>
        <v>4.9946412791842931</v>
      </c>
    </row>
    <row r="83" spans="1:22" x14ac:dyDescent="0.2">
      <c r="A83" s="10"/>
    </row>
    <row r="84" spans="1:22" x14ac:dyDescent="0.2">
      <c r="A84" s="10"/>
    </row>
    <row r="85" spans="1:22" x14ac:dyDescent="0.2">
      <c r="A85" s="10"/>
    </row>
    <row r="86" spans="1:22" x14ac:dyDescent="0.2">
      <c r="A86" s="10"/>
    </row>
    <row r="87" spans="1:22" x14ac:dyDescent="0.2">
      <c r="A87" s="10"/>
    </row>
    <row r="88" spans="1:22" x14ac:dyDescent="0.2">
      <c r="A88" s="10"/>
    </row>
    <row r="89" spans="1:22" x14ac:dyDescent="0.2">
      <c r="A89" s="10"/>
    </row>
    <row r="90" spans="1:22" x14ac:dyDescent="0.2">
      <c r="A90" s="10"/>
    </row>
    <row r="91" spans="1:22" x14ac:dyDescent="0.2">
      <c r="A91" s="10"/>
    </row>
    <row r="92" spans="1:22" x14ac:dyDescent="0.2">
      <c r="A92" s="10"/>
    </row>
    <row r="93" spans="1:22" x14ac:dyDescent="0.2">
      <c r="A93" s="10"/>
    </row>
    <row r="94" spans="1:22" x14ac:dyDescent="0.2">
      <c r="A94" s="10"/>
    </row>
    <row r="95" spans="1:22" x14ac:dyDescent="0.2">
      <c r="A95" s="10"/>
    </row>
    <row r="96" spans="1:22" x14ac:dyDescent="0.2">
      <c r="A96" s="10"/>
    </row>
    <row r="97" spans="1:1" x14ac:dyDescent="0.2">
      <c r="A97" s="10"/>
    </row>
    <row r="98" spans="1:1" x14ac:dyDescent="0.2">
      <c r="A98" s="10"/>
    </row>
    <row r="99" spans="1:1" x14ac:dyDescent="0.2">
      <c r="A99" s="10"/>
    </row>
    <row r="100" spans="1:1" x14ac:dyDescent="0.2">
      <c r="A100" s="10"/>
    </row>
    <row r="101" spans="1:1" x14ac:dyDescent="0.2">
      <c r="A101" s="10"/>
    </row>
    <row r="102" spans="1:1" x14ac:dyDescent="0.2">
      <c r="A102" s="10"/>
    </row>
    <row r="103" spans="1:1" x14ac:dyDescent="0.2">
      <c r="A103" s="10"/>
    </row>
    <row r="104" spans="1:1" x14ac:dyDescent="0.2">
      <c r="A104" s="10"/>
    </row>
    <row r="105" spans="1:1" x14ac:dyDescent="0.2">
      <c r="A105" s="10"/>
    </row>
    <row r="106" spans="1:1" x14ac:dyDescent="0.2">
      <c r="A106" s="10"/>
    </row>
    <row r="107" spans="1:1" x14ac:dyDescent="0.2">
      <c r="A107" s="10"/>
    </row>
    <row r="108" spans="1:1" x14ac:dyDescent="0.2">
      <c r="A108" s="10"/>
    </row>
    <row r="109" spans="1:1" x14ac:dyDescent="0.2">
      <c r="A109" s="10"/>
    </row>
    <row r="110" spans="1:1" x14ac:dyDescent="0.2">
      <c r="A110" s="10"/>
    </row>
    <row r="111" spans="1:1" x14ac:dyDescent="0.2">
      <c r="A111" s="10"/>
    </row>
  </sheetData>
  <pageMargins left="0" right="0" top="0" bottom="0" header="0" footer="0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0B098-9656-E940-9887-23B603DC3304}">
  <dimension ref="A1:H26"/>
  <sheetViews>
    <sheetView zoomScale="89" workbookViewId="0">
      <selection activeCell="E20" sqref="E20"/>
    </sheetView>
  </sheetViews>
  <sheetFormatPr baseColWidth="10" defaultRowHeight="16" x14ac:dyDescent="0.2"/>
  <cols>
    <col min="1" max="1" width="20.1640625" customWidth="1"/>
    <col min="2" max="2" width="15" customWidth="1"/>
    <col min="4" max="4" width="24.1640625" customWidth="1"/>
    <col min="5" max="6" width="12.1640625" customWidth="1"/>
    <col min="7" max="7" width="21" customWidth="1"/>
    <col min="8" max="8" width="14.83203125" customWidth="1"/>
  </cols>
  <sheetData>
    <row r="1" spans="1:8" x14ac:dyDescent="0.2">
      <c r="A1" s="11" t="s">
        <v>60</v>
      </c>
      <c r="B1" s="11" t="s">
        <v>57</v>
      </c>
      <c r="D1" s="11" t="s">
        <v>58</v>
      </c>
      <c r="E1">
        <v>185089.54</v>
      </c>
      <c r="F1" s="11"/>
      <c r="G1" s="11" t="s">
        <v>61</v>
      </c>
      <c r="H1" s="11" t="s">
        <v>57</v>
      </c>
    </row>
    <row r="2" spans="1:8" x14ac:dyDescent="0.2">
      <c r="A2" t="s">
        <v>23</v>
      </c>
      <c r="B2">
        <f>1.81*10^6</f>
        <v>1810000</v>
      </c>
      <c r="D2" s="11" t="s">
        <v>59</v>
      </c>
      <c r="E2">
        <f>5813*E3*9.80665</f>
        <v>54155.753627499995</v>
      </c>
      <c r="G2" t="s">
        <v>23</v>
      </c>
      <c r="H2">
        <v>1810000</v>
      </c>
    </row>
    <row r="3" spans="1:8" x14ac:dyDescent="0.2">
      <c r="D3" s="11" t="s">
        <v>62</v>
      </c>
      <c r="E3">
        <v>0.95</v>
      </c>
    </row>
    <row r="4" spans="1:8" x14ac:dyDescent="0.2">
      <c r="A4" t="s">
        <v>53</v>
      </c>
      <c r="B4">
        <f>B2/E1</f>
        <v>9.7790507232337376</v>
      </c>
    </row>
    <row r="6" spans="1:8" x14ac:dyDescent="0.2">
      <c r="A6" s="37" t="s">
        <v>54</v>
      </c>
      <c r="B6" s="37"/>
      <c r="D6" s="37" t="s">
        <v>63</v>
      </c>
      <c r="E6" s="37"/>
    </row>
    <row r="7" spans="1:8" x14ac:dyDescent="0.2">
      <c r="A7" t="s">
        <v>41</v>
      </c>
      <c r="B7">
        <v>1.3</v>
      </c>
      <c r="D7" t="s">
        <v>41</v>
      </c>
      <c r="E7" s="14">
        <v>1.3</v>
      </c>
    </row>
    <row r="8" spans="1:8" x14ac:dyDescent="0.2">
      <c r="A8" t="s">
        <v>56</v>
      </c>
      <c r="B8" s="14">
        <f>PI()*(B7/2)^2</f>
        <v>1.3273228961416876</v>
      </c>
      <c r="D8" t="s">
        <v>56</v>
      </c>
      <c r="E8" s="14">
        <f>PI()*(E7/2)^2</f>
        <v>1.3273228961416876</v>
      </c>
    </row>
    <row r="9" spans="1:8" x14ac:dyDescent="0.2">
      <c r="A9" t="s">
        <v>23</v>
      </c>
      <c r="B9">
        <v>1810000</v>
      </c>
      <c r="D9" t="s">
        <v>23</v>
      </c>
      <c r="E9">
        <v>1810000</v>
      </c>
    </row>
    <row r="10" spans="1:8" x14ac:dyDescent="0.2">
      <c r="A10" t="s">
        <v>66</v>
      </c>
      <c r="B10">
        <v>2.46</v>
      </c>
    </row>
    <row r="12" spans="1:8" x14ac:dyDescent="0.2">
      <c r="A12" s="37" t="s">
        <v>55</v>
      </c>
      <c r="B12" s="37"/>
      <c r="C12" s="37"/>
      <c r="D12" s="37"/>
      <c r="E12" s="37"/>
    </row>
    <row r="13" spans="1:8" x14ac:dyDescent="0.2">
      <c r="A13" s="37" t="s">
        <v>45</v>
      </c>
      <c r="B13" s="37"/>
      <c r="D13" s="37" t="s">
        <v>46</v>
      </c>
      <c r="E13" s="37"/>
    </row>
    <row r="14" spans="1:8" x14ac:dyDescent="0.2">
      <c r="A14" t="s">
        <v>180</v>
      </c>
      <c r="B14">
        <f>B2/B4</f>
        <v>185089.54</v>
      </c>
      <c r="D14" t="s">
        <v>180</v>
      </c>
      <c r="E14" s="14">
        <f>E2</f>
        <v>54155.753627499995</v>
      </c>
      <c r="F14" s="10" t="s">
        <v>65</v>
      </c>
      <c r="G14" s="17">
        <f>E14/B14</f>
        <v>0.29259218877252596</v>
      </c>
    </row>
    <row r="15" spans="1:8" x14ac:dyDescent="0.2">
      <c r="A15" t="s">
        <v>181</v>
      </c>
      <c r="B15" s="14">
        <f>B8/B4</f>
        <v>0.13573126203222804</v>
      </c>
      <c r="D15" t="s">
        <v>185</v>
      </c>
      <c r="E15">
        <v>0.14000000000000001</v>
      </c>
    </row>
    <row r="16" spans="1:8" x14ac:dyDescent="0.2">
      <c r="A16" t="s">
        <v>182</v>
      </c>
      <c r="B16" s="14">
        <f>SQRT(B15/PI())</f>
        <v>0.20785716867373322</v>
      </c>
      <c r="D16" t="s">
        <v>182</v>
      </c>
      <c r="E16">
        <v>0.21</v>
      </c>
    </row>
    <row r="17" spans="1:5" x14ac:dyDescent="0.2">
      <c r="A17" t="s">
        <v>183</v>
      </c>
      <c r="B17" s="14">
        <f>B16*2</f>
        <v>0.41571433734746643</v>
      </c>
      <c r="D17" t="s">
        <v>186</v>
      </c>
      <c r="E17">
        <v>0.42</v>
      </c>
    </row>
    <row r="18" spans="1:5" x14ac:dyDescent="0.2">
      <c r="A18" t="s">
        <v>184</v>
      </c>
      <c r="B18" s="14">
        <f>B10/SQRT(B4)</f>
        <v>0.78665943836520569</v>
      </c>
      <c r="C18" s="14"/>
      <c r="D18" s="14" t="s">
        <v>184</v>
      </c>
      <c r="E18" s="14">
        <f>B18</f>
        <v>0.78665943836520569</v>
      </c>
    </row>
    <row r="19" spans="1:5" x14ac:dyDescent="0.2">
      <c r="D19" s="14"/>
      <c r="E19" s="14"/>
    </row>
    <row r="20" spans="1:5" x14ac:dyDescent="0.2">
      <c r="D20" t="s">
        <v>24</v>
      </c>
      <c r="E20" s="14">
        <f>E2/(9.80665*380)</f>
        <v>14.532500000000001</v>
      </c>
    </row>
    <row r="21" spans="1:5" x14ac:dyDescent="0.2">
      <c r="D21" t="s">
        <v>64</v>
      </c>
      <c r="E21" s="14">
        <f>4417/E20</f>
        <v>303.93944606915534</v>
      </c>
    </row>
    <row r="23" spans="1:5" x14ac:dyDescent="0.2">
      <c r="A23" t="s">
        <v>68</v>
      </c>
      <c r="B23" s="14">
        <f>0.2216/SQRT(B4)</f>
        <v>7.0863305504768118E-2</v>
      </c>
    </row>
    <row r="24" spans="1:5" x14ac:dyDescent="0.2">
      <c r="A24" t="s">
        <v>67</v>
      </c>
      <c r="B24" s="14">
        <f>(2.46-0.52)/SQRT(B4)</f>
        <v>0.62037370342621911</v>
      </c>
    </row>
    <row r="25" spans="1:5" x14ac:dyDescent="0.2">
      <c r="A25" t="s">
        <v>69</v>
      </c>
      <c r="B25" s="14">
        <f>0.32/SQRT(B4)</f>
        <v>0.10232968303937635</v>
      </c>
    </row>
    <row r="26" spans="1:5" x14ac:dyDescent="0.2">
      <c r="A26" t="s">
        <v>70</v>
      </c>
      <c r="B26" s="14">
        <f>0.52/SQRT(B4)</f>
        <v>0.16628573493898657</v>
      </c>
    </row>
  </sheetData>
  <mergeCells count="5">
    <mergeCell ref="A6:B6"/>
    <mergeCell ref="A13:B13"/>
    <mergeCell ref="D13:E13"/>
    <mergeCell ref="A12:E12"/>
    <mergeCell ref="D6:E6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6480A-7CA2-EF48-80FE-8C087BEE78DD}">
  <dimension ref="A1:D5"/>
  <sheetViews>
    <sheetView workbookViewId="0">
      <selection sqref="A1:B5"/>
    </sheetView>
  </sheetViews>
  <sheetFormatPr baseColWidth="10" defaultRowHeight="16" x14ac:dyDescent="0.2"/>
  <cols>
    <col min="1" max="1" width="21.33203125" customWidth="1"/>
    <col min="2" max="2" width="11.6640625" customWidth="1"/>
  </cols>
  <sheetData>
    <row r="1" spans="1:4" x14ac:dyDescent="0.2">
      <c r="A1" s="13" t="s">
        <v>91</v>
      </c>
      <c r="B1" s="1" t="s">
        <v>179</v>
      </c>
    </row>
    <row r="2" spans="1:4" x14ac:dyDescent="0.2">
      <c r="A2" s="31" t="s">
        <v>176</v>
      </c>
      <c r="B2" s="33">
        <v>3620.6</v>
      </c>
    </row>
    <row r="3" spans="1:4" x14ac:dyDescent="0.2">
      <c r="A3" s="31" t="s">
        <v>175</v>
      </c>
      <c r="B3" s="33" t="s">
        <v>177</v>
      </c>
    </row>
    <row r="4" spans="1:4" x14ac:dyDescent="0.2">
      <c r="A4" s="32"/>
      <c r="B4" s="32"/>
    </row>
    <row r="5" spans="1:4" ht="68" x14ac:dyDescent="0.2">
      <c r="A5" s="35" t="s">
        <v>178</v>
      </c>
      <c r="B5" s="34">
        <v>6.86</v>
      </c>
      <c r="C5" s="30"/>
      <c r="D5" s="30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Vehicle Characteristics</vt:lpstr>
      <vt:lpstr>Tank Volume</vt:lpstr>
      <vt:lpstr>Engine Performance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Alec Guy Philippe</cp:lastModifiedBy>
  <cp:lastPrinted>2022-05-03T09:31:31Z</cp:lastPrinted>
  <dcterms:created xsi:type="dcterms:W3CDTF">2022-03-07T05:11:20Z</dcterms:created>
  <dcterms:modified xsi:type="dcterms:W3CDTF">2024-06-25T14:43:22Z</dcterms:modified>
</cp:coreProperties>
</file>